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0E0A485A-1D33-46C3-88EF-558DCBF0973D}" xr6:coauthVersionLast="47" xr6:coauthVersionMax="47" xr10:uidLastSave="{00000000-0000-0000-0000-000000000000}"/>
  <bookViews>
    <workbookView xWindow="37395" yWindow="435" windowWidth="27555" windowHeight="14520" xr2:uid="{F092669C-F442-478B-90E3-B8AB6B077DF5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Data'!$O$5:$O$1258,MIN('Stock Price'!$I$9,1254)):INDEX('Peer Data'!$O$5:$O$1258,MAX('Stock Price'!$I$10,1))</definedName>
    <definedName name="PeerPct_AZN">INDEX('Peer Data'!$Q$5:$Q$1258,MIN('Stock Price'!$I$9,1254)):INDEX('Peer Data'!$Q$5:$Q$1258,MAX('Stock Price'!$I$10,1))</definedName>
    <definedName name="PeerPct_BAYNr">INDEX('Peer Data'!$U$5:$U$1258,MIN('Stock Price'!$I$9,1254)):INDEX('Peer Data'!$U$5:$U$1258,MAX('Stock Price'!$I$10,1))</definedName>
    <definedName name="PeerPct_BMY">INDEX('Peer Data'!$Y$5:$Y$1258,MIN('Stock Price'!$I$9,1254)):INDEX('Peer Data'!$Y$5:$Y$1258,MAX('Stock Price'!$I$10,1))</definedName>
    <definedName name="PeerPct_GSK">INDEX('Peer Data'!$R$5:$R$1258,MIN('Stock Price'!$I$9,1254)):INDEX('Peer Data'!$R$5:$R$1258,MAX('Stock Price'!$I$10,1))</definedName>
    <definedName name="PeerPct_JnJ">INDEX('Peer Data'!$Z$5:$Z$1258,MIN('Stock Price'!$I$9,1254)):INDEX('Peer Data'!$Z$5:$Z$1258,MAX('Stock Price'!$I$10,1))</definedName>
    <definedName name="PeerPct_LLY">INDEX('Peer Data'!$X$5:$X$1258,MIN('Stock Price'!$I$9,1254)):INDEX('Peer Data'!$X$5:$X$1258,MAX('Stock Price'!$I$10,1))</definedName>
    <definedName name="PeerPct_MRK">INDEX('Peer Data'!$V$5:$V$1258,MIN('Stock Price'!$I$9,1254)):INDEX('Peer Data'!$V$5:$V$1258,MAX('Stock Price'!$I$10,1))</definedName>
    <definedName name="PeerPct_NVS">INDEX('Peer Data'!$P$5:$P$1258,MIN('Stock Price'!$I$9,1254)):INDEX('Peer Data'!$P$5:$P$1258,MAX('Stock Price'!$I$10,1))</definedName>
    <definedName name="PeerPct_PFE">INDEX('Peer Data'!$W$5:$W$1258,MIN('Stock Price'!$I$9,1254)):INDEX('Peer Data'!$W$5:$W$1258,MAX('Stock Price'!$I$10,1))</definedName>
    <definedName name="PeerPct_ROG">INDEX('Peer Data'!$S$5:$S$1258,MIN('Stock Price'!$I$9,1254)):INDEX('Peer Data'!$S$5:$S$1258,MAX('Stock Price'!$I$10,1))</definedName>
    <definedName name="PeerPct_SNY">INDEX('Peer Data'!$T$5:$T$1258,MIN('Stock Price'!$I$9,1254)):INDEX('Peer Data'!$T$5:$T$1258,MAX('Stock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379" i="2"/>
  <c r="Z387" i="2"/>
  <c r="Z395" i="2"/>
  <c r="Z403" i="2"/>
  <c r="Z411" i="2"/>
  <c r="Z419" i="2"/>
  <c r="Z427" i="2"/>
  <c r="Z435" i="2"/>
  <c r="Z443" i="2"/>
  <c r="Z451" i="2"/>
  <c r="Z459" i="2"/>
  <c r="Z467" i="2"/>
  <c r="Z475" i="2"/>
  <c r="Z483" i="2"/>
  <c r="Z491" i="2"/>
  <c r="Z499" i="2"/>
  <c r="Z507" i="2"/>
  <c r="Z515" i="2"/>
  <c r="Z523" i="2"/>
  <c r="Z531" i="2"/>
  <c r="Z539" i="2"/>
  <c r="Z547" i="2"/>
  <c r="Z555" i="2"/>
  <c r="Z563" i="2"/>
  <c r="Z571" i="2"/>
  <c r="Z579" i="2"/>
  <c r="Z587" i="2"/>
  <c r="Z595" i="2"/>
  <c r="Z603" i="2"/>
  <c r="Z611" i="2"/>
  <c r="Z619" i="2"/>
  <c r="Z627" i="2"/>
  <c r="Z635" i="2"/>
  <c r="Z643" i="2"/>
  <c r="Z651" i="2"/>
  <c r="Z659" i="2"/>
  <c r="Z667" i="2"/>
  <c r="Z675" i="2"/>
  <c r="Z683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628" i="2"/>
  <c r="Z636" i="2"/>
  <c r="Z644" i="2"/>
  <c r="Z652" i="2"/>
  <c r="Z660" i="2"/>
  <c r="Z668" i="2"/>
  <c r="Z676" i="2"/>
  <c r="Z684" i="2"/>
  <c r="Z15" i="2"/>
  <c r="Z31" i="2"/>
  <c r="Z47" i="2"/>
  <c r="Z63" i="2"/>
  <c r="Z79" i="2"/>
  <c r="Z95" i="2"/>
  <c r="Z111" i="2"/>
  <c r="Z127" i="2"/>
  <c r="Z143" i="2"/>
  <c r="Z159" i="2"/>
  <c r="Z175" i="2"/>
  <c r="Z191" i="2"/>
  <c r="Z207" i="2"/>
  <c r="Z223" i="2"/>
  <c r="Z239" i="2"/>
  <c r="Z255" i="2"/>
  <c r="Z271" i="2"/>
  <c r="Z287" i="2"/>
  <c r="Z297" i="2"/>
  <c r="Z309" i="2"/>
  <c r="Z319" i="2"/>
  <c r="Z329" i="2"/>
  <c r="Z341" i="2"/>
  <c r="Z351" i="2"/>
  <c r="Z361" i="2"/>
  <c r="Z373" i="2"/>
  <c r="Z383" i="2"/>
  <c r="Z393" i="2"/>
  <c r="Z405" i="2"/>
  <c r="Z415" i="2"/>
  <c r="Z425" i="2"/>
  <c r="Z437" i="2"/>
  <c r="Z447" i="2"/>
  <c r="Z457" i="2"/>
  <c r="Z469" i="2"/>
  <c r="Z479" i="2"/>
  <c r="Z489" i="2"/>
  <c r="Z501" i="2"/>
  <c r="Z511" i="2"/>
  <c r="Z521" i="2"/>
  <c r="Z533" i="2"/>
  <c r="Z543" i="2"/>
  <c r="Z553" i="2"/>
  <c r="Z565" i="2"/>
  <c r="Z575" i="2"/>
  <c r="Z585" i="2"/>
  <c r="Z597" i="2"/>
  <c r="Z607" i="2"/>
  <c r="Z617" i="2"/>
  <c r="Z629" i="2"/>
  <c r="Z639" i="2"/>
  <c r="Z649" i="2"/>
  <c r="Z661" i="2"/>
  <c r="Z671" i="2"/>
  <c r="Z681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16" i="2"/>
  <c r="Z32" i="2"/>
  <c r="Z48" i="2"/>
  <c r="Z64" i="2"/>
  <c r="Z80" i="2"/>
  <c r="Z96" i="2"/>
  <c r="Z112" i="2"/>
  <c r="Z128" i="2"/>
  <c r="Z144" i="2"/>
  <c r="Z160" i="2"/>
  <c r="Z176" i="2"/>
  <c r="Z192" i="2"/>
  <c r="Z208" i="2"/>
  <c r="Z224" i="2"/>
  <c r="Z240" i="2"/>
  <c r="Z256" i="2"/>
  <c r="Z272" i="2"/>
  <c r="Z288" i="2"/>
  <c r="Z298" i="2"/>
  <c r="Z310" i="2"/>
  <c r="Z320" i="2"/>
  <c r="Z330" i="2"/>
  <c r="Z342" i="2"/>
  <c r="Z352" i="2"/>
  <c r="Z362" i="2"/>
  <c r="Z374" i="2"/>
  <c r="Z384" i="2"/>
  <c r="Z394" i="2"/>
  <c r="Z406" i="2"/>
  <c r="Z416" i="2"/>
  <c r="Z426" i="2"/>
  <c r="Z438" i="2"/>
  <c r="Z448" i="2"/>
  <c r="Z458" i="2"/>
  <c r="Z470" i="2"/>
  <c r="Z480" i="2"/>
  <c r="Z490" i="2"/>
  <c r="Z502" i="2"/>
  <c r="Z512" i="2"/>
  <c r="Z522" i="2"/>
  <c r="Z534" i="2"/>
  <c r="Z544" i="2"/>
  <c r="Z554" i="2"/>
  <c r="Z566" i="2"/>
  <c r="Z576" i="2"/>
  <c r="Z586" i="2"/>
  <c r="Z598" i="2"/>
  <c r="Z608" i="2"/>
  <c r="Z618" i="2"/>
  <c r="Z630" i="2"/>
  <c r="Z640" i="2"/>
  <c r="Z650" i="2"/>
  <c r="Z662" i="2"/>
  <c r="Z672" i="2"/>
  <c r="Z682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7" i="2"/>
  <c r="Z273" i="2"/>
  <c r="Z289" i="2"/>
  <c r="Z301" i="2"/>
  <c r="Z311" i="2"/>
  <c r="Z321" i="2"/>
  <c r="Z333" i="2"/>
  <c r="Z343" i="2"/>
  <c r="Z353" i="2"/>
  <c r="Z365" i="2"/>
  <c r="Z375" i="2"/>
  <c r="Z385" i="2"/>
  <c r="Z397" i="2"/>
  <c r="Z407" i="2"/>
  <c r="Z417" i="2"/>
  <c r="Z429" i="2"/>
  <c r="Z439" i="2"/>
  <c r="Z449" i="2"/>
  <c r="Z461" i="2"/>
  <c r="Z471" i="2"/>
  <c r="Z481" i="2"/>
  <c r="Z493" i="2"/>
  <c r="Z503" i="2"/>
  <c r="Z513" i="2"/>
  <c r="Z525" i="2"/>
  <c r="Z535" i="2"/>
  <c r="Z545" i="2"/>
  <c r="Z557" i="2"/>
  <c r="Z567" i="2"/>
  <c r="Z577" i="2"/>
  <c r="Z589" i="2"/>
  <c r="Z599" i="2"/>
  <c r="Z609" i="2"/>
  <c r="Z621" i="2"/>
  <c r="Z631" i="2"/>
  <c r="Z641" i="2"/>
  <c r="Z653" i="2"/>
  <c r="Z663" i="2"/>
  <c r="Z673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8" i="2"/>
  <c r="Z274" i="2"/>
  <c r="Z290" i="2"/>
  <c r="Z302" i="2"/>
  <c r="Z312" i="2"/>
  <c r="Z322" i="2"/>
  <c r="Z334" i="2"/>
  <c r="Z344" i="2"/>
  <c r="Z354" i="2"/>
  <c r="Z366" i="2"/>
  <c r="Z376" i="2"/>
  <c r="Z386" i="2"/>
  <c r="Z398" i="2"/>
  <c r="Z408" i="2"/>
  <c r="Z418" i="2"/>
  <c r="Z430" i="2"/>
  <c r="Z440" i="2"/>
  <c r="Z450" i="2"/>
  <c r="Z462" i="2"/>
  <c r="Z472" i="2"/>
  <c r="Z482" i="2"/>
  <c r="Z494" i="2"/>
  <c r="Z504" i="2"/>
  <c r="Z514" i="2"/>
  <c r="Z526" i="2"/>
  <c r="Z536" i="2"/>
  <c r="Z546" i="2"/>
  <c r="Z558" i="2"/>
  <c r="Z568" i="2"/>
  <c r="Z578" i="2"/>
  <c r="Z590" i="2"/>
  <c r="Z600" i="2"/>
  <c r="Z610" i="2"/>
  <c r="Z622" i="2"/>
  <c r="Z632" i="2"/>
  <c r="Z642" i="2"/>
  <c r="Z654" i="2"/>
  <c r="Z664" i="2"/>
  <c r="Z674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" i="2"/>
  <c r="Z39" i="2"/>
  <c r="Z71" i="2"/>
  <c r="Z103" i="2"/>
  <c r="Z135" i="2"/>
  <c r="Z167" i="2"/>
  <c r="Z199" i="2"/>
  <c r="Z231" i="2"/>
  <c r="Z263" i="2"/>
  <c r="Z293" i="2"/>
  <c r="Z313" i="2"/>
  <c r="Z335" i="2"/>
  <c r="Z357" i="2"/>
  <c r="Z377" i="2"/>
  <c r="Z399" i="2"/>
  <c r="Z421" i="2"/>
  <c r="Z441" i="2"/>
  <c r="Z463" i="2"/>
  <c r="Z485" i="2"/>
  <c r="Z505" i="2"/>
  <c r="Z527" i="2"/>
  <c r="Z549" i="2"/>
  <c r="Z569" i="2"/>
  <c r="Z591" i="2"/>
  <c r="Z613" i="2"/>
  <c r="Z633" i="2"/>
  <c r="Z655" i="2"/>
  <c r="Z677" i="2"/>
  <c r="Z695" i="2"/>
  <c r="Z711" i="2"/>
  <c r="Z727" i="2"/>
  <c r="Z743" i="2"/>
  <c r="Z759" i="2"/>
  <c r="Z775" i="2"/>
  <c r="Z789" i="2"/>
  <c r="Z799" i="2"/>
  <c r="Z809" i="2"/>
  <c r="Z821" i="2"/>
  <c r="Z831" i="2"/>
  <c r="Z841" i="2"/>
  <c r="Z853" i="2"/>
  <c r="Z863" i="2"/>
  <c r="Z873" i="2"/>
  <c r="Z885" i="2"/>
  <c r="Z895" i="2"/>
  <c r="Z905" i="2"/>
  <c r="Z917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8" i="2"/>
  <c r="Z40" i="2"/>
  <c r="Z72" i="2"/>
  <c r="Z104" i="2"/>
  <c r="Z136" i="2"/>
  <c r="Z168" i="2"/>
  <c r="Z200" i="2"/>
  <c r="Z232" i="2"/>
  <c r="Z264" i="2"/>
  <c r="Z294" i="2"/>
  <c r="Z314" i="2"/>
  <c r="Z336" i="2"/>
  <c r="Z358" i="2"/>
  <c r="Z378" i="2"/>
  <c r="Z400" i="2"/>
  <c r="Z422" i="2"/>
  <c r="Z442" i="2"/>
  <c r="Z464" i="2"/>
  <c r="Z486" i="2"/>
  <c r="Z506" i="2"/>
  <c r="Z528" i="2"/>
  <c r="Z550" i="2"/>
  <c r="Z570" i="2"/>
  <c r="Z592" i="2"/>
  <c r="Z614" i="2"/>
  <c r="Z634" i="2"/>
  <c r="Z656" i="2"/>
  <c r="Z678" i="2"/>
  <c r="Z696" i="2"/>
  <c r="Z712" i="2"/>
  <c r="Z728" i="2"/>
  <c r="Z744" i="2"/>
  <c r="Z760" i="2"/>
  <c r="Z776" i="2"/>
  <c r="Z790" i="2"/>
  <c r="Z800" i="2"/>
  <c r="Z810" i="2"/>
  <c r="Z822" i="2"/>
  <c r="Z832" i="2"/>
  <c r="Z842" i="2"/>
  <c r="Z854" i="2"/>
  <c r="Z864" i="2"/>
  <c r="Z874" i="2"/>
  <c r="Z886" i="2"/>
  <c r="Z896" i="2"/>
  <c r="Z906" i="2"/>
  <c r="Z918" i="2"/>
  <c r="Z928" i="2"/>
  <c r="Z936" i="2"/>
  <c r="Z944" i="2"/>
  <c r="Z952" i="2"/>
  <c r="Z960" i="2"/>
  <c r="Z968" i="2"/>
  <c r="Z976" i="2"/>
  <c r="Z984" i="2"/>
  <c r="Z992" i="2"/>
  <c r="Z1000" i="2"/>
  <c r="Z1008" i="2"/>
  <c r="Z1016" i="2"/>
  <c r="Z1024" i="2"/>
  <c r="Z1032" i="2"/>
  <c r="Z1040" i="2"/>
  <c r="Z1048" i="2"/>
  <c r="Z1056" i="2"/>
  <c r="Z1064" i="2"/>
  <c r="Z1072" i="2"/>
  <c r="Z1080" i="2"/>
  <c r="Z1088" i="2"/>
  <c r="Z1096" i="2"/>
  <c r="Z1104" i="2"/>
  <c r="Z1112" i="2"/>
  <c r="Z1120" i="2"/>
  <c r="Z1128" i="2"/>
  <c r="Z1136" i="2"/>
  <c r="Z1144" i="2"/>
  <c r="Z1152" i="2"/>
  <c r="Z1160" i="2"/>
  <c r="Z1168" i="2"/>
  <c r="Z1176" i="2"/>
  <c r="Z1184" i="2"/>
  <c r="Z1192" i="2"/>
  <c r="Z1200" i="2"/>
  <c r="Z1208" i="2"/>
  <c r="Z1216" i="2"/>
  <c r="Z1224" i="2"/>
  <c r="Z23" i="2"/>
  <c r="Z55" i="2"/>
  <c r="Z87" i="2"/>
  <c r="Z119" i="2"/>
  <c r="Z151" i="2"/>
  <c r="Z183" i="2"/>
  <c r="Z215" i="2"/>
  <c r="Z247" i="2"/>
  <c r="Z279" i="2"/>
  <c r="Z303" i="2"/>
  <c r="Z325" i="2"/>
  <c r="Z345" i="2"/>
  <c r="Z367" i="2"/>
  <c r="Z389" i="2"/>
  <c r="Z409" i="2"/>
  <c r="Z431" i="2"/>
  <c r="Z453" i="2"/>
  <c r="Z473" i="2"/>
  <c r="Z495" i="2"/>
  <c r="Z517" i="2"/>
  <c r="Z537" i="2"/>
  <c r="Z559" i="2"/>
  <c r="Z581" i="2"/>
  <c r="Z601" i="2"/>
  <c r="Z623" i="2"/>
  <c r="Z645" i="2"/>
  <c r="Z665" i="2"/>
  <c r="Z687" i="2"/>
  <c r="Z703" i="2"/>
  <c r="Z719" i="2"/>
  <c r="Z735" i="2"/>
  <c r="Z751" i="2"/>
  <c r="Z767" i="2"/>
  <c r="Z783" i="2"/>
  <c r="Z793" i="2"/>
  <c r="Z805" i="2"/>
  <c r="Z815" i="2"/>
  <c r="Z825" i="2"/>
  <c r="Z837" i="2"/>
  <c r="Z847" i="2"/>
  <c r="Z857" i="2"/>
  <c r="Z869" i="2"/>
  <c r="Z879" i="2"/>
  <c r="Z889" i="2"/>
  <c r="Z901" i="2"/>
  <c r="Z911" i="2"/>
  <c r="Z921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24" i="2"/>
  <c r="Z56" i="2"/>
  <c r="Z88" i="2"/>
  <c r="Z120" i="2"/>
  <c r="Z152" i="2"/>
  <c r="Z184" i="2"/>
  <c r="Z216" i="2"/>
  <c r="Z248" i="2"/>
  <c r="Z280" i="2"/>
  <c r="Z304" i="2"/>
  <c r="Z326" i="2"/>
  <c r="Z346" i="2"/>
  <c r="Z368" i="2"/>
  <c r="Z390" i="2"/>
  <c r="Z410" i="2"/>
  <c r="Z432" i="2"/>
  <c r="Z454" i="2"/>
  <c r="Z474" i="2"/>
  <c r="Z496" i="2"/>
  <c r="Z518" i="2"/>
  <c r="Z538" i="2"/>
  <c r="Z560" i="2"/>
  <c r="Z582" i="2"/>
  <c r="Z602" i="2"/>
  <c r="Z624" i="2"/>
  <c r="Z646" i="2"/>
  <c r="Z666" i="2"/>
  <c r="Z688" i="2"/>
  <c r="Z704" i="2"/>
  <c r="Z720" i="2"/>
  <c r="Z736" i="2"/>
  <c r="Z752" i="2"/>
  <c r="Z768" i="2"/>
  <c r="Z784" i="2"/>
  <c r="Z794" i="2"/>
  <c r="Z806" i="2"/>
  <c r="Z816" i="2"/>
  <c r="Z826" i="2"/>
  <c r="Z838" i="2"/>
  <c r="Z848" i="2"/>
  <c r="Z858" i="2"/>
  <c r="Z870" i="2"/>
  <c r="Z880" i="2"/>
  <c r="Z890" i="2"/>
  <c r="Z902" i="2"/>
  <c r="Z912" i="2"/>
  <c r="Z922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25" i="2"/>
  <c r="Z57" i="2"/>
  <c r="Z89" i="2"/>
  <c r="Z121" i="2"/>
  <c r="Z153" i="2"/>
  <c r="Z185" i="2"/>
  <c r="Z217" i="2"/>
  <c r="Z249" i="2"/>
  <c r="Z281" i="2"/>
  <c r="Z305" i="2"/>
  <c r="Z327" i="2"/>
  <c r="Z349" i="2"/>
  <c r="Z369" i="2"/>
  <c r="Z391" i="2"/>
  <c r="Z413" i="2"/>
  <c r="Z433" i="2"/>
  <c r="Z455" i="2"/>
  <c r="Z477" i="2"/>
  <c r="Z497" i="2"/>
  <c r="Z519" i="2"/>
  <c r="Z541" i="2"/>
  <c r="Z561" i="2"/>
  <c r="Z583" i="2"/>
  <c r="Z605" i="2"/>
  <c r="Z625" i="2"/>
  <c r="Z647" i="2"/>
  <c r="Z669" i="2"/>
  <c r="Z689" i="2"/>
  <c r="Z705" i="2"/>
  <c r="Z721" i="2"/>
  <c r="Z737" i="2"/>
  <c r="Z753" i="2"/>
  <c r="Z769" i="2"/>
  <c r="Z785" i="2"/>
  <c r="Z797" i="2"/>
  <c r="Z807" i="2"/>
  <c r="Z817" i="2"/>
  <c r="Z26" i="2"/>
  <c r="Z58" i="2"/>
  <c r="Z90" i="2"/>
  <c r="Z122" i="2"/>
  <c r="Z154" i="2"/>
  <c r="Z186" i="2"/>
  <c r="Z218" i="2"/>
  <c r="Z250" i="2"/>
  <c r="Z282" i="2"/>
  <c r="Z306" i="2"/>
  <c r="Z328" i="2"/>
  <c r="Z350" i="2"/>
  <c r="Z370" i="2"/>
  <c r="Z392" i="2"/>
  <c r="Z414" i="2"/>
  <c r="Z434" i="2"/>
  <c r="Z456" i="2"/>
  <c r="Z478" i="2"/>
  <c r="Z498" i="2"/>
  <c r="Z520" i="2"/>
  <c r="Z542" i="2"/>
  <c r="Z562" i="2"/>
  <c r="Z584" i="2"/>
  <c r="Z606" i="2"/>
  <c r="Z626" i="2"/>
  <c r="Z648" i="2"/>
  <c r="Z670" i="2"/>
  <c r="Z690" i="2"/>
  <c r="Z706" i="2"/>
  <c r="Z722" i="2"/>
  <c r="Z738" i="2"/>
  <c r="Z754" i="2"/>
  <c r="Z770" i="2"/>
  <c r="Z786" i="2"/>
  <c r="Z798" i="2"/>
  <c r="Z808" i="2"/>
  <c r="Z818" i="2"/>
  <c r="Z9" i="2"/>
  <c r="Z137" i="2"/>
  <c r="Z697" i="2"/>
  <c r="Z761" i="2"/>
  <c r="Z813" i="2"/>
  <c r="Z839" i="2"/>
  <c r="Z861" i="2"/>
  <c r="Z881" i="2"/>
  <c r="Z903" i="2"/>
  <c r="Z925" i="2"/>
  <c r="Z941" i="2"/>
  <c r="Z957" i="2"/>
  <c r="Z973" i="2"/>
  <c r="Z989" i="2"/>
  <c r="Z1005" i="2"/>
  <c r="Z1021" i="2"/>
  <c r="Z1033" i="2"/>
  <c r="Z1043" i="2"/>
  <c r="Z1053" i="2"/>
  <c r="Z1065" i="2"/>
  <c r="Z1075" i="2"/>
  <c r="Z1085" i="2"/>
  <c r="Z1097" i="2"/>
  <c r="Z1107" i="2"/>
  <c r="Z1117" i="2"/>
  <c r="Z1129" i="2"/>
  <c r="Z1139" i="2"/>
  <c r="Z1149" i="2"/>
  <c r="Z1161" i="2"/>
  <c r="Z1171" i="2"/>
  <c r="Z1181" i="2"/>
  <c r="Z1193" i="2"/>
  <c r="Z1203" i="2"/>
  <c r="Z1213" i="2"/>
  <c r="Z1225" i="2"/>
  <c r="Z1233" i="2"/>
  <c r="Z1241" i="2"/>
  <c r="Z1249" i="2"/>
  <c r="Z1257" i="2"/>
  <c r="Z10" i="2"/>
  <c r="Z138" i="2"/>
  <c r="Z266" i="2"/>
  <c r="Z360" i="2"/>
  <c r="Z446" i="2"/>
  <c r="Z530" i="2"/>
  <c r="Z616" i="2"/>
  <c r="Z698" i="2"/>
  <c r="Z762" i="2"/>
  <c r="Z814" i="2"/>
  <c r="Z840" i="2"/>
  <c r="Z862" i="2"/>
  <c r="Z882" i="2"/>
  <c r="Z904" i="2"/>
  <c r="Z926" i="2"/>
  <c r="Z942" i="2"/>
  <c r="Z958" i="2"/>
  <c r="Z974" i="2"/>
  <c r="Z990" i="2"/>
  <c r="Z1006" i="2"/>
  <c r="Z1022" i="2"/>
  <c r="Z1034" i="2"/>
  <c r="Z1044" i="2"/>
  <c r="Z1054" i="2"/>
  <c r="Z1066" i="2"/>
  <c r="Z1076" i="2"/>
  <c r="Z1086" i="2"/>
  <c r="Z1098" i="2"/>
  <c r="Z1108" i="2"/>
  <c r="Z1118" i="2"/>
  <c r="Z1130" i="2"/>
  <c r="Z1140" i="2"/>
  <c r="Z1150" i="2"/>
  <c r="Z1162" i="2"/>
  <c r="Z1172" i="2"/>
  <c r="Z1182" i="2"/>
  <c r="Z1194" i="2"/>
  <c r="Z1204" i="2"/>
  <c r="Z1214" i="2"/>
  <c r="Z1226" i="2"/>
  <c r="Z1234" i="2"/>
  <c r="Z1242" i="2"/>
  <c r="Z1250" i="2"/>
  <c r="Z1258" i="2"/>
  <c r="V60" i="1" s="1"/>
  <c r="AC16" i="2" s="1"/>
  <c r="Z41" i="2"/>
  <c r="Z169" i="2"/>
  <c r="Z295" i="2"/>
  <c r="Z381" i="2"/>
  <c r="Z465" i="2"/>
  <c r="Z551" i="2"/>
  <c r="Z637" i="2"/>
  <c r="Z713" i="2"/>
  <c r="Z777" i="2"/>
  <c r="Z823" i="2"/>
  <c r="Z845" i="2"/>
  <c r="Z865" i="2"/>
  <c r="Z887" i="2"/>
  <c r="Z909" i="2"/>
  <c r="Z929" i="2"/>
  <c r="Z945" i="2"/>
  <c r="Z961" i="2"/>
  <c r="Z977" i="2"/>
  <c r="Z993" i="2"/>
  <c r="Z1009" i="2"/>
  <c r="Z1025" i="2"/>
  <c r="Z1035" i="2"/>
  <c r="Z1045" i="2"/>
  <c r="Z1057" i="2"/>
  <c r="Z1067" i="2"/>
  <c r="Z1077" i="2"/>
  <c r="Z1089" i="2"/>
  <c r="Z1099" i="2"/>
  <c r="Z1109" i="2"/>
  <c r="Z1121" i="2"/>
  <c r="Z1131" i="2"/>
  <c r="Z1141" i="2"/>
  <c r="Z1153" i="2"/>
  <c r="Z1163" i="2"/>
  <c r="Z1173" i="2"/>
  <c r="Z1185" i="2"/>
  <c r="Z1195" i="2"/>
  <c r="Z1205" i="2"/>
  <c r="Z1217" i="2"/>
  <c r="Z1227" i="2"/>
  <c r="Z1235" i="2"/>
  <c r="Z1243" i="2"/>
  <c r="Z1251" i="2"/>
  <c r="Z615" i="2"/>
  <c r="Z42" i="2"/>
  <c r="Z170" i="2"/>
  <c r="Z296" i="2"/>
  <c r="Z382" i="2"/>
  <c r="Z466" i="2"/>
  <c r="Z552" i="2"/>
  <c r="Z638" i="2"/>
  <c r="Z714" i="2"/>
  <c r="Z778" i="2"/>
  <c r="Z824" i="2"/>
  <c r="Z846" i="2"/>
  <c r="Z866" i="2"/>
  <c r="Z888" i="2"/>
  <c r="Z910" i="2"/>
  <c r="Z930" i="2"/>
  <c r="Z946" i="2"/>
  <c r="Z962" i="2"/>
  <c r="Z978" i="2"/>
  <c r="Z994" i="2"/>
  <c r="Z1010" i="2"/>
  <c r="Z1026" i="2"/>
  <c r="Z1036" i="2"/>
  <c r="Z1046" i="2"/>
  <c r="Z1058" i="2"/>
  <c r="Z1068" i="2"/>
  <c r="Z1078" i="2"/>
  <c r="Z1090" i="2"/>
  <c r="Z1100" i="2"/>
  <c r="Z1110" i="2"/>
  <c r="Z1122" i="2"/>
  <c r="Z1132" i="2"/>
  <c r="Z1142" i="2"/>
  <c r="Z1154" i="2"/>
  <c r="Z1164" i="2"/>
  <c r="Z1174" i="2"/>
  <c r="Z1186" i="2"/>
  <c r="Z1196" i="2"/>
  <c r="Z1206" i="2"/>
  <c r="Z1218" i="2"/>
  <c r="Z1228" i="2"/>
  <c r="Z1236" i="2"/>
  <c r="Z1244" i="2"/>
  <c r="Z1252" i="2"/>
  <c r="Z529" i="2"/>
  <c r="Z73" i="2"/>
  <c r="Z201" i="2"/>
  <c r="Z317" i="2"/>
  <c r="Z401" i="2"/>
  <c r="Z487" i="2"/>
  <c r="Z573" i="2"/>
  <c r="Z657" i="2"/>
  <c r="Z729" i="2"/>
  <c r="Z791" i="2"/>
  <c r="Z829" i="2"/>
  <c r="Z849" i="2"/>
  <c r="Z871" i="2"/>
  <c r="Z893" i="2"/>
  <c r="Z913" i="2"/>
  <c r="Z933" i="2"/>
  <c r="Z949" i="2"/>
  <c r="Z965" i="2"/>
  <c r="Z981" i="2"/>
  <c r="Z997" i="2"/>
  <c r="Z1013" i="2"/>
  <c r="Z1027" i="2"/>
  <c r="Z1037" i="2"/>
  <c r="Z1049" i="2"/>
  <c r="Z1059" i="2"/>
  <c r="Z1069" i="2"/>
  <c r="Z1081" i="2"/>
  <c r="Z1091" i="2"/>
  <c r="Z1101" i="2"/>
  <c r="Z1113" i="2"/>
  <c r="Z1123" i="2"/>
  <c r="Z1133" i="2"/>
  <c r="Z1145" i="2"/>
  <c r="Z1155" i="2"/>
  <c r="Z1165" i="2"/>
  <c r="Z1177" i="2"/>
  <c r="Z1187" i="2"/>
  <c r="Z1197" i="2"/>
  <c r="Z1209" i="2"/>
  <c r="Z1219" i="2"/>
  <c r="Z1229" i="2"/>
  <c r="Z1237" i="2"/>
  <c r="Z1245" i="2"/>
  <c r="Z1253" i="2"/>
  <c r="Z445" i="2"/>
  <c r="Z74" i="2"/>
  <c r="Z202" i="2"/>
  <c r="Z318" i="2"/>
  <c r="Z402" i="2"/>
  <c r="Z488" i="2"/>
  <c r="Z574" i="2"/>
  <c r="Z658" i="2"/>
  <c r="Z730" i="2"/>
  <c r="Z792" i="2"/>
  <c r="Z830" i="2"/>
  <c r="Z850" i="2"/>
  <c r="Z872" i="2"/>
  <c r="Z894" i="2"/>
  <c r="Z914" i="2"/>
  <c r="Z934" i="2"/>
  <c r="Z950" i="2"/>
  <c r="Z966" i="2"/>
  <c r="Z982" i="2"/>
  <c r="Z998" i="2"/>
  <c r="Z1014" i="2"/>
  <c r="Z1028" i="2"/>
  <c r="Z1038" i="2"/>
  <c r="Z1050" i="2"/>
  <c r="Z1060" i="2"/>
  <c r="Z1070" i="2"/>
  <c r="Z1082" i="2"/>
  <c r="Z1092" i="2"/>
  <c r="Z1102" i="2"/>
  <c r="Z1114" i="2"/>
  <c r="Z1124" i="2"/>
  <c r="Z1134" i="2"/>
  <c r="Z1146" i="2"/>
  <c r="Z1156" i="2"/>
  <c r="Z1166" i="2"/>
  <c r="Z1178" i="2"/>
  <c r="Z1188" i="2"/>
  <c r="Z1198" i="2"/>
  <c r="Z1210" i="2"/>
  <c r="Z1220" i="2"/>
  <c r="Z1230" i="2"/>
  <c r="Z1238" i="2"/>
  <c r="Z1246" i="2"/>
  <c r="Z1254" i="2"/>
  <c r="Z359" i="2"/>
  <c r="Z105" i="2"/>
  <c r="Z233" i="2"/>
  <c r="Z337" i="2"/>
  <c r="Z423" i="2"/>
  <c r="Z509" i="2"/>
  <c r="Z593" i="2"/>
  <c r="Z679" i="2"/>
  <c r="Z745" i="2"/>
  <c r="Z801" i="2"/>
  <c r="Z833" i="2"/>
  <c r="Z855" i="2"/>
  <c r="Z877" i="2"/>
  <c r="Z897" i="2"/>
  <c r="Z919" i="2"/>
  <c r="Z937" i="2"/>
  <c r="Z953" i="2"/>
  <c r="Z969" i="2"/>
  <c r="Z985" i="2"/>
  <c r="Z1001" i="2"/>
  <c r="Z1017" i="2"/>
  <c r="Z1029" i="2"/>
  <c r="Z1041" i="2"/>
  <c r="Z1051" i="2"/>
  <c r="Z1061" i="2"/>
  <c r="Z1073" i="2"/>
  <c r="Z1083" i="2"/>
  <c r="Z1093" i="2"/>
  <c r="Z1105" i="2"/>
  <c r="Z1115" i="2"/>
  <c r="Z1125" i="2"/>
  <c r="Z1137" i="2"/>
  <c r="Z1147" i="2"/>
  <c r="Z1157" i="2"/>
  <c r="Z1169" i="2"/>
  <c r="Z1179" i="2"/>
  <c r="Z1189" i="2"/>
  <c r="Z1201" i="2"/>
  <c r="Z1211" i="2"/>
  <c r="Z1221" i="2"/>
  <c r="Z1231" i="2"/>
  <c r="Z1239" i="2"/>
  <c r="Z1247" i="2"/>
  <c r="Z1255" i="2"/>
  <c r="Z265" i="2"/>
  <c r="Z106" i="2"/>
  <c r="Z234" i="2"/>
  <c r="Z338" i="2"/>
  <c r="Z424" i="2"/>
  <c r="Z510" i="2"/>
  <c r="Z594" i="2"/>
  <c r="Z680" i="2"/>
  <c r="Z746" i="2"/>
  <c r="Z802" i="2"/>
  <c r="Z834" i="2"/>
  <c r="Z856" i="2"/>
  <c r="Z878" i="2"/>
  <c r="Z898" i="2"/>
  <c r="Z920" i="2"/>
  <c r="Z938" i="2"/>
  <c r="Z954" i="2"/>
  <c r="Z970" i="2"/>
  <c r="Z986" i="2"/>
  <c r="Z1002" i="2"/>
  <c r="Z1018" i="2"/>
  <c r="Z1030" i="2"/>
  <c r="Z1042" i="2"/>
  <c r="Z1052" i="2"/>
  <c r="Z1062" i="2"/>
  <c r="Z1074" i="2"/>
  <c r="Z1084" i="2"/>
  <c r="Z1094" i="2"/>
  <c r="Z1106" i="2"/>
  <c r="Z1116" i="2"/>
  <c r="Z1126" i="2"/>
  <c r="Z1138" i="2"/>
  <c r="Z1148" i="2"/>
  <c r="Z1158" i="2"/>
  <c r="Z1170" i="2"/>
  <c r="Z1180" i="2"/>
  <c r="Z1190" i="2"/>
  <c r="Z1202" i="2"/>
  <c r="Z1212" i="2"/>
  <c r="Z1222" i="2"/>
  <c r="Z1232" i="2"/>
  <c r="Z1240" i="2"/>
  <c r="Z1248" i="2"/>
  <c r="Z1256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483" i="2"/>
  <c r="Y491" i="2"/>
  <c r="Y499" i="2"/>
  <c r="Y507" i="2"/>
  <c r="Y515" i="2"/>
  <c r="Y523" i="2"/>
  <c r="Y531" i="2"/>
  <c r="Y539" i="2"/>
  <c r="Y547" i="2"/>
  <c r="Y555" i="2"/>
  <c r="Y563" i="2"/>
  <c r="Y571" i="2"/>
  <c r="Y579" i="2"/>
  <c r="Y587" i="2"/>
  <c r="Y595" i="2"/>
  <c r="Y603" i="2"/>
  <c r="Y611" i="2"/>
  <c r="Y619" i="2"/>
  <c r="Y627" i="2"/>
  <c r="Y635" i="2"/>
  <c r="Y643" i="2"/>
  <c r="Y651" i="2"/>
  <c r="Y659" i="2"/>
  <c r="Y667" i="2"/>
  <c r="Y675" i="2"/>
  <c r="Y68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15" i="2"/>
  <c r="Y31" i="2"/>
  <c r="Y47" i="2"/>
  <c r="Y63" i="2"/>
  <c r="Y79" i="2"/>
  <c r="Y95" i="2"/>
  <c r="Y111" i="2"/>
  <c r="Y127" i="2"/>
  <c r="Y143" i="2"/>
  <c r="Y159" i="2"/>
  <c r="Y175" i="2"/>
  <c r="Y191" i="2"/>
  <c r="Y207" i="2"/>
  <c r="Y223" i="2"/>
  <c r="Y239" i="2"/>
  <c r="Y255" i="2"/>
  <c r="Y271" i="2"/>
  <c r="Y287" i="2"/>
  <c r="Y298" i="2"/>
  <c r="Y310" i="2"/>
  <c r="Y320" i="2"/>
  <c r="Y330" i="2"/>
  <c r="Y342" i="2"/>
  <c r="Y352" i="2"/>
  <c r="Y362" i="2"/>
  <c r="Y374" i="2"/>
  <c r="Y384" i="2"/>
  <c r="Y394" i="2"/>
  <c r="Y406" i="2"/>
  <c r="Y416" i="2"/>
  <c r="Y426" i="2"/>
  <c r="Y438" i="2"/>
  <c r="Y448" i="2"/>
  <c r="Y458" i="2"/>
  <c r="Y470" i="2"/>
  <c r="Y480" i="2"/>
  <c r="Y490" i="2"/>
  <c r="Y502" i="2"/>
  <c r="Y512" i="2"/>
  <c r="Y522" i="2"/>
  <c r="Y534" i="2"/>
  <c r="Y544" i="2"/>
  <c r="Y554" i="2"/>
  <c r="Y566" i="2"/>
  <c r="Y576" i="2"/>
  <c r="Y586" i="2"/>
  <c r="Y598" i="2"/>
  <c r="Y608" i="2"/>
  <c r="Y618" i="2"/>
  <c r="Y630" i="2"/>
  <c r="Y640" i="2"/>
  <c r="Y650" i="2"/>
  <c r="Y662" i="2"/>
  <c r="Y672" i="2"/>
  <c r="Y682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16" i="2"/>
  <c r="Y32" i="2"/>
  <c r="Y48" i="2"/>
  <c r="Y64" i="2"/>
  <c r="Y80" i="2"/>
  <c r="Y96" i="2"/>
  <c r="Y112" i="2"/>
  <c r="Y128" i="2"/>
  <c r="Y144" i="2"/>
  <c r="Y160" i="2"/>
  <c r="Y176" i="2"/>
  <c r="Y192" i="2"/>
  <c r="Y208" i="2"/>
  <c r="Y224" i="2"/>
  <c r="Y240" i="2"/>
  <c r="Y256" i="2"/>
  <c r="Y272" i="2"/>
  <c r="Y288" i="2"/>
  <c r="Y301" i="2"/>
  <c r="Y311" i="2"/>
  <c r="Y321" i="2"/>
  <c r="Y333" i="2"/>
  <c r="Y343" i="2"/>
  <c r="Y353" i="2"/>
  <c r="Y365" i="2"/>
  <c r="Y375" i="2"/>
  <c r="Y385" i="2"/>
  <c r="Y397" i="2"/>
  <c r="Y407" i="2"/>
  <c r="Y417" i="2"/>
  <c r="Y429" i="2"/>
  <c r="Y439" i="2"/>
  <c r="Y449" i="2"/>
  <c r="Y461" i="2"/>
  <c r="Y471" i="2"/>
  <c r="Y481" i="2"/>
  <c r="Y493" i="2"/>
  <c r="Y503" i="2"/>
  <c r="Y513" i="2"/>
  <c r="Y525" i="2"/>
  <c r="Y535" i="2"/>
  <c r="Y545" i="2"/>
  <c r="Y557" i="2"/>
  <c r="Y567" i="2"/>
  <c r="Y577" i="2"/>
  <c r="Y589" i="2"/>
  <c r="Y599" i="2"/>
  <c r="Y609" i="2"/>
  <c r="Y621" i="2"/>
  <c r="Y631" i="2"/>
  <c r="Y641" i="2"/>
  <c r="Y653" i="2"/>
  <c r="Y663" i="2"/>
  <c r="Y673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17" i="2"/>
  <c r="Y33" i="2"/>
  <c r="Y49" i="2"/>
  <c r="Y65" i="2"/>
  <c r="Y81" i="2"/>
  <c r="Y97" i="2"/>
  <c r="Y113" i="2"/>
  <c r="Y129" i="2"/>
  <c r="Y145" i="2"/>
  <c r="Y161" i="2"/>
  <c r="Y177" i="2"/>
  <c r="Y193" i="2"/>
  <c r="Y209" i="2"/>
  <c r="Y225" i="2"/>
  <c r="Y241" i="2"/>
  <c r="Y257" i="2"/>
  <c r="Y273" i="2"/>
  <c r="Y289" i="2"/>
  <c r="Y302" i="2"/>
  <c r="Y312" i="2"/>
  <c r="Y322" i="2"/>
  <c r="Y334" i="2"/>
  <c r="Y344" i="2"/>
  <c r="Y354" i="2"/>
  <c r="Y366" i="2"/>
  <c r="Y376" i="2"/>
  <c r="Y386" i="2"/>
  <c r="Y398" i="2"/>
  <c r="Y408" i="2"/>
  <c r="Y418" i="2"/>
  <c r="Y430" i="2"/>
  <c r="Y440" i="2"/>
  <c r="Y450" i="2"/>
  <c r="Y462" i="2"/>
  <c r="Y472" i="2"/>
  <c r="Y482" i="2"/>
  <c r="Y494" i="2"/>
  <c r="Y504" i="2"/>
  <c r="Y514" i="2"/>
  <c r="Y526" i="2"/>
  <c r="Y536" i="2"/>
  <c r="Y546" i="2"/>
  <c r="Y558" i="2"/>
  <c r="Y568" i="2"/>
  <c r="Y578" i="2"/>
  <c r="Y590" i="2"/>
  <c r="Y600" i="2"/>
  <c r="Y610" i="2"/>
  <c r="Y622" i="2"/>
  <c r="Y632" i="2"/>
  <c r="Y642" i="2"/>
  <c r="Y654" i="2"/>
  <c r="Y664" i="2"/>
  <c r="Y674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18" i="2"/>
  <c r="Y34" i="2"/>
  <c r="Y50" i="2"/>
  <c r="Y66" i="2"/>
  <c r="Y82" i="2"/>
  <c r="Y98" i="2"/>
  <c r="Y114" i="2"/>
  <c r="Y130" i="2"/>
  <c r="Y146" i="2"/>
  <c r="Y162" i="2"/>
  <c r="Y178" i="2"/>
  <c r="Y194" i="2"/>
  <c r="Y210" i="2"/>
  <c r="Y226" i="2"/>
  <c r="Y242" i="2"/>
  <c r="Y258" i="2"/>
  <c r="Y274" i="2"/>
  <c r="Y290" i="2"/>
  <c r="Y303" i="2"/>
  <c r="Y313" i="2"/>
  <c r="Y325" i="2"/>
  <c r="Y335" i="2"/>
  <c r="Y345" i="2"/>
  <c r="Y357" i="2"/>
  <c r="Y367" i="2"/>
  <c r="Y377" i="2"/>
  <c r="Y389" i="2"/>
  <c r="Y399" i="2"/>
  <c r="Y409" i="2"/>
  <c r="Y421" i="2"/>
  <c r="Y431" i="2"/>
  <c r="Y441" i="2"/>
  <c r="Y453" i="2"/>
  <c r="Y463" i="2"/>
  <c r="Y473" i="2"/>
  <c r="Y485" i="2"/>
  <c r="Y495" i="2"/>
  <c r="Y505" i="2"/>
  <c r="Y517" i="2"/>
  <c r="Y527" i="2"/>
  <c r="Y537" i="2"/>
  <c r="Y549" i="2"/>
  <c r="Y559" i="2"/>
  <c r="Y569" i="2"/>
  <c r="Y581" i="2"/>
  <c r="Y591" i="2"/>
  <c r="Y601" i="2"/>
  <c r="Y613" i="2"/>
  <c r="Y623" i="2"/>
  <c r="Y633" i="2"/>
  <c r="Y645" i="2"/>
  <c r="Y655" i="2"/>
  <c r="Y665" i="2"/>
  <c r="Y677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23" i="2"/>
  <c r="Y55" i="2"/>
  <c r="Y87" i="2"/>
  <c r="Y119" i="2"/>
  <c r="Y151" i="2"/>
  <c r="Y183" i="2"/>
  <c r="Y215" i="2"/>
  <c r="Y247" i="2"/>
  <c r="Y279" i="2"/>
  <c r="Y304" i="2"/>
  <c r="Y326" i="2"/>
  <c r="Y346" i="2"/>
  <c r="Y368" i="2"/>
  <c r="Y390" i="2"/>
  <c r="Y410" i="2"/>
  <c r="Y432" i="2"/>
  <c r="Y454" i="2"/>
  <c r="Y474" i="2"/>
  <c r="Y496" i="2"/>
  <c r="Y518" i="2"/>
  <c r="Y538" i="2"/>
  <c r="Y560" i="2"/>
  <c r="Y582" i="2"/>
  <c r="Y602" i="2"/>
  <c r="Y624" i="2"/>
  <c r="Y646" i="2"/>
  <c r="Y666" i="2"/>
  <c r="Y688" i="2"/>
  <c r="Y704" i="2"/>
  <c r="Y720" i="2"/>
  <c r="Y736" i="2"/>
  <c r="Y752" i="2"/>
  <c r="Y768" i="2"/>
  <c r="Y782" i="2"/>
  <c r="Y793" i="2"/>
  <c r="Y803" i="2"/>
  <c r="Y815" i="2"/>
  <c r="Y825" i="2"/>
  <c r="Y835" i="2"/>
  <c r="Y847" i="2"/>
  <c r="Y857" i="2"/>
  <c r="Y867" i="2"/>
  <c r="Y879" i="2"/>
  <c r="Y889" i="2"/>
  <c r="Y899" i="2"/>
  <c r="Y911" i="2"/>
  <c r="Y921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24" i="2"/>
  <c r="Y56" i="2"/>
  <c r="Y88" i="2"/>
  <c r="Y120" i="2"/>
  <c r="Y152" i="2"/>
  <c r="Y184" i="2"/>
  <c r="Y216" i="2"/>
  <c r="Y248" i="2"/>
  <c r="Y280" i="2"/>
  <c r="Y305" i="2"/>
  <c r="Y327" i="2"/>
  <c r="Y349" i="2"/>
  <c r="Y369" i="2"/>
  <c r="Y391" i="2"/>
  <c r="Y413" i="2"/>
  <c r="Y433" i="2"/>
  <c r="Y455" i="2"/>
  <c r="Y477" i="2"/>
  <c r="Y497" i="2"/>
  <c r="Y519" i="2"/>
  <c r="Y541" i="2"/>
  <c r="Y561" i="2"/>
  <c r="Y583" i="2"/>
  <c r="Y605" i="2"/>
  <c r="Y625" i="2"/>
  <c r="Y647" i="2"/>
  <c r="Y669" i="2"/>
  <c r="Y689" i="2"/>
  <c r="Y705" i="2"/>
  <c r="Y721" i="2"/>
  <c r="Y737" i="2"/>
  <c r="Y753" i="2"/>
  <c r="Y769" i="2"/>
  <c r="Y784" i="2"/>
  <c r="Y794" i="2"/>
  <c r="Y806" i="2"/>
  <c r="Y816" i="2"/>
  <c r="Y826" i="2"/>
  <c r="Y838" i="2"/>
  <c r="Y848" i="2"/>
  <c r="Y858" i="2"/>
  <c r="Y870" i="2"/>
  <c r="Y880" i="2"/>
  <c r="Y890" i="2"/>
  <c r="Y902" i="2"/>
  <c r="Y912" i="2"/>
  <c r="Y922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25" i="2"/>
  <c r="Y57" i="2"/>
  <c r="Y89" i="2"/>
  <c r="Y121" i="2"/>
  <c r="Y153" i="2"/>
  <c r="Y185" i="2"/>
  <c r="Y217" i="2"/>
  <c r="Y249" i="2"/>
  <c r="Y281" i="2"/>
  <c r="Y306" i="2"/>
  <c r="Y328" i="2"/>
  <c r="Y350" i="2"/>
  <c r="Y370" i="2"/>
  <c r="Y392" i="2"/>
  <c r="Y414" i="2"/>
  <c r="Y434" i="2"/>
  <c r="Y456" i="2"/>
  <c r="Y478" i="2"/>
  <c r="Y498" i="2"/>
  <c r="Y520" i="2"/>
  <c r="Y542" i="2"/>
  <c r="Y562" i="2"/>
  <c r="Y584" i="2"/>
  <c r="Y606" i="2"/>
  <c r="Y626" i="2"/>
  <c r="Y648" i="2"/>
  <c r="Y670" i="2"/>
  <c r="Y690" i="2"/>
  <c r="Y706" i="2"/>
  <c r="Y722" i="2"/>
  <c r="Y738" i="2"/>
  <c r="Y754" i="2"/>
  <c r="Y770" i="2"/>
  <c r="Y785" i="2"/>
  <c r="Y795" i="2"/>
  <c r="Y807" i="2"/>
  <c r="Y817" i="2"/>
  <c r="Y827" i="2"/>
  <c r="Y839" i="2"/>
  <c r="Y849" i="2"/>
  <c r="Y859" i="2"/>
  <c r="Y871" i="2"/>
  <c r="Y881" i="2"/>
  <c r="Y891" i="2"/>
  <c r="Y903" i="2"/>
  <c r="Y913" i="2"/>
  <c r="Y923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26" i="2"/>
  <c r="Y58" i="2"/>
  <c r="Y90" i="2"/>
  <c r="Y122" i="2"/>
  <c r="Y154" i="2"/>
  <c r="Y186" i="2"/>
  <c r="Y218" i="2"/>
  <c r="Y250" i="2"/>
  <c r="Y282" i="2"/>
  <c r="Y309" i="2"/>
  <c r="Y329" i="2"/>
  <c r="Y351" i="2"/>
  <c r="Y373" i="2"/>
  <c r="Y393" i="2"/>
  <c r="Y415" i="2"/>
  <c r="Y437" i="2"/>
  <c r="Y457" i="2"/>
  <c r="Y479" i="2"/>
  <c r="Y501" i="2"/>
  <c r="Y521" i="2"/>
  <c r="Y543" i="2"/>
  <c r="Y565" i="2"/>
  <c r="Y585" i="2"/>
  <c r="Y607" i="2"/>
  <c r="Y629" i="2"/>
  <c r="Y649" i="2"/>
  <c r="Y671" i="2"/>
  <c r="Y691" i="2"/>
  <c r="Y707" i="2"/>
  <c r="Y723" i="2"/>
  <c r="Y739" i="2"/>
  <c r="Y755" i="2"/>
  <c r="Y771" i="2"/>
  <c r="Y786" i="2"/>
  <c r="Y798" i="2"/>
  <c r="Y808" i="2"/>
  <c r="Y818" i="2"/>
  <c r="Y830" i="2"/>
  <c r="Y840" i="2"/>
  <c r="Y850" i="2"/>
  <c r="Y862" i="2"/>
  <c r="Y872" i="2"/>
  <c r="Y882" i="2"/>
  <c r="Y894" i="2"/>
  <c r="Y904" i="2"/>
  <c r="Y914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7" i="2"/>
  <c r="Y71" i="2"/>
  <c r="Y135" i="2"/>
  <c r="Y199" i="2"/>
  <c r="Y263" i="2"/>
  <c r="Y314" i="2"/>
  <c r="Y358" i="2"/>
  <c r="Y400" i="2"/>
  <c r="Y442" i="2"/>
  <c r="Y486" i="2"/>
  <c r="Y528" i="2"/>
  <c r="Y570" i="2"/>
  <c r="Y614" i="2"/>
  <c r="Y656" i="2"/>
  <c r="Y696" i="2"/>
  <c r="Y728" i="2"/>
  <c r="Y760" i="2"/>
  <c r="Y787" i="2"/>
  <c r="Y809" i="2"/>
  <c r="Y831" i="2"/>
  <c r="Y851" i="2"/>
  <c r="Y873" i="2"/>
  <c r="Y895" i="2"/>
  <c r="Y915" i="2"/>
  <c r="Y935" i="2"/>
  <c r="Y951" i="2"/>
  <c r="Y967" i="2"/>
  <c r="Y983" i="2"/>
  <c r="Y999" i="2"/>
  <c r="Y1015" i="2"/>
  <c r="Y1031" i="2"/>
  <c r="Y1047" i="2"/>
  <c r="Y1063" i="2"/>
  <c r="Y1079" i="2"/>
  <c r="Y1095" i="2"/>
  <c r="Y1111" i="2"/>
  <c r="Y1121" i="2"/>
  <c r="Y1133" i="2"/>
  <c r="Y1143" i="2"/>
  <c r="Y1153" i="2"/>
  <c r="Y1165" i="2"/>
  <c r="Y1175" i="2"/>
  <c r="Y1185" i="2"/>
  <c r="Y1197" i="2"/>
  <c r="Y1207" i="2"/>
  <c r="Y1217" i="2"/>
  <c r="Y1229" i="2"/>
  <c r="Y1238" i="2"/>
  <c r="Y1246" i="2"/>
  <c r="Y1254" i="2"/>
  <c r="Y167" i="2"/>
  <c r="Y1127" i="2"/>
  <c r="Y1201" i="2"/>
  <c r="Y1258" i="2"/>
  <c r="V59" i="1" s="1"/>
  <c r="AC15" i="2" s="1"/>
  <c r="Y8" i="2"/>
  <c r="Y72" i="2"/>
  <c r="Y136" i="2"/>
  <c r="Y200" i="2"/>
  <c r="Y264" i="2"/>
  <c r="Y317" i="2"/>
  <c r="Y359" i="2"/>
  <c r="Y401" i="2"/>
  <c r="Y445" i="2"/>
  <c r="Y487" i="2"/>
  <c r="Y529" i="2"/>
  <c r="Y573" i="2"/>
  <c r="Y615" i="2"/>
  <c r="Y657" i="2"/>
  <c r="Y697" i="2"/>
  <c r="Y729" i="2"/>
  <c r="Y761" i="2"/>
  <c r="Y790" i="2"/>
  <c r="Y810" i="2"/>
  <c r="Y832" i="2"/>
  <c r="Y854" i="2"/>
  <c r="Y874" i="2"/>
  <c r="Y896" i="2"/>
  <c r="Y918" i="2"/>
  <c r="Y936" i="2"/>
  <c r="Y952" i="2"/>
  <c r="Y968" i="2"/>
  <c r="Y984" i="2"/>
  <c r="Y1000" i="2"/>
  <c r="Y1016" i="2"/>
  <c r="Y1032" i="2"/>
  <c r="Y1048" i="2"/>
  <c r="Y1064" i="2"/>
  <c r="Y1080" i="2"/>
  <c r="Y1096" i="2"/>
  <c r="Y1112" i="2"/>
  <c r="Y1122" i="2"/>
  <c r="Y1134" i="2"/>
  <c r="Y1144" i="2"/>
  <c r="Y1154" i="2"/>
  <c r="Y1166" i="2"/>
  <c r="Y1176" i="2"/>
  <c r="Y1186" i="2"/>
  <c r="Y1198" i="2"/>
  <c r="Y1208" i="2"/>
  <c r="Y1218" i="2"/>
  <c r="Y1230" i="2"/>
  <c r="Y1239" i="2"/>
  <c r="Y1247" i="2"/>
  <c r="Y1255" i="2"/>
  <c r="Y103" i="2"/>
  <c r="Y1137" i="2"/>
  <c r="Y1223" i="2"/>
  <c r="Y9" i="2"/>
  <c r="Y73" i="2"/>
  <c r="Y137" i="2"/>
  <c r="Y201" i="2"/>
  <c r="Y265" i="2"/>
  <c r="Y318" i="2"/>
  <c r="Y360" i="2"/>
  <c r="Y402" i="2"/>
  <c r="Y446" i="2"/>
  <c r="Y488" i="2"/>
  <c r="Y530" i="2"/>
  <c r="Y574" i="2"/>
  <c r="Y616" i="2"/>
  <c r="Y658" i="2"/>
  <c r="Y698" i="2"/>
  <c r="Y730" i="2"/>
  <c r="Y762" i="2"/>
  <c r="Y791" i="2"/>
  <c r="Y811" i="2"/>
  <c r="Y833" i="2"/>
  <c r="Y855" i="2"/>
  <c r="Y875" i="2"/>
  <c r="Y897" i="2"/>
  <c r="Y919" i="2"/>
  <c r="Y937" i="2"/>
  <c r="Y953" i="2"/>
  <c r="Y969" i="2"/>
  <c r="Y985" i="2"/>
  <c r="Y1001" i="2"/>
  <c r="Y1017" i="2"/>
  <c r="Y1033" i="2"/>
  <c r="Y1049" i="2"/>
  <c r="Y1065" i="2"/>
  <c r="Y1081" i="2"/>
  <c r="Y1097" i="2"/>
  <c r="Y1113" i="2"/>
  <c r="Y1125" i="2"/>
  <c r="Y1135" i="2"/>
  <c r="Y1145" i="2"/>
  <c r="Y1157" i="2"/>
  <c r="Y1167" i="2"/>
  <c r="Y1177" i="2"/>
  <c r="Y1189" i="2"/>
  <c r="Y1199" i="2"/>
  <c r="Y1209" i="2"/>
  <c r="Y1221" i="2"/>
  <c r="Y1231" i="2"/>
  <c r="Y1240" i="2"/>
  <c r="Y1248" i="2"/>
  <c r="Y1256" i="2"/>
  <c r="Y10" i="2"/>
  <c r="Y74" i="2"/>
  <c r="Y138" i="2"/>
  <c r="Y202" i="2"/>
  <c r="Y266" i="2"/>
  <c r="Y319" i="2"/>
  <c r="Y361" i="2"/>
  <c r="Y405" i="2"/>
  <c r="Y447" i="2"/>
  <c r="Y489" i="2"/>
  <c r="Y533" i="2"/>
  <c r="Y575" i="2"/>
  <c r="Y617" i="2"/>
  <c r="Y661" i="2"/>
  <c r="Y699" i="2"/>
  <c r="Y731" i="2"/>
  <c r="Y763" i="2"/>
  <c r="Y792" i="2"/>
  <c r="Y814" i="2"/>
  <c r="Y834" i="2"/>
  <c r="Y856" i="2"/>
  <c r="Y878" i="2"/>
  <c r="Y898" i="2"/>
  <c r="Y920" i="2"/>
  <c r="Y938" i="2"/>
  <c r="Y954" i="2"/>
  <c r="Y970" i="2"/>
  <c r="Y986" i="2"/>
  <c r="Y1002" i="2"/>
  <c r="Y1018" i="2"/>
  <c r="Y1034" i="2"/>
  <c r="Y1050" i="2"/>
  <c r="Y1066" i="2"/>
  <c r="Y1082" i="2"/>
  <c r="Y1098" i="2"/>
  <c r="Y1114" i="2"/>
  <c r="Y1126" i="2"/>
  <c r="Y1136" i="2"/>
  <c r="Y1146" i="2"/>
  <c r="Y1158" i="2"/>
  <c r="Y1168" i="2"/>
  <c r="Y1178" i="2"/>
  <c r="Y1190" i="2"/>
  <c r="Y1200" i="2"/>
  <c r="Y1210" i="2"/>
  <c r="Y1222" i="2"/>
  <c r="Y1232" i="2"/>
  <c r="Y1241" i="2"/>
  <c r="Y1249" i="2"/>
  <c r="Y1257" i="2"/>
  <c r="Y39" i="2"/>
  <c r="Y1213" i="2"/>
  <c r="Y336" i="2"/>
  <c r="Y378" i="2"/>
  <c r="Y422" i="2"/>
  <c r="Y464" i="2"/>
  <c r="Y506" i="2"/>
  <c r="Y550" i="2"/>
  <c r="Y592" i="2"/>
  <c r="Y634" i="2"/>
  <c r="Y678" i="2"/>
  <c r="Y712" i="2"/>
  <c r="Y744" i="2"/>
  <c r="Y776" i="2"/>
  <c r="Y799" i="2"/>
  <c r="Y819" i="2"/>
  <c r="Y841" i="2"/>
  <c r="Y863" i="2"/>
  <c r="Y883" i="2"/>
  <c r="Y905" i="2"/>
  <c r="Y927" i="2"/>
  <c r="Y943" i="2"/>
  <c r="Y959" i="2"/>
  <c r="Y975" i="2"/>
  <c r="Y991" i="2"/>
  <c r="Y1007" i="2"/>
  <c r="Y1023" i="2"/>
  <c r="Y1039" i="2"/>
  <c r="Y1055" i="2"/>
  <c r="Y1071" i="2"/>
  <c r="Y1103" i="2"/>
  <c r="Y1149" i="2"/>
  <c r="Y1159" i="2"/>
  <c r="Y1169" i="2"/>
  <c r="Y1191" i="2"/>
  <c r="Y1242" i="2"/>
  <c r="Y40" i="2"/>
  <c r="Y104" i="2"/>
  <c r="Y168" i="2"/>
  <c r="Y232" i="2"/>
  <c r="Y295" i="2"/>
  <c r="Y337" i="2"/>
  <c r="Y381" i="2"/>
  <c r="Y423" i="2"/>
  <c r="Y465" i="2"/>
  <c r="Y509" i="2"/>
  <c r="Y551" i="2"/>
  <c r="Y593" i="2"/>
  <c r="Y637" i="2"/>
  <c r="Y679" i="2"/>
  <c r="Y713" i="2"/>
  <c r="Y745" i="2"/>
  <c r="Y777" i="2"/>
  <c r="Y800" i="2"/>
  <c r="Y822" i="2"/>
  <c r="Y842" i="2"/>
  <c r="Y864" i="2"/>
  <c r="Y886" i="2"/>
  <c r="Y906" i="2"/>
  <c r="Y928" i="2"/>
  <c r="Y944" i="2"/>
  <c r="Y960" i="2"/>
  <c r="Y976" i="2"/>
  <c r="Y992" i="2"/>
  <c r="Y1008" i="2"/>
  <c r="Y1024" i="2"/>
  <c r="Y1040" i="2"/>
  <c r="Y1056" i="2"/>
  <c r="Y1072" i="2"/>
  <c r="Y1088" i="2"/>
  <c r="Y1104" i="2"/>
  <c r="Y1118" i="2"/>
  <c r="Y1128" i="2"/>
  <c r="Y1138" i="2"/>
  <c r="Y1150" i="2"/>
  <c r="Y1160" i="2"/>
  <c r="Y1170" i="2"/>
  <c r="Y1182" i="2"/>
  <c r="Y1192" i="2"/>
  <c r="Y1202" i="2"/>
  <c r="Y1214" i="2"/>
  <c r="Y1224" i="2"/>
  <c r="Y1234" i="2"/>
  <c r="Y1243" i="2"/>
  <c r="Y1251" i="2"/>
  <c r="Y41" i="2"/>
  <c r="Y105" i="2"/>
  <c r="Y169" i="2"/>
  <c r="Y233" i="2"/>
  <c r="Y296" i="2"/>
  <c r="Y338" i="2"/>
  <c r="Y382" i="2"/>
  <c r="Y424" i="2"/>
  <c r="Y466" i="2"/>
  <c r="Y510" i="2"/>
  <c r="Y552" i="2"/>
  <c r="Y594" i="2"/>
  <c r="Y638" i="2"/>
  <c r="Y680" i="2"/>
  <c r="Y714" i="2"/>
  <c r="Y746" i="2"/>
  <c r="Y778" i="2"/>
  <c r="Y801" i="2"/>
  <c r="Y823" i="2"/>
  <c r="Y843" i="2"/>
  <c r="Y865" i="2"/>
  <c r="Y887" i="2"/>
  <c r="Y907" i="2"/>
  <c r="Y929" i="2"/>
  <c r="Y945" i="2"/>
  <c r="Y961" i="2"/>
  <c r="Y977" i="2"/>
  <c r="Y993" i="2"/>
  <c r="Y1009" i="2"/>
  <c r="Y1025" i="2"/>
  <c r="Y1041" i="2"/>
  <c r="Y1057" i="2"/>
  <c r="Y1073" i="2"/>
  <c r="Y1089" i="2"/>
  <c r="Y1105" i="2"/>
  <c r="Y1119" i="2"/>
  <c r="Y1129" i="2"/>
  <c r="Y1141" i="2"/>
  <c r="Y1151" i="2"/>
  <c r="Y1161" i="2"/>
  <c r="Y1173" i="2"/>
  <c r="Y1183" i="2"/>
  <c r="Y1193" i="2"/>
  <c r="Y1205" i="2"/>
  <c r="Y1215" i="2"/>
  <c r="Y1225" i="2"/>
  <c r="Y1236" i="2"/>
  <c r="Y1244" i="2"/>
  <c r="Y1252" i="2"/>
  <c r="Y231" i="2"/>
  <c r="Y1087" i="2"/>
  <c r="Y1233" i="2"/>
  <c r="Y42" i="2"/>
  <c r="Y106" i="2"/>
  <c r="Y170" i="2"/>
  <c r="Y234" i="2"/>
  <c r="Y297" i="2"/>
  <c r="Y341" i="2"/>
  <c r="Y383" i="2"/>
  <c r="Y425" i="2"/>
  <c r="Y469" i="2"/>
  <c r="Y511" i="2"/>
  <c r="Y553" i="2"/>
  <c r="Y597" i="2"/>
  <c r="Y639" i="2"/>
  <c r="Y681" i="2"/>
  <c r="Y715" i="2"/>
  <c r="Y747" i="2"/>
  <c r="Y779" i="2"/>
  <c r="Y802" i="2"/>
  <c r="Y824" i="2"/>
  <c r="Y846" i="2"/>
  <c r="Y866" i="2"/>
  <c r="Y888" i="2"/>
  <c r="Y910" i="2"/>
  <c r="Y930" i="2"/>
  <c r="Y946" i="2"/>
  <c r="Y962" i="2"/>
  <c r="Y978" i="2"/>
  <c r="Y994" i="2"/>
  <c r="Y1010" i="2"/>
  <c r="Y1026" i="2"/>
  <c r="Y1042" i="2"/>
  <c r="Y1058" i="2"/>
  <c r="Y1074" i="2"/>
  <c r="Y1090" i="2"/>
  <c r="Y1106" i="2"/>
  <c r="Y1120" i="2"/>
  <c r="Y1130" i="2"/>
  <c r="Y1142" i="2"/>
  <c r="Y1152" i="2"/>
  <c r="Y1162" i="2"/>
  <c r="Y1174" i="2"/>
  <c r="Y1184" i="2"/>
  <c r="Y1194" i="2"/>
  <c r="Y1206" i="2"/>
  <c r="Y1216" i="2"/>
  <c r="Y1226" i="2"/>
  <c r="Y1237" i="2"/>
  <c r="Y1245" i="2"/>
  <c r="Y1253" i="2"/>
  <c r="Y294" i="2"/>
  <c r="Y1117" i="2"/>
  <c r="Y1181" i="2"/>
  <c r="Y1250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X499" i="2"/>
  <c r="X507" i="2"/>
  <c r="X515" i="2"/>
  <c r="X523" i="2"/>
  <c r="X531" i="2"/>
  <c r="X539" i="2"/>
  <c r="X547" i="2"/>
  <c r="X555" i="2"/>
  <c r="X563" i="2"/>
  <c r="X571" i="2"/>
  <c r="X579" i="2"/>
  <c r="X587" i="2"/>
  <c r="X595" i="2"/>
  <c r="X603" i="2"/>
  <c r="X611" i="2"/>
  <c r="X619" i="2"/>
  <c r="X627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572" i="2"/>
  <c r="X580" i="2"/>
  <c r="X588" i="2"/>
  <c r="X596" i="2"/>
  <c r="X604" i="2"/>
  <c r="X612" i="2"/>
  <c r="X620" i="2"/>
  <c r="X628" i="2"/>
  <c r="X25" i="2"/>
  <c r="X57" i="2"/>
  <c r="X89" i="2"/>
  <c r="X117" i="2"/>
  <c r="X133" i="2"/>
  <c r="X149" i="2"/>
  <c r="X165" i="2"/>
  <c r="X181" i="2"/>
  <c r="X197" i="2"/>
  <c r="X213" i="2"/>
  <c r="X229" i="2"/>
  <c r="X245" i="2"/>
  <c r="X261" i="2"/>
  <c r="X277" i="2"/>
  <c r="X293" i="2"/>
  <c r="X309" i="2"/>
  <c r="X325" i="2"/>
  <c r="X341" i="2"/>
  <c r="X357" i="2"/>
  <c r="X373" i="2"/>
  <c r="X389" i="2"/>
  <c r="X405" i="2"/>
  <c r="X421" i="2"/>
  <c r="X437" i="2"/>
  <c r="X453" i="2"/>
  <c r="X469" i="2"/>
  <c r="X485" i="2"/>
  <c r="X501" i="2"/>
  <c r="X517" i="2"/>
  <c r="X533" i="2"/>
  <c r="X549" i="2"/>
  <c r="X565" i="2"/>
  <c r="X581" i="2"/>
  <c r="X597" i="2"/>
  <c r="X613" i="2"/>
  <c r="X629" i="2"/>
  <c r="X641" i="2"/>
  <c r="X651" i="2"/>
  <c r="X661" i="2"/>
  <c r="X673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26" i="2"/>
  <c r="X58" i="2"/>
  <c r="X90" i="2"/>
  <c r="X118" i="2"/>
  <c r="X134" i="2"/>
  <c r="X150" i="2"/>
  <c r="X166" i="2"/>
  <c r="X182" i="2"/>
  <c r="X198" i="2"/>
  <c r="X214" i="2"/>
  <c r="X230" i="2"/>
  <c r="X246" i="2"/>
  <c r="X262" i="2"/>
  <c r="X278" i="2"/>
  <c r="X294" i="2"/>
  <c r="X310" i="2"/>
  <c r="X326" i="2"/>
  <c r="X342" i="2"/>
  <c r="X358" i="2"/>
  <c r="X374" i="2"/>
  <c r="X390" i="2"/>
  <c r="X406" i="2"/>
  <c r="X422" i="2"/>
  <c r="X438" i="2"/>
  <c r="X454" i="2"/>
  <c r="X470" i="2"/>
  <c r="X486" i="2"/>
  <c r="X502" i="2"/>
  <c r="X518" i="2"/>
  <c r="X534" i="2"/>
  <c r="X550" i="2"/>
  <c r="X566" i="2"/>
  <c r="X582" i="2"/>
  <c r="X598" i="2"/>
  <c r="X614" i="2"/>
  <c r="X630" i="2"/>
  <c r="X642" i="2"/>
  <c r="X652" i="2"/>
  <c r="X662" i="2"/>
  <c r="X674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33" i="2"/>
  <c r="X65" i="2"/>
  <c r="X97" i="2"/>
  <c r="X121" i="2"/>
  <c r="X137" i="2"/>
  <c r="X153" i="2"/>
  <c r="X169" i="2"/>
  <c r="X185" i="2"/>
  <c r="X201" i="2"/>
  <c r="X217" i="2"/>
  <c r="X233" i="2"/>
  <c r="X249" i="2"/>
  <c r="X265" i="2"/>
  <c r="X281" i="2"/>
  <c r="X297" i="2"/>
  <c r="X313" i="2"/>
  <c r="X329" i="2"/>
  <c r="X345" i="2"/>
  <c r="X361" i="2"/>
  <c r="X377" i="2"/>
  <c r="X393" i="2"/>
  <c r="X409" i="2"/>
  <c r="X425" i="2"/>
  <c r="X441" i="2"/>
  <c r="X457" i="2"/>
  <c r="X473" i="2"/>
  <c r="X489" i="2"/>
  <c r="X505" i="2"/>
  <c r="X521" i="2"/>
  <c r="X537" i="2"/>
  <c r="X553" i="2"/>
  <c r="X569" i="2"/>
  <c r="X585" i="2"/>
  <c r="X601" i="2"/>
  <c r="X617" i="2"/>
  <c r="X633" i="2"/>
  <c r="X643" i="2"/>
  <c r="X653" i="2"/>
  <c r="X665" i="2"/>
  <c r="X675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34" i="2"/>
  <c r="X66" i="2"/>
  <c r="X98" i="2"/>
  <c r="X122" i="2"/>
  <c r="X138" i="2"/>
  <c r="X154" i="2"/>
  <c r="X170" i="2"/>
  <c r="X186" i="2"/>
  <c r="X202" i="2"/>
  <c r="X218" i="2"/>
  <c r="X234" i="2"/>
  <c r="X250" i="2"/>
  <c r="X266" i="2"/>
  <c r="X282" i="2"/>
  <c r="X298" i="2"/>
  <c r="X314" i="2"/>
  <c r="X330" i="2"/>
  <c r="X346" i="2"/>
  <c r="X362" i="2"/>
  <c r="X378" i="2"/>
  <c r="X394" i="2"/>
  <c r="X410" i="2"/>
  <c r="X426" i="2"/>
  <c r="X442" i="2"/>
  <c r="X458" i="2"/>
  <c r="X474" i="2"/>
  <c r="X490" i="2"/>
  <c r="X506" i="2"/>
  <c r="X522" i="2"/>
  <c r="X538" i="2"/>
  <c r="X554" i="2"/>
  <c r="X570" i="2"/>
  <c r="X586" i="2"/>
  <c r="X602" i="2"/>
  <c r="X618" i="2"/>
  <c r="X634" i="2"/>
  <c r="X644" i="2"/>
  <c r="X654" i="2"/>
  <c r="X666" i="2"/>
  <c r="X676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" i="2"/>
  <c r="X73" i="2"/>
  <c r="X125" i="2"/>
  <c r="X157" i="2"/>
  <c r="X189" i="2"/>
  <c r="X221" i="2"/>
  <c r="X253" i="2"/>
  <c r="X285" i="2"/>
  <c r="X317" i="2"/>
  <c r="X349" i="2"/>
  <c r="X381" i="2"/>
  <c r="X413" i="2"/>
  <c r="X445" i="2"/>
  <c r="X477" i="2"/>
  <c r="X509" i="2"/>
  <c r="X541" i="2"/>
  <c r="X573" i="2"/>
  <c r="X605" i="2"/>
  <c r="X635" i="2"/>
  <c r="X657" i="2"/>
  <c r="X677" i="2"/>
  <c r="X695" i="2"/>
  <c r="X711" i="2"/>
  <c r="X727" i="2"/>
  <c r="X743" i="2"/>
  <c r="X759" i="2"/>
  <c r="X775" i="2"/>
  <c r="X791" i="2"/>
  <c r="X807" i="2"/>
  <c r="X823" i="2"/>
  <c r="X839" i="2"/>
  <c r="X855" i="2"/>
  <c r="X871" i="2"/>
  <c r="X887" i="2"/>
  <c r="X903" i="2"/>
  <c r="X919" i="2"/>
  <c r="X929" i="2"/>
  <c r="X941" i="2"/>
  <c r="X951" i="2"/>
  <c r="X961" i="2"/>
  <c r="X973" i="2"/>
  <c r="X983" i="2"/>
  <c r="X993" i="2"/>
  <c r="X1005" i="2"/>
  <c r="X1015" i="2"/>
  <c r="X1025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17" i="2"/>
  <c r="X1103" i="2"/>
  <c r="X1183" i="2"/>
  <c r="X1215" i="2"/>
  <c r="X1239" i="2"/>
  <c r="X1249" i="2"/>
  <c r="X10" i="2"/>
  <c r="X74" i="2"/>
  <c r="X126" i="2"/>
  <c r="X158" i="2"/>
  <c r="X190" i="2"/>
  <c r="X222" i="2"/>
  <c r="X254" i="2"/>
  <c r="X286" i="2"/>
  <c r="X318" i="2"/>
  <c r="X350" i="2"/>
  <c r="X382" i="2"/>
  <c r="X414" i="2"/>
  <c r="X446" i="2"/>
  <c r="X478" i="2"/>
  <c r="X510" i="2"/>
  <c r="X542" i="2"/>
  <c r="X574" i="2"/>
  <c r="X606" i="2"/>
  <c r="X636" i="2"/>
  <c r="X658" i="2"/>
  <c r="X678" i="2"/>
  <c r="X696" i="2"/>
  <c r="X712" i="2"/>
  <c r="X728" i="2"/>
  <c r="X744" i="2"/>
  <c r="X760" i="2"/>
  <c r="X776" i="2"/>
  <c r="X792" i="2"/>
  <c r="X808" i="2"/>
  <c r="X824" i="2"/>
  <c r="X840" i="2"/>
  <c r="X856" i="2"/>
  <c r="X872" i="2"/>
  <c r="X888" i="2"/>
  <c r="X904" i="2"/>
  <c r="X920" i="2"/>
  <c r="X930" i="2"/>
  <c r="X942" i="2"/>
  <c r="X952" i="2"/>
  <c r="X962" i="2"/>
  <c r="X974" i="2"/>
  <c r="X984" i="2"/>
  <c r="X994" i="2"/>
  <c r="X1006" i="2"/>
  <c r="X1016" i="2"/>
  <c r="X1026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81" i="2"/>
  <c r="X1095" i="2"/>
  <c r="X1167" i="2"/>
  <c r="X1207" i="2"/>
  <c r="X1231" i="2"/>
  <c r="X1255" i="2"/>
  <c r="X129" i="2"/>
  <c r="X161" i="2"/>
  <c r="X193" i="2"/>
  <c r="X225" i="2"/>
  <c r="X257" i="2"/>
  <c r="X289" i="2"/>
  <c r="X321" i="2"/>
  <c r="X353" i="2"/>
  <c r="X385" i="2"/>
  <c r="X417" i="2"/>
  <c r="X449" i="2"/>
  <c r="X481" i="2"/>
  <c r="X513" i="2"/>
  <c r="X545" i="2"/>
  <c r="X577" i="2"/>
  <c r="X609" i="2"/>
  <c r="X637" i="2"/>
  <c r="X659" i="2"/>
  <c r="X681" i="2"/>
  <c r="X729" i="2"/>
  <c r="X745" i="2"/>
  <c r="X761" i="2"/>
  <c r="X777" i="2"/>
  <c r="X793" i="2"/>
  <c r="X809" i="2"/>
  <c r="X825" i="2"/>
  <c r="X841" i="2"/>
  <c r="X857" i="2"/>
  <c r="X873" i="2"/>
  <c r="X889" i="2"/>
  <c r="X905" i="2"/>
  <c r="X921" i="2"/>
  <c r="X933" i="2"/>
  <c r="X943" i="2"/>
  <c r="X953" i="2"/>
  <c r="X965" i="2"/>
  <c r="X975" i="2"/>
  <c r="X985" i="2"/>
  <c r="X997" i="2"/>
  <c r="X1007" i="2"/>
  <c r="X1017" i="2"/>
  <c r="X1029" i="2"/>
  <c r="X1039" i="2"/>
  <c r="X1047" i="2"/>
  <c r="X1055" i="2"/>
  <c r="X1063" i="2"/>
  <c r="X1071" i="2"/>
  <c r="X1079" i="2"/>
  <c r="X1087" i="2"/>
  <c r="X1111" i="2"/>
  <c r="X1119" i="2"/>
  <c r="X1127" i="2"/>
  <c r="X1135" i="2"/>
  <c r="X1143" i="2"/>
  <c r="X1151" i="2"/>
  <c r="X1159" i="2"/>
  <c r="X1175" i="2"/>
  <c r="X1191" i="2"/>
  <c r="X1199" i="2"/>
  <c r="X1223" i="2"/>
  <c r="X1247" i="2"/>
  <c r="X18" i="2"/>
  <c r="X82" i="2"/>
  <c r="X130" i="2"/>
  <c r="X162" i="2"/>
  <c r="X194" i="2"/>
  <c r="X226" i="2"/>
  <c r="X258" i="2"/>
  <c r="X290" i="2"/>
  <c r="X322" i="2"/>
  <c r="X354" i="2"/>
  <c r="X386" i="2"/>
  <c r="X418" i="2"/>
  <c r="X450" i="2"/>
  <c r="X482" i="2"/>
  <c r="X514" i="2"/>
  <c r="X546" i="2"/>
  <c r="X578" i="2"/>
  <c r="X610" i="2"/>
  <c r="X638" i="2"/>
  <c r="X660" i="2"/>
  <c r="X682" i="2"/>
  <c r="X698" i="2"/>
  <c r="X714" i="2"/>
  <c r="X730" i="2"/>
  <c r="X746" i="2"/>
  <c r="X762" i="2"/>
  <c r="X778" i="2"/>
  <c r="X794" i="2"/>
  <c r="X810" i="2"/>
  <c r="X826" i="2"/>
  <c r="X842" i="2"/>
  <c r="X858" i="2"/>
  <c r="X874" i="2"/>
  <c r="X890" i="2"/>
  <c r="X906" i="2"/>
  <c r="X922" i="2"/>
  <c r="X934" i="2"/>
  <c r="X944" i="2"/>
  <c r="X954" i="2"/>
  <c r="X966" i="2"/>
  <c r="X976" i="2"/>
  <c r="X986" i="2"/>
  <c r="X998" i="2"/>
  <c r="X1008" i="2"/>
  <c r="X1018" i="2"/>
  <c r="X1030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41" i="2"/>
  <c r="X105" i="2"/>
  <c r="X141" i="2"/>
  <c r="X173" i="2"/>
  <c r="X205" i="2"/>
  <c r="X237" i="2"/>
  <c r="X269" i="2"/>
  <c r="X301" i="2"/>
  <c r="X333" i="2"/>
  <c r="X365" i="2"/>
  <c r="X397" i="2"/>
  <c r="X429" i="2"/>
  <c r="X461" i="2"/>
  <c r="X493" i="2"/>
  <c r="X525" i="2"/>
  <c r="X557" i="2"/>
  <c r="X589" i="2"/>
  <c r="X621" i="2"/>
  <c r="X645" i="2"/>
  <c r="X667" i="2"/>
  <c r="X687" i="2"/>
  <c r="X703" i="2"/>
  <c r="X719" i="2"/>
  <c r="X735" i="2"/>
  <c r="X751" i="2"/>
  <c r="X767" i="2"/>
  <c r="X783" i="2"/>
  <c r="X799" i="2"/>
  <c r="X815" i="2"/>
  <c r="X831" i="2"/>
  <c r="X847" i="2"/>
  <c r="X863" i="2"/>
  <c r="X879" i="2"/>
  <c r="X895" i="2"/>
  <c r="X911" i="2"/>
  <c r="X925" i="2"/>
  <c r="X935" i="2"/>
  <c r="X945" i="2"/>
  <c r="X957" i="2"/>
  <c r="X967" i="2"/>
  <c r="X977" i="2"/>
  <c r="X989" i="2"/>
  <c r="X999" i="2"/>
  <c r="X1009" i="2"/>
  <c r="X1021" i="2"/>
  <c r="X1031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57" i="2"/>
  <c r="X42" i="2"/>
  <c r="X106" i="2"/>
  <c r="X142" i="2"/>
  <c r="X174" i="2"/>
  <c r="X206" i="2"/>
  <c r="X238" i="2"/>
  <c r="X270" i="2"/>
  <c r="X302" i="2"/>
  <c r="X334" i="2"/>
  <c r="X366" i="2"/>
  <c r="X398" i="2"/>
  <c r="X430" i="2"/>
  <c r="X462" i="2"/>
  <c r="X494" i="2"/>
  <c r="X526" i="2"/>
  <c r="X558" i="2"/>
  <c r="X590" i="2"/>
  <c r="X622" i="2"/>
  <c r="X646" i="2"/>
  <c r="X668" i="2"/>
  <c r="X688" i="2"/>
  <c r="X704" i="2"/>
  <c r="X720" i="2"/>
  <c r="X736" i="2"/>
  <c r="X752" i="2"/>
  <c r="X768" i="2"/>
  <c r="X784" i="2"/>
  <c r="X800" i="2"/>
  <c r="X816" i="2"/>
  <c r="X832" i="2"/>
  <c r="X848" i="2"/>
  <c r="X864" i="2"/>
  <c r="X880" i="2"/>
  <c r="X896" i="2"/>
  <c r="X912" i="2"/>
  <c r="X926" i="2"/>
  <c r="X936" i="2"/>
  <c r="X946" i="2"/>
  <c r="X958" i="2"/>
  <c r="X968" i="2"/>
  <c r="X978" i="2"/>
  <c r="X990" i="2"/>
  <c r="X1000" i="2"/>
  <c r="X1010" i="2"/>
  <c r="X1022" i="2"/>
  <c r="X1032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49" i="2"/>
  <c r="X113" i="2"/>
  <c r="X145" i="2"/>
  <c r="X177" i="2"/>
  <c r="X209" i="2"/>
  <c r="X241" i="2"/>
  <c r="X273" i="2"/>
  <c r="X305" i="2"/>
  <c r="X337" i="2"/>
  <c r="X369" i="2"/>
  <c r="X401" i="2"/>
  <c r="X433" i="2"/>
  <c r="X465" i="2"/>
  <c r="X497" i="2"/>
  <c r="X529" i="2"/>
  <c r="X561" i="2"/>
  <c r="X593" i="2"/>
  <c r="X625" i="2"/>
  <c r="X649" i="2"/>
  <c r="X669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7" i="2"/>
  <c r="X937" i="2"/>
  <c r="X949" i="2"/>
  <c r="X959" i="2"/>
  <c r="X969" i="2"/>
  <c r="X981" i="2"/>
  <c r="X991" i="2"/>
  <c r="X1001" i="2"/>
  <c r="X1013" i="2"/>
  <c r="X1023" i="2"/>
  <c r="X1033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713" i="2"/>
  <c r="X50" i="2"/>
  <c r="X114" i="2"/>
  <c r="X146" i="2"/>
  <c r="X178" i="2"/>
  <c r="X210" i="2"/>
  <c r="X242" i="2"/>
  <c r="X274" i="2"/>
  <c r="X306" i="2"/>
  <c r="X338" i="2"/>
  <c r="X370" i="2"/>
  <c r="X402" i="2"/>
  <c r="X434" i="2"/>
  <c r="X466" i="2"/>
  <c r="X498" i="2"/>
  <c r="X530" i="2"/>
  <c r="X562" i="2"/>
  <c r="X594" i="2"/>
  <c r="X626" i="2"/>
  <c r="X650" i="2"/>
  <c r="X670" i="2"/>
  <c r="X690" i="2"/>
  <c r="X706" i="2"/>
  <c r="X722" i="2"/>
  <c r="X738" i="2"/>
  <c r="X754" i="2"/>
  <c r="X770" i="2"/>
  <c r="X786" i="2"/>
  <c r="X802" i="2"/>
  <c r="X818" i="2"/>
  <c r="X834" i="2"/>
  <c r="X850" i="2"/>
  <c r="X866" i="2"/>
  <c r="X882" i="2"/>
  <c r="X898" i="2"/>
  <c r="X914" i="2"/>
  <c r="X928" i="2"/>
  <c r="X938" i="2"/>
  <c r="X950" i="2"/>
  <c r="X960" i="2"/>
  <c r="X970" i="2"/>
  <c r="X982" i="2"/>
  <c r="X992" i="2"/>
  <c r="X1002" i="2"/>
  <c r="X1014" i="2"/>
  <c r="X1024" i="2"/>
  <c r="X1034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697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523" i="2"/>
  <c r="W531" i="2"/>
  <c r="W539" i="2"/>
  <c r="W547" i="2"/>
  <c r="W555" i="2"/>
  <c r="W563" i="2"/>
  <c r="W571" i="2"/>
  <c r="W579" i="2"/>
  <c r="W587" i="2"/>
  <c r="W595" i="2"/>
  <c r="W603" i="2"/>
  <c r="W611" i="2"/>
  <c r="W619" i="2"/>
  <c r="W627" i="2"/>
  <c r="W635" i="2"/>
  <c r="W643" i="2"/>
  <c r="W651" i="2"/>
  <c r="W659" i="2"/>
  <c r="W667" i="2"/>
  <c r="W675" i="2"/>
  <c r="W68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588" i="2"/>
  <c r="W596" i="2"/>
  <c r="W604" i="2"/>
  <c r="W612" i="2"/>
  <c r="W620" i="2"/>
  <c r="W628" i="2"/>
  <c r="W636" i="2"/>
  <c r="W644" i="2"/>
  <c r="W652" i="2"/>
  <c r="W660" i="2"/>
  <c r="W668" i="2"/>
  <c r="W676" i="2"/>
  <c r="W684" i="2"/>
  <c r="W9" i="2"/>
  <c r="W25" i="2"/>
  <c r="W41" i="2"/>
  <c r="W57" i="2"/>
  <c r="W73" i="2"/>
  <c r="W89" i="2"/>
  <c r="W105" i="2"/>
  <c r="W121" i="2"/>
  <c r="W137" i="2"/>
  <c r="W153" i="2"/>
  <c r="W169" i="2"/>
  <c r="W185" i="2"/>
  <c r="W201" i="2"/>
  <c r="W217" i="2"/>
  <c r="W233" i="2"/>
  <c r="W249" i="2"/>
  <c r="W265" i="2"/>
  <c r="W281" i="2"/>
  <c r="W297" i="2"/>
  <c r="W313" i="2"/>
  <c r="W329" i="2"/>
  <c r="W345" i="2"/>
  <c r="W361" i="2"/>
  <c r="W377" i="2"/>
  <c r="W393" i="2"/>
  <c r="W409" i="2"/>
  <c r="W425" i="2"/>
  <c r="W441" i="2"/>
  <c r="W457" i="2"/>
  <c r="W473" i="2"/>
  <c r="W489" i="2"/>
  <c r="W505" i="2"/>
  <c r="W521" i="2"/>
  <c r="W537" i="2"/>
  <c r="W550" i="2"/>
  <c r="W560" i="2"/>
  <c r="W570" i="2"/>
  <c r="W582" i="2"/>
  <c r="W592" i="2"/>
  <c r="W602" i="2"/>
  <c r="W614" i="2"/>
  <c r="W624" i="2"/>
  <c r="W634" i="2"/>
  <c r="W646" i="2"/>
  <c r="W656" i="2"/>
  <c r="W666" i="2"/>
  <c r="W678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10" i="2"/>
  <c r="W26" i="2"/>
  <c r="W42" i="2"/>
  <c r="W58" i="2"/>
  <c r="W74" i="2"/>
  <c r="W90" i="2"/>
  <c r="W106" i="2"/>
  <c r="W122" i="2"/>
  <c r="W138" i="2"/>
  <c r="W154" i="2"/>
  <c r="W170" i="2"/>
  <c r="W186" i="2"/>
  <c r="W202" i="2"/>
  <c r="W218" i="2"/>
  <c r="W234" i="2"/>
  <c r="W250" i="2"/>
  <c r="W266" i="2"/>
  <c r="W282" i="2"/>
  <c r="W298" i="2"/>
  <c r="W314" i="2"/>
  <c r="W330" i="2"/>
  <c r="W346" i="2"/>
  <c r="W362" i="2"/>
  <c r="W378" i="2"/>
  <c r="W394" i="2"/>
  <c r="W410" i="2"/>
  <c r="W426" i="2"/>
  <c r="W442" i="2"/>
  <c r="W458" i="2"/>
  <c r="W474" i="2"/>
  <c r="W490" i="2"/>
  <c r="W506" i="2"/>
  <c r="W522" i="2"/>
  <c r="W538" i="2"/>
  <c r="W551" i="2"/>
  <c r="W561" i="2"/>
  <c r="W573" i="2"/>
  <c r="W583" i="2"/>
  <c r="W593" i="2"/>
  <c r="W605" i="2"/>
  <c r="W615" i="2"/>
  <c r="W625" i="2"/>
  <c r="W637" i="2"/>
  <c r="W647" i="2"/>
  <c r="W657" i="2"/>
  <c r="W669" i="2"/>
  <c r="W679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15" i="2"/>
  <c r="W31" i="2"/>
  <c r="W47" i="2"/>
  <c r="W63" i="2"/>
  <c r="W79" i="2"/>
  <c r="W95" i="2"/>
  <c r="W111" i="2"/>
  <c r="W127" i="2"/>
  <c r="W143" i="2"/>
  <c r="W159" i="2"/>
  <c r="W175" i="2"/>
  <c r="W191" i="2"/>
  <c r="W207" i="2"/>
  <c r="W223" i="2"/>
  <c r="W239" i="2"/>
  <c r="W255" i="2"/>
  <c r="W271" i="2"/>
  <c r="W287" i="2"/>
  <c r="W303" i="2"/>
  <c r="W319" i="2"/>
  <c r="W335" i="2"/>
  <c r="W351" i="2"/>
  <c r="W367" i="2"/>
  <c r="W383" i="2"/>
  <c r="W399" i="2"/>
  <c r="W415" i="2"/>
  <c r="W431" i="2"/>
  <c r="W447" i="2"/>
  <c r="W463" i="2"/>
  <c r="W479" i="2"/>
  <c r="W495" i="2"/>
  <c r="W511" i="2"/>
  <c r="W527" i="2"/>
  <c r="W541" i="2"/>
  <c r="W552" i="2"/>
  <c r="W562" i="2"/>
  <c r="W574" i="2"/>
  <c r="W584" i="2"/>
  <c r="W594" i="2"/>
  <c r="W606" i="2"/>
  <c r="W616" i="2"/>
  <c r="W626" i="2"/>
  <c r="W638" i="2"/>
  <c r="W648" i="2"/>
  <c r="W658" i="2"/>
  <c r="W670" i="2"/>
  <c r="W680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16" i="2"/>
  <c r="W32" i="2"/>
  <c r="W48" i="2"/>
  <c r="W64" i="2"/>
  <c r="W80" i="2"/>
  <c r="W96" i="2"/>
  <c r="W112" i="2"/>
  <c r="W128" i="2"/>
  <c r="W144" i="2"/>
  <c r="W160" i="2"/>
  <c r="W176" i="2"/>
  <c r="W192" i="2"/>
  <c r="W208" i="2"/>
  <c r="W224" i="2"/>
  <c r="W240" i="2"/>
  <c r="W256" i="2"/>
  <c r="W272" i="2"/>
  <c r="W288" i="2"/>
  <c r="W304" i="2"/>
  <c r="W320" i="2"/>
  <c r="W336" i="2"/>
  <c r="W352" i="2"/>
  <c r="W368" i="2"/>
  <c r="W384" i="2"/>
  <c r="W400" i="2"/>
  <c r="W416" i="2"/>
  <c r="W432" i="2"/>
  <c r="W448" i="2"/>
  <c r="W464" i="2"/>
  <c r="W480" i="2"/>
  <c r="W496" i="2"/>
  <c r="W512" i="2"/>
  <c r="W528" i="2"/>
  <c r="W543" i="2"/>
  <c r="W553" i="2"/>
  <c r="W565" i="2"/>
  <c r="W575" i="2"/>
  <c r="W585" i="2"/>
  <c r="W597" i="2"/>
  <c r="W607" i="2"/>
  <c r="W617" i="2"/>
  <c r="W629" i="2"/>
  <c r="W639" i="2"/>
  <c r="W649" i="2"/>
  <c r="W661" i="2"/>
  <c r="W671" i="2"/>
  <c r="W681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17" i="2"/>
  <c r="W33" i="2"/>
  <c r="W49" i="2"/>
  <c r="W65" i="2"/>
  <c r="W81" i="2"/>
  <c r="W97" i="2"/>
  <c r="W113" i="2"/>
  <c r="W129" i="2"/>
  <c r="W145" i="2"/>
  <c r="W161" i="2"/>
  <c r="W177" i="2"/>
  <c r="W193" i="2"/>
  <c r="W209" i="2"/>
  <c r="W225" i="2"/>
  <c r="W241" i="2"/>
  <c r="W257" i="2"/>
  <c r="W273" i="2"/>
  <c r="W289" i="2"/>
  <c r="W305" i="2"/>
  <c r="W321" i="2"/>
  <c r="W337" i="2"/>
  <c r="W353" i="2"/>
  <c r="W369" i="2"/>
  <c r="W385" i="2"/>
  <c r="W401" i="2"/>
  <c r="W417" i="2"/>
  <c r="W433" i="2"/>
  <c r="W449" i="2"/>
  <c r="W465" i="2"/>
  <c r="W481" i="2"/>
  <c r="W497" i="2"/>
  <c r="W513" i="2"/>
  <c r="W529" i="2"/>
  <c r="W544" i="2"/>
  <c r="W554" i="2"/>
  <c r="W566" i="2"/>
  <c r="W576" i="2"/>
  <c r="W586" i="2"/>
  <c r="W598" i="2"/>
  <c r="W608" i="2"/>
  <c r="W618" i="2"/>
  <c r="W630" i="2"/>
  <c r="W640" i="2"/>
  <c r="W650" i="2"/>
  <c r="W662" i="2"/>
  <c r="W672" i="2"/>
  <c r="W682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18" i="2"/>
  <c r="W34" i="2"/>
  <c r="W50" i="2"/>
  <c r="W66" i="2"/>
  <c r="W82" i="2"/>
  <c r="W98" i="2"/>
  <c r="W114" i="2"/>
  <c r="W130" i="2"/>
  <c r="W146" i="2"/>
  <c r="W162" i="2"/>
  <c r="W178" i="2"/>
  <c r="W194" i="2"/>
  <c r="W210" i="2"/>
  <c r="W226" i="2"/>
  <c r="W242" i="2"/>
  <c r="W258" i="2"/>
  <c r="W274" i="2"/>
  <c r="W290" i="2"/>
  <c r="W306" i="2"/>
  <c r="W322" i="2"/>
  <c r="W338" i="2"/>
  <c r="W354" i="2"/>
  <c r="W370" i="2"/>
  <c r="W386" i="2"/>
  <c r="W402" i="2"/>
  <c r="W418" i="2"/>
  <c r="W434" i="2"/>
  <c r="W450" i="2"/>
  <c r="W466" i="2"/>
  <c r="W482" i="2"/>
  <c r="W498" i="2"/>
  <c r="W514" i="2"/>
  <c r="W530" i="2"/>
  <c r="W545" i="2"/>
  <c r="W557" i="2"/>
  <c r="W567" i="2"/>
  <c r="W577" i="2"/>
  <c r="W589" i="2"/>
  <c r="W599" i="2"/>
  <c r="W609" i="2"/>
  <c r="W621" i="2"/>
  <c r="W631" i="2"/>
  <c r="W641" i="2"/>
  <c r="W653" i="2"/>
  <c r="W663" i="2"/>
  <c r="W673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" i="2"/>
  <c r="W199" i="2"/>
  <c r="W263" i="2"/>
  <c r="W327" i="2"/>
  <c r="W391" i="2"/>
  <c r="W455" i="2"/>
  <c r="W519" i="2"/>
  <c r="W568" i="2"/>
  <c r="W610" i="2"/>
  <c r="W654" i="2"/>
  <c r="W694" i="2"/>
  <c r="W726" i="2"/>
  <c r="W758" i="2"/>
  <c r="W789" i="2"/>
  <c r="W807" i="2"/>
  <c r="W823" i="2"/>
  <c r="W839" i="2"/>
  <c r="W855" i="2"/>
  <c r="W871" i="2"/>
  <c r="W887" i="2"/>
  <c r="W903" i="2"/>
  <c r="W918" i="2"/>
  <c r="W930" i="2"/>
  <c r="W940" i="2"/>
  <c r="W950" i="2"/>
  <c r="W962" i="2"/>
  <c r="W972" i="2"/>
  <c r="W982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112" i="2"/>
  <c r="W1120" i="2"/>
  <c r="W1128" i="2"/>
  <c r="W1136" i="2"/>
  <c r="W1144" i="2"/>
  <c r="W1152" i="2"/>
  <c r="W1176" i="2"/>
  <c r="W1184" i="2"/>
  <c r="W1208" i="2"/>
  <c r="W1232" i="2"/>
  <c r="W8" i="2"/>
  <c r="W72" i="2"/>
  <c r="W136" i="2"/>
  <c r="W200" i="2"/>
  <c r="W264" i="2"/>
  <c r="W328" i="2"/>
  <c r="W392" i="2"/>
  <c r="W456" i="2"/>
  <c r="W520" i="2"/>
  <c r="W569" i="2"/>
  <c r="W613" i="2"/>
  <c r="W655" i="2"/>
  <c r="W695" i="2"/>
  <c r="W727" i="2"/>
  <c r="W759" i="2"/>
  <c r="W790" i="2"/>
  <c r="W812" i="2"/>
  <c r="W828" i="2"/>
  <c r="W844" i="2"/>
  <c r="W860" i="2"/>
  <c r="W876" i="2"/>
  <c r="W892" i="2"/>
  <c r="W908" i="2"/>
  <c r="W919" i="2"/>
  <c r="W931" i="2"/>
  <c r="W941" i="2"/>
  <c r="W951" i="2"/>
  <c r="W963" i="2"/>
  <c r="W973" i="2"/>
  <c r="W983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23" i="2"/>
  <c r="W87" i="2"/>
  <c r="W151" i="2"/>
  <c r="W215" i="2"/>
  <c r="W279" i="2"/>
  <c r="W343" i="2"/>
  <c r="W407" i="2"/>
  <c r="W471" i="2"/>
  <c r="W535" i="2"/>
  <c r="W578" i="2"/>
  <c r="W622" i="2"/>
  <c r="W664" i="2"/>
  <c r="W702" i="2"/>
  <c r="W734" i="2"/>
  <c r="W766" i="2"/>
  <c r="W791" i="2"/>
  <c r="W813" i="2"/>
  <c r="W829" i="2"/>
  <c r="W845" i="2"/>
  <c r="W861" i="2"/>
  <c r="W877" i="2"/>
  <c r="W893" i="2"/>
  <c r="W909" i="2"/>
  <c r="W922" i="2"/>
  <c r="W932" i="2"/>
  <c r="W942" i="2"/>
  <c r="W954" i="2"/>
  <c r="W964" i="2"/>
  <c r="W974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24" i="2"/>
  <c r="W88" i="2"/>
  <c r="W152" i="2"/>
  <c r="W216" i="2"/>
  <c r="W280" i="2"/>
  <c r="W344" i="2"/>
  <c r="W408" i="2"/>
  <c r="W472" i="2"/>
  <c r="W536" i="2"/>
  <c r="W581" i="2"/>
  <c r="W623" i="2"/>
  <c r="W665" i="2"/>
  <c r="W703" i="2"/>
  <c r="W735" i="2"/>
  <c r="W767" i="2"/>
  <c r="W797" i="2"/>
  <c r="W814" i="2"/>
  <c r="W830" i="2"/>
  <c r="W846" i="2"/>
  <c r="W862" i="2"/>
  <c r="W878" i="2"/>
  <c r="W894" i="2"/>
  <c r="W910" i="2"/>
  <c r="W923" i="2"/>
  <c r="W933" i="2"/>
  <c r="W943" i="2"/>
  <c r="W955" i="2"/>
  <c r="W965" i="2"/>
  <c r="W975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39" i="2"/>
  <c r="W103" i="2"/>
  <c r="W167" i="2"/>
  <c r="W231" i="2"/>
  <c r="W295" i="2"/>
  <c r="W359" i="2"/>
  <c r="W423" i="2"/>
  <c r="W487" i="2"/>
  <c r="W546" i="2"/>
  <c r="W590" i="2"/>
  <c r="W632" i="2"/>
  <c r="W674" i="2"/>
  <c r="W710" i="2"/>
  <c r="W742" i="2"/>
  <c r="W774" i="2"/>
  <c r="W798" i="2"/>
  <c r="W815" i="2"/>
  <c r="W831" i="2"/>
  <c r="W847" i="2"/>
  <c r="W863" i="2"/>
  <c r="W879" i="2"/>
  <c r="W895" i="2"/>
  <c r="W911" i="2"/>
  <c r="W924" i="2"/>
  <c r="W934" i="2"/>
  <c r="W946" i="2"/>
  <c r="W956" i="2"/>
  <c r="W966" i="2"/>
  <c r="W978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0" i="2"/>
  <c r="W104" i="2"/>
  <c r="W168" i="2"/>
  <c r="W232" i="2"/>
  <c r="W296" i="2"/>
  <c r="W360" i="2"/>
  <c r="W424" i="2"/>
  <c r="W488" i="2"/>
  <c r="W549" i="2"/>
  <c r="W591" i="2"/>
  <c r="W633" i="2"/>
  <c r="W677" i="2"/>
  <c r="W711" i="2"/>
  <c r="W743" i="2"/>
  <c r="W775" i="2"/>
  <c r="W799" i="2"/>
  <c r="W820" i="2"/>
  <c r="W836" i="2"/>
  <c r="W852" i="2"/>
  <c r="W868" i="2"/>
  <c r="W884" i="2"/>
  <c r="W900" i="2"/>
  <c r="W914" i="2"/>
  <c r="W925" i="2"/>
  <c r="W935" i="2"/>
  <c r="W947" i="2"/>
  <c r="W957" i="2"/>
  <c r="W967" i="2"/>
  <c r="W979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55" i="2"/>
  <c r="W119" i="2"/>
  <c r="W183" i="2"/>
  <c r="W247" i="2"/>
  <c r="W311" i="2"/>
  <c r="W375" i="2"/>
  <c r="W439" i="2"/>
  <c r="W503" i="2"/>
  <c r="W558" i="2"/>
  <c r="W600" i="2"/>
  <c r="W642" i="2"/>
  <c r="W686" i="2"/>
  <c r="W718" i="2"/>
  <c r="W750" i="2"/>
  <c r="W782" i="2"/>
  <c r="W805" i="2"/>
  <c r="W821" i="2"/>
  <c r="W837" i="2"/>
  <c r="W853" i="2"/>
  <c r="W869" i="2"/>
  <c r="W885" i="2"/>
  <c r="W901" i="2"/>
  <c r="W916" i="2"/>
  <c r="W926" i="2"/>
  <c r="W938" i="2"/>
  <c r="W948" i="2"/>
  <c r="W958" i="2"/>
  <c r="W970" i="2"/>
  <c r="W980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135" i="2"/>
  <c r="W1096" i="2"/>
  <c r="W1160" i="2"/>
  <c r="W1192" i="2"/>
  <c r="W1224" i="2"/>
  <c r="W1248" i="2"/>
  <c r="W56" i="2"/>
  <c r="W120" i="2"/>
  <c r="W184" i="2"/>
  <c r="W248" i="2"/>
  <c r="W312" i="2"/>
  <c r="W376" i="2"/>
  <c r="W440" i="2"/>
  <c r="W504" i="2"/>
  <c r="W559" i="2"/>
  <c r="W601" i="2"/>
  <c r="W645" i="2"/>
  <c r="W687" i="2"/>
  <c r="W719" i="2"/>
  <c r="W751" i="2"/>
  <c r="W783" i="2"/>
  <c r="W806" i="2"/>
  <c r="W822" i="2"/>
  <c r="W838" i="2"/>
  <c r="W854" i="2"/>
  <c r="W870" i="2"/>
  <c r="W886" i="2"/>
  <c r="W902" i="2"/>
  <c r="W917" i="2"/>
  <c r="W927" i="2"/>
  <c r="W939" i="2"/>
  <c r="W949" i="2"/>
  <c r="W959" i="2"/>
  <c r="W971" i="2"/>
  <c r="W981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71" i="2"/>
  <c r="W1104" i="2"/>
  <c r="W1168" i="2"/>
  <c r="W1200" i="2"/>
  <c r="W1216" i="2"/>
  <c r="W1240" i="2"/>
  <c r="W1256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675" i="2"/>
  <c r="V683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660" i="2"/>
  <c r="V668" i="2"/>
  <c r="V676" i="2"/>
  <c r="V684" i="2"/>
  <c r="V15" i="2"/>
  <c r="V47" i="2"/>
  <c r="V79" i="2"/>
  <c r="V111" i="2"/>
  <c r="V143" i="2"/>
  <c r="V175" i="2"/>
  <c r="V207" i="2"/>
  <c r="V229" i="2"/>
  <c r="V245" i="2"/>
  <c r="V261" i="2"/>
  <c r="V277" i="2"/>
  <c r="V293" i="2"/>
  <c r="V309" i="2"/>
  <c r="V325" i="2"/>
  <c r="V341" i="2"/>
  <c r="V357" i="2"/>
  <c r="V373" i="2"/>
  <c r="V389" i="2"/>
  <c r="V405" i="2"/>
  <c r="V421" i="2"/>
  <c r="V437" i="2"/>
  <c r="V453" i="2"/>
  <c r="V469" i="2"/>
  <c r="V485" i="2"/>
  <c r="V501" i="2"/>
  <c r="V517" i="2"/>
  <c r="V533" i="2"/>
  <c r="V549" i="2"/>
  <c r="V565" i="2"/>
  <c r="V581" i="2"/>
  <c r="V597" i="2"/>
  <c r="V613" i="2"/>
  <c r="V629" i="2"/>
  <c r="V645" i="2"/>
  <c r="V661" i="2"/>
  <c r="V677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6" i="2"/>
  <c r="V48" i="2"/>
  <c r="V80" i="2"/>
  <c r="V112" i="2"/>
  <c r="V144" i="2"/>
  <c r="V176" i="2"/>
  <c r="V208" i="2"/>
  <c r="V230" i="2"/>
  <c r="V246" i="2"/>
  <c r="V262" i="2"/>
  <c r="V278" i="2"/>
  <c r="V294" i="2"/>
  <c r="V310" i="2"/>
  <c r="V326" i="2"/>
  <c r="V342" i="2"/>
  <c r="V358" i="2"/>
  <c r="V374" i="2"/>
  <c r="V390" i="2"/>
  <c r="V406" i="2"/>
  <c r="V422" i="2"/>
  <c r="V438" i="2"/>
  <c r="V454" i="2"/>
  <c r="V470" i="2"/>
  <c r="V486" i="2"/>
  <c r="V502" i="2"/>
  <c r="V518" i="2"/>
  <c r="V534" i="2"/>
  <c r="V550" i="2"/>
  <c r="V566" i="2"/>
  <c r="V582" i="2"/>
  <c r="V598" i="2"/>
  <c r="V614" i="2"/>
  <c r="V630" i="2"/>
  <c r="V646" i="2"/>
  <c r="V662" i="2"/>
  <c r="V678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23" i="2"/>
  <c r="V55" i="2"/>
  <c r="V87" i="2"/>
  <c r="V119" i="2"/>
  <c r="V151" i="2"/>
  <c r="V183" i="2"/>
  <c r="V213" i="2"/>
  <c r="V231" i="2"/>
  <c r="V247" i="2"/>
  <c r="V263" i="2"/>
  <c r="V279" i="2"/>
  <c r="V295" i="2"/>
  <c r="V311" i="2"/>
  <c r="V327" i="2"/>
  <c r="V343" i="2"/>
  <c r="V359" i="2"/>
  <c r="V375" i="2"/>
  <c r="V391" i="2"/>
  <c r="V407" i="2"/>
  <c r="V423" i="2"/>
  <c r="V439" i="2"/>
  <c r="V455" i="2"/>
  <c r="V471" i="2"/>
  <c r="V487" i="2"/>
  <c r="V503" i="2"/>
  <c r="V519" i="2"/>
  <c r="V535" i="2"/>
  <c r="V551" i="2"/>
  <c r="V567" i="2"/>
  <c r="V583" i="2"/>
  <c r="V599" i="2"/>
  <c r="V615" i="2"/>
  <c r="V631" i="2"/>
  <c r="V647" i="2"/>
  <c r="V663" i="2"/>
  <c r="V679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24" i="2"/>
  <c r="V56" i="2"/>
  <c r="V88" i="2"/>
  <c r="V120" i="2"/>
  <c r="V152" i="2"/>
  <c r="V184" i="2"/>
  <c r="V215" i="2"/>
  <c r="V232" i="2"/>
  <c r="V248" i="2"/>
  <c r="V264" i="2"/>
  <c r="V280" i="2"/>
  <c r="V296" i="2"/>
  <c r="V312" i="2"/>
  <c r="V328" i="2"/>
  <c r="V344" i="2"/>
  <c r="V360" i="2"/>
  <c r="V376" i="2"/>
  <c r="V392" i="2"/>
  <c r="V408" i="2"/>
  <c r="V424" i="2"/>
  <c r="V440" i="2"/>
  <c r="V456" i="2"/>
  <c r="V472" i="2"/>
  <c r="V488" i="2"/>
  <c r="V504" i="2"/>
  <c r="V520" i="2"/>
  <c r="V536" i="2"/>
  <c r="V552" i="2"/>
  <c r="V568" i="2"/>
  <c r="V584" i="2"/>
  <c r="V600" i="2"/>
  <c r="V616" i="2"/>
  <c r="V632" i="2"/>
  <c r="V648" i="2"/>
  <c r="V664" i="2"/>
  <c r="V680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31" i="2"/>
  <c r="V63" i="2"/>
  <c r="V95" i="2"/>
  <c r="V127" i="2"/>
  <c r="V159" i="2"/>
  <c r="V191" i="2"/>
  <c r="V216" i="2"/>
  <c r="V237" i="2"/>
  <c r="V253" i="2"/>
  <c r="V269" i="2"/>
  <c r="V285" i="2"/>
  <c r="V301" i="2"/>
  <c r="V317" i="2"/>
  <c r="V333" i="2"/>
  <c r="V349" i="2"/>
  <c r="V365" i="2"/>
  <c r="V381" i="2"/>
  <c r="V397" i="2"/>
  <c r="V413" i="2"/>
  <c r="V429" i="2"/>
  <c r="V445" i="2"/>
  <c r="V461" i="2"/>
  <c r="V477" i="2"/>
  <c r="V493" i="2"/>
  <c r="V509" i="2"/>
  <c r="V525" i="2"/>
  <c r="V541" i="2"/>
  <c r="V557" i="2"/>
  <c r="V573" i="2"/>
  <c r="V589" i="2"/>
  <c r="V605" i="2"/>
  <c r="V621" i="2"/>
  <c r="V637" i="2"/>
  <c r="V653" i="2"/>
  <c r="V66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32" i="2"/>
  <c r="V64" i="2"/>
  <c r="V96" i="2"/>
  <c r="V128" i="2"/>
  <c r="V160" i="2"/>
  <c r="V192" i="2"/>
  <c r="V221" i="2"/>
  <c r="V238" i="2"/>
  <c r="V254" i="2"/>
  <c r="V270" i="2"/>
  <c r="V286" i="2"/>
  <c r="V302" i="2"/>
  <c r="V318" i="2"/>
  <c r="V334" i="2"/>
  <c r="V350" i="2"/>
  <c r="V366" i="2"/>
  <c r="V382" i="2"/>
  <c r="V398" i="2"/>
  <c r="V414" i="2"/>
  <c r="V430" i="2"/>
  <c r="V446" i="2"/>
  <c r="V462" i="2"/>
  <c r="V478" i="2"/>
  <c r="V494" i="2"/>
  <c r="V510" i="2"/>
  <c r="V526" i="2"/>
  <c r="V542" i="2"/>
  <c r="V558" i="2"/>
  <c r="V574" i="2"/>
  <c r="V590" i="2"/>
  <c r="V606" i="2"/>
  <c r="V622" i="2"/>
  <c r="V638" i="2"/>
  <c r="V654" i="2"/>
  <c r="V670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7" i="2"/>
  <c r="V135" i="2"/>
  <c r="V239" i="2"/>
  <c r="V303" i="2"/>
  <c r="V367" i="2"/>
  <c r="V431" i="2"/>
  <c r="V495" i="2"/>
  <c r="V559" i="2"/>
  <c r="V623" i="2"/>
  <c r="V687" i="2"/>
  <c r="V719" i="2"/>
  <c r="V751" i="2"/>
  <c r="V783" i="2"/>
  <c r="V807" i="2"/>
  <c r="V823" i="2"/>
  <c r="V839" i="2"/>
  <c r="V855" i="2"/>
  <c r="V871" i="2"/>
  <c r="V887" i="2"/>
  <c r="V903" i="2"/>
  <c r="V919" i="2"/>
  <c r="V935" i="2"/>
  <c r="V951" i="2"/>
  <c r="V967" i="2"/>
  <c r="V983" i="2"/>
  <c r="V999" i="2"/>
  <c r="V1011" i="2"/>
  <c r="V1021" i="2"/>
  <c r="V1031" i="2"/>
  <c r="V1043" i="2"/>
  <c r="V1053" i="2"/>
  <c r="V1063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335" i="2"/>
  <c r="V1005" i="2"/>
  <c r="V1087" i="2"/>
  <c r="V1119" i="2"/>
  <c r="V1159" i="2"/>
  <c r="V1207" i="2"/>
  <c r="V8" i="2"/>
  <c r="V136" i="2"/>
  <c r="V240" i="2"/>
  <c r="V304" i="2"/>
  <c r="V368" i="2"/>
  <c r="V432" i="2"/>
  <c r="V496" i="2"/>
  <c r="V560" i="2"/>
  <c r="V624" i="2"/>
  <c r="V688" i="2"/>
  <c r="V720" i="2"/>
  <c r="V752" i="2"/>
  <c r="V784" i="2"/>
  <c r="V808" i="2"/>
  <c r="V824" i="2"/>
  <c r="V840" i="2"/>
  <c r="V856" i="2"/>
  <c r="V872" i="2"/>
  <c r="V888" i="2"/>
  <c r="V904" i="2"/>
  <c r="V920" i="2"/>
  <c r="V936" i="2"/>
  <c r="V952" i="2"/>
  <c r="V968" i="2"/>
  <c r="V984" i="2"/>
  <c r="V1000" i="2"/>
  <c r="V1012" i="2"/>
  <c r="V1022" i="2"/>
  <c r="V1032" i="2"/>
  <c r="V1044" i="2"/>
  <c r="V1054" i="2"/>
  <c r="V1064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271" i="2"/>
  <c r="V991" i="2"/>
  <c r="V1079" i="2"/>
  <c r="V1127" i="2"/>
  <c r="V1167" i="2"/>
  <c r="V1239" i="2"/>
  <c r="V39" i="2"/>
  <c r="V167" i="2"/>
  <c r="V255" i="2"/>
  <c r="V319" i="2"/>
  <c r="V383" i="2"/>
  <c r="V447" i="2"/>
  <c r="V511" i="2"/>
  <c r="V575" i="2"/>
  <c r="V639" i="2"/>
  <c r="V695" i="2"/>
  <c r="V727" i="2"/>
  <c r="V759" i="2"/>
  <c r="V791" i="2"/>
  <c r="V813" i="2"/>
  <c r="V829" i="2"/>
  <c r="V845" i="2"/>
  <c r="V861" i="2"/>
  <c r="V877" i="2"/>
  <c r="V893" i="2"/>
  <c r="V909" i="2"/>
  <c r="V925" i="2"/>
  <c r="V941" i="2"/>
  <c r="V957" i="2"/>
  <c r="V973" i="2"/>
  <c r="V989" i="2"/>
  <c r="V1003" i="2"/>
  <c r="V1013" i="2"/>
  <c r="V1023" i="2"/>
  <c r="V1035" i="2"/>
  <c r="V1045" i="2"/>
  <c r="V1055" i="2"/>
  <c r="V1067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199" i="2"/>
  <c r="V1027" i="2"/>
  <c r="V1095" i="2"/>
  <c r="V1143" i="2"/>
  <c r="V1183" i="2"/>
  <c r="V1215" i="2"/>
  <c r="V1255" i="2"/>
  <c r="V40" i="2"/>
  <c r="V168" i="2"/>
  <c r="V256" i="2"/>
  <c r="V320" i="2"/>
  <c r="V384" i="2"/>
  <c r="V448" i="2"/>
  <c r="V512" i="2"/>
  <c r="V576" i="2"/>
  <c r="V640" i="2"/>
  <c r="V696" i="2"/>
  <c r="V728" i="2"/>
  <c r="V760" i="2"/>
  <c r="V792" i="2"/>
  <c r="V814" i="2"/>
  <c r="V830" i="2"/>
  <c r="V846" i="2"/>
  <c r="V862" i="2"/>
  <c r="V878" i="2"/>
  <c r="V894" i="2"/>
  <c r="V910" i="2"/>
  <c r="V926" i="2"/>
  <c r="V942" i="2"/>
  <c r="V958" i="2"/>
  <c r="V974" i="2"/>
  <c r="V990" i="2"/>
  <c r="V1004" i="2"/>
  <c r="V1014" i="2"/>
  <c r="V1024" i="2"/>
  <c r="V1036" i="2"/>
  <c r="V1046" i="2"/>
  <c r="V1056" i="2"/>
  <c r="V1068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71" i="2"/>
  <c r="V1037" i="2"/>
  <c r="V1111" i="2"/>
  <c r="V1151" i="2"/>
  <c r="V1175" i="2"/>
  <c r="V1199" i="2"/>
  <c r="V1247" i="2"/>
  <c r="V527" i="2"/>
  <c r="V591" i="2"/>
  <c r="V655" i="2"/>
  <c r="V703" i="2"/>
  <c r="V735" i="2"/>
  <c r="V767" i="2"/>
  <c r="V799" i="2"/>
  <c r="V815" i="2"/>
  <c r="V831" i="2"/>
  <c r="V847" i="2"/>
  <c r="V863" i="2"/>
  <c r="V879" i="2"/>
  <c r="V895" i="2"/>
  <c r="V911" i="2"/>
  <c r="V927" i="2"/>
  <c r="V943" i="2"/>
  <c r="V959" i="2"/>
  <c r="V975" i="2"/>
  <c r="V1015" i="2"/>
  <c r="V1047" i="2"/>
  <c r="V1059" i="2"/>
  <c r="V1069" i="2"/>
  <c r="V1103" i="2"/>
  <c r="V1135" i="2"/>
  <c r="V1191" i="2"/>
  <c r="V72" i="2"/>
  <c r="V200" i="2"/>
  <c r="V272" i="2"/>
  <c r="V336" i="2"/>
  <c r="V400" i="2"/>
  <c r="V464" i="2"/>
  <c r="V528" i="2"/>
  <c r="V592" i="2"/>
  <c r="V656" i="2"/>
  <c r="V704" i="2"/>
  <c r="V736" i="2"/>
  <c r="V768" i="2"/>
  <c r="V800" i="2"/>
  <c r="V816" i="2"/>
  <c r="V832" i="2"/>
  <c r="V848" i="2"/>
  <c r="V864" i="2"/>
  <c r="V880" i="2"/>
  <c r="V896" i="2"/>
  <c r="V912" i="2"/>
  <c r="V928" i="2"/>
  <c r="V944" i="2"/>
  <c r="V960" i="2"/>
  <c r="V976" i="2"/>
  <c r="V992" i="2"/>
  <c r="V1006" i="2"/>
  <c r="V1016" i="2"/>
  <c r="V1028" i="2"/>
  <c r="V1038" i="2"/>
  <c r="V1048" i="2"/>
  <c r="V1060" i="2"/>
  <c r="V1070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103" i="2"/>
  <c r="V223" i="2"/>
  <c r="V287" i="2"/>
  <c r="V351" i="2"/>
  <c r="V415" i="2"/>
  <c r="V479" i="2"/>
  <c r="V543" i="2"/>
  <c r="V607" i="2"/>
  <c r="V671" i="2"/>
  <c r="V711" i="2"/>
  <c r="V743" i="2"/>
  <c r="V775" i="2"/>
  <c r="V805" i="2"/>
  <c r="V821" i="2"/>
  <c r="V837" i="2"/>
  <c r="V853" i="2"/>
  <c r="V869" i="2"/>
  <c r="V885" i="2"/>
  <c r="V901" i="2"/>
  <c r="V917" i="2"/>
  <c r="V933" i="2"/>
  <c r="V949" i="2"/>
  <c r="V965" i="2"/>
  <c r="V981" i="2"/>
  <c r="V997" i="2"/>
  <c r="V1007" i="2"/>
  <c r="V1019" i="2"/>
  <c r="V1029" i="2"/>
  <c r="V1039" i="2"/>
  <c r="V1051" i="2"/>
  <c r="V1061" i="2"/>
  <c r="V1071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399" i="2"/>
  <c r="V1223" i="2"/>
  <c r="V104" i="2"/>
  <c r="V224" i="2"/>
  <c r="V288" i="2"/>
  <c r="V352" i="2"/>
  <c r="V416" i="2"/>
  <c r="V480" i="2"/>
  <c r="V544" i="2"/>
  <c r="V608" i="2"/>
  <c r="V672" i="2"/>
  <c r="V712" i="2"/>
  <c r="V744" i="2"/>
  <c r="V776" i="2"/>
  <c r="V806" i="2"/>
  <c r="V822" i="2"/>
  <c r="V838" i="2"/>
  <c r="V854" i="2"/>
  <c r="V870" i="2"/>
  <c r="V886" i="2"/>
  <c r="V902" i="2"/>
  <c r="V918" i="2"/>
  <c r="V934" i="2"/>
  <c r="V950" i="2"/>
  <c r="V966" i="2"/>
  <c r="V982" i="2"/>
  <c r="V998" i="2"/>
  <c r="V1008" i="2"/>
  <c r="V1020" i="2"/>
  <c r="V1030" i="2"/>
  <c r="V1040" i="2"/>
  <c r="V1052" i="2"/>
  <c r="V1062" i="2"/>
  <c r="V1072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463" i="2"/>
  <c r="V1231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673" i="2"/>
  <c r="U68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4" i="2"/>
  <c r="U108" i="2"/>
  <c r="U172" i="2"/>
  <c r="U236" i="2"/>
  <c r="U300" i="2"/>
  <c r="U364" i="2"/>
  <c r="U428" i="2"/>
  <c r="U484" i="2"/>
  <c r="U516" i="2"/>
  <c r="U548" i="2"/>
  <c r="U580" i="2"/>
  <c r="U612" i="2"/>
  <c r="U643" i="2"/>
  <c r="U666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52" i="2"/>
  <c r="U116" i="2"/>
  <c r="U180" i="2"/>
  <c r="U244" i="2"/>
  <c r="U308" i="2"/>
  <c r="U372" i="2"/>
  <c r="U436" i="2"/>
  <c r="U491" i="2"/>
  <c r="U523" i="2"/>
  <c r="U555" i="2"/>
  <c r="U587" i="2"/>
  <c r="U619" i="2"/>
  <c r="U644" i="2"/>
  <c r="U667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60" i="2"/>
  <c r="U124" i="2"/>
  <c r="U188" i="2"/>
  <c r="U252" i="2"/>
  <c r="U316" i="2"/>
  <c r="U380" i="2"/>
  <c r="U444" i="2"/>
  <c r="U492" i="2"/>
  <c r="U524" i="2"/>
  <c r="U556" i="2"/>
  <c r="U588" i="2"/>
  <c r="U620" i="2"/>
  <c r="U650" i="2"/>
  <c r="U668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" i="2"/>
  <c r="U100" i="2"/>
  <c r="U212" i="2"/>
  <c r="U324" i="2"/>
  <c r="U412" i="2"/>
  <c r="U500" i="2"/>
  <c r="U547" i="2"/>
  <c r="U603" i="2"/>
  <c r="U651" i="2"/>
  <c r="U682" i="2"/>
  <c r="U696" i="2"/>
  <c r="U707" i="2"/>
  <c r="U721" i="2"/>
  <c r="U735" i="2"/>
  <c r="U746" i="2"/>
  <c r="U760" i="2"/>
  <c r="U771" i="2"/>
  <c r="U785" i="2"/>
  <c r="U799" i="2"/>
  <c r="U810" i="2"/>
  <c r="U824" i="2"/>
  <c r="U835" i="2"/>
  <c r="U849" i="2"/>
  <c r="U863" i="2"/>
  <c r="U874" i="2"/>
  <c r="U888" i="2"/>
  <c r="U899" i="2"/>
  <c r="U913" i="2"/>
  <c r="U927" i="2"/>
  <c r="U938" i="2"/>
  <c r="U952" i="2"/>
  <c r="U963" i="2"/>
  <c r="U977" i="2"/>
  <c r="U991" i="2"/>
  <c r="U1002" i="2"/>
  <c r="U1016" i="2"/>
  <c r="U1027" i="2"/>
  <c r="U1041" i="2"/>
  <c r="U1055" i="2"/>
  <c r="U1066" i="2"/>
  <c r="U1080" i="2"/>
  <c r="U1091" i="2"/>
  <c r="U1105" i="2"/>
  <c r="U1119" i="2"/>
  <c r="U1130" i="2"/>
  <c r="U1144" i="2"/>
  <c r="U1155" i="2"/>
  <c r="U1169" i="2"/>
  <c r="U1183" i="2"/>
  <c r="U1194" i="2"/>
  <c r="U1208" i="2"/>
  <c r="U1219" i="2"/>
  <c r="U1233" i="2"/>
  <c r="U1247" i="2"/>
  <c r="U1256" i="2"/>
  <c r="U20" i="2"/>
  <c r="U132" i="2"/>
  <c r="U220" i="2"/>
  <c r="U332" i="2"/>
  <c r="U420" i="2"/>
  <c r="U507" i="2"/>
  <c r="U563" i="2"/>
  <c r="U604" i="2"/>
  <c r="U652" i="2"/>
  <c r="U683" i="2"/>
  <c r="U697" i="2"/>
  <c r="U711" i="2"/>
  <c r="U722" i="2"/>
  <c r="U736" i="2"/>
  <c r="U761" i="2"/>
  <c r="U775" i="2"/>
  <c r="U786" i="2"/>
  <c r="U800" i="2"/>
  <c r="U811" i="2"/>
  <c r="U825" i="2"/>
  <c r="U839" i="2"/>
  <c r="U850" i="2"/>
  <c r="U864" i="2"/>
  <c r="U875" i="2"/>
  <c r="U889" i="2"/>
  <c r="U903" i="2"/>
  <c r="U914" i="2"/>
  <c r="U928" i="2"/>
  <c r="U939" i="2"/>
  <c r="U953" i="2"/>
  <c r="U967" i="2"/>
  <c r="U978" i="2"/>
  <c r="U992" i="2"/>
  <c r="U1003" i="2"/>
  <c r="U1017" i="2"/>
  <c r="U1031" i="2"/>
  <c r="U1042" i="2"/>
  <c r="U1056" i="2"/>
  <c r="U1067" i="2"/>
  <c r="U1081" i="2"/>
  <c r="U1095" i="2"/>
  <c r="U1106" i="2"/>
  <c r="U1120" i="2"/>
  <c r="U1131" i="2"/>
  <c r="U1145" i="2"/>
  <c r="U1159" i="2"/>
  <c r="U1170" i="2"/>
  <c r="U1184" i="2"/>
  <c r="U1195" i="2"/>
  <c r="U1209" i="2"/>
  <c r="U1223" i="2"/>
  <c r="U1234" i="2"/>
  <c r="U1248" i="2"/>
  <c r="U1257" i="2"/>
  <c r="U1187" i="2"/>
  <c r="U28" i="2"/>
  <c r="U140" i="2"/>
  <c r="U228" i="2"/>
  <c r="U340" i="2"/>
  <c r="U452" i="2"/>
  <c r="U508" i="2"/>
  <c r="U564" i="2"/>
  <c r="U611" i="2"/>
  <c r="U658" i="2"/>
  <c r="U687" i="2"/>
  <c r="U698" i="2"/>
  <c r="U712" i="2"/>
  <c r="U723" i="2"/>
  <c r="U737" i="2"/>
  <c r="U751" i="2"/>
  <c r="U762" i="2"/>
  <c r="U776" i="2"/>
  <c r="U787" i="2"/>
  <c r="U801" i="2"/>
  <c r="U815" i="2"/>
  <c r="U826" i="2"/>
  <c r="U840" i="2"/>
  <c r="U851" i="2"/>
  <c r="U865" i="2"/>
  <c r="U879" i="2"/>
  <c r="U890" i="2"/>
  <c r="U904" i="2"/>
  <c r="U915" i="2"/>
  <c r="U929" i="2"/>
  <c r="U943" i="2"/>
  <c r="U954" i="2"/>
  <c r="U968" i="2"/>
  <c r="U979" i="2"/>
  <c r="U993" i="2"/>
  <c r="U1007" i="2"/>
  <c r="U1018" i="2"/>
  <c r="U1032" i="2"/>
  <c r="U1043" i="2"/>
  <c r="U1057" i="2"/>
  <c r="U1071" i="2"/>
  <c r="U1082" i="2"/>
  <c r="U1096" i="2"/>
  <c r="U1107" i="2"/>
  <c r="U1121" i="2"/>
  <c r="U1135" i="2"/>
  <c r="U1146" i="2"/>
  <c r="U1160" i="2"/>
  <c r="U1171" i="2"/>
  <c r="U1185" i="2"/>
  <c r="U1199" i="2"/>
  <c r="U1210" i="2"/>
  <c r="U1224" i="2"/>
  <c r="U1235" i="2"/>
  <c r="U1249" i="2"/>
  <c r="U1258" i="2"/>
  <c r="V55" i="1" s="1"/>
  <c r="AC11" i="2" s="1"/>
  <c r="U1201" i="2"/>
  <c r="U36" i="2"/>
  <c r="U148" i="2"/>
  <c r="U260" i="2"/>
  <c r="U348" i="2"/>
  <c r="U460" i="2"/>
  <c r="U515" i="2"/>
  <c r="U571" i="2"/>
  <c r="U627" i="2"/>
  <c r="U659" i="2"/>
  <c r="U688" i="2"/>
  <c r="U699" i="2"/>
  <c r="U713" i="2"/>
  <c r="U727" i="2"/>
  <c r="U738" i="2"/>
  <c r="U752" i="2"/>
  <c r="U763" i="2"/>
  <c r="U777" i="2"/>
  <c r="U791" i="2"/>
  <c r="U802" i="2"/>
  <c r="U816" i="2"/>
  <c r="U827" i="2"/>
  <c r="U841" i="2"/>
  <c r="U855" i="2"/>
  <c r="U866" i="2"/>
  <c r="U880" i="2"/>
  <c r="U891" i="2"/>
  <c r="U905" i="2"/>
  <c r="U919" i="2"/>
  <c r="U930" i="2"/>
  <c r="U944" i="2"/>
  <c r="U955" i="2"/>
  <c r="U969" i="2"/>
  <c r="U983" i="2"/>
  <c r="U994" i="2"/>
  <c r="U1008" i="2"/>
  <c r="U1019" i="2"/>
  <c r="U1033" i="2"/>
  <c r="U1047" i="2"/>
  <c r="U1058" i="2"/>
  <c r="U1072" i="2"/>
  <c r="U1083" i="2"/>
  <c r="U1097" i="2"/>
  <c r="U1111" i="2"/>
  <c r="U1122" i="2"/>
  <c r="U1136" i="2"/>
  <c r="U1147" i="2"/>
  <c r="U1161" i="2"/>
  <c r="U1175" i="2"/>
  <c r="U1186" i="2"/>
  <c r="U1200" i="2"/>
  <c r="U1211" i="2"/>
  <c r="U1225" i="2"/>
  <c r="U1239" i="2"/>
  <c r="U1250" i="2"/>
  <c r="U68" i="2"/>
  <c r="U156" i="2"/>
  <c r="U268" i="2"/>
  <c r="U356" i="2"/>
  <c r="U468" i="2"/>
  <c r="U531" i="2"/>
  <c r="U572" i="2"/>
  <c r="U628" i="2"/>
  <c r="U660" i="2"/>
  <c r="U689" i="2"/>
  <c r="U703" i="2"/>
  <c r="U714" i="2"/>
  <c r="U728" i="2"/>
  <c r="U739" i="2"/>
  <c r="U753" i="2"/>
  <c r="U767" i="2"/>
  <c r="U778" i="2"/>
  <c r="U792" i="2"/>
  <c r="U803" i="2"/>
  <c r="U817" i="2"/>
  <c r="U831" i="2"/>
  <c r="U842" i="2"/>
  <c r="U856" i="2"/>
  <c r="U867" i="2"/>
  <c r="U881" i="2"/>
  <c r="U895" i="2"/>
  <c r="U906" i="2"/>
  <c r="U920" i="2"/>
  <c r="U931" i="2"/>
  <c r="U945" i="2"/>
  <c r="U959" i="2"/>
  <c r="U970" i="2"/>
  <c r="U984" i="2"/>
  <c r="U995" i="2"/>
  <c r="U1009" i="2"/>
  <c r="U1023" i="2"/>
  <c r="U1034" i="2"/>
  <c r="U1048" i="2"/>
  <c r="U1059" i="2"/>
  <c r="U1073" i="2"/>
  <c r="U1087" i="2"/>
  <c r="U1098" i="2"/>
  <c r="U1112" i="2"/>
  <c r="U1123" i="2"/>
  <c r="U1137" i="2"/>
  <c r="U1151" i="2"/>
  <c r="U1162" i="2"/>
  <c r="U1176" i="2"/>
  <c r="U1215" i="2"/>
  <c r="U1226" i="2"/>
  <c r="U1240" i="2"/>
  <c r="U1251" i="2"/>
  <c r="U76" i="2"/>
  <c r="U164" i="2"/>
  <c r="U276" i="2"/>
  <c r="U388" i="2"/>
  <c r="U476" i="2"/>
  <c r="U532" i="2"/>
  <c r="U579" i="2"/>
  <c r="U635" i="2"/>
  <c r="U674" i="2"/>
  <c r="U690" i="2"/>
  <c r="U704" i="2"/>
  <c r="U715" i="2"/>
  <c r="U729" i="2"/>
  <c r="U743" i="2"/>
  <c r="U754" i="2"/>
  <c r="U768" i="2"/>
  <c r="U779" i="2"/>
  <c r="U793" i="2"/>
  <c r="U807" i="2"/>
  <c r="U818" i="2"/>
  <c r="U832" i="2"/>
  <c r="U843" i="2"/>
  <c r="U857" i="2"/>
  <c r="U871" i="2"/>
  <c r="U882" i="2"/>
  <c r="U896" i="2"/>
  <c r="U907" i="2"/>
  <c r="U921" i="2"/>
  <c r="U935" i="2"/>
  <c r="U946" i="2"/>
  <c r="U960" i="2"/>
  <c r="U971" i="2"/>
  <c r="U985" i="2"/>
  <c r="U999" i="2"/>
  <c r="U1010" i="2"/>
  <c r="U1024" i="2"/>
  <c r="U1035" i="2"/>
  <c r="U1049" i="2"/>
  <c r="U1063" i="2"/>
  <c r="U1074" i="2"/>
  <c r="U1088" i="2"/>
  <c r="U1099" i="2"/>
  <c r="U1113" i="2"/>
  <c r="U1127" i="2"/>
  <c r="U1138" i="2"/>
  <c r="U1152" i="2"/>
  <c r="U1163" i="2"/>
  <c r="U1177" i="2"/>
  <c r="U1191" i="2"/>
  <c r="U1202" i="2"/>
  <c r="U1216" i="2"/>
  <c r="U1227" i="2"/>
  <c r="U1241" i="2"/>
  <c r="U1253" i="2"/>
  <c r="U84" i="2"/>
  <c r="U196" i="2"/>
  <c r="U284" i="2"/>
  <c r="U396" i="2"/>
  <c r="U483" i="2"/>
  <c r="U539" i="2"/>
  <c r="U595" i="2"/>
  <c r="U636" i="2"/>
  <c r="U675" i="2"/>
  <c r="U691" i="2"/>
  <c r="U705" i="2"/>
  <c r="U719" i="2"/>
  <c r="U730" i="2"/>
  <c r="U744" i="2"/>
  <c r="U755" i="2"/>
  <c r="U769" i="2"/>
  <c r="U783" i="2"/>
  <c r="U794" i="2"/>
  <c r="U808" i="2"/>
  <c r="U819" i="2"/>
  <c r="U833" i="2"/>
  <c r="U847" i="2"/>
  <c r="U858" i="2"/>
  <c r="U872" i="2"/>
  <c r="U883" i="2"/>
  <c r="U897" i="2"/>
  <c r="U911" i="2"/>
  <c r="U922" i="2"/>
  <c r="U936" i="2"/>
  <c r="U947" i="2"/>
  <c r="U961" i="2"/>
  <c r="U975" i="2"/>
  <c r="U986" i="2"/>
  <c r="U1000" i="2"/>
  <c r="U1011" i="2"/>
  <c r="U1025" i="2"/>
  <c r="U1039" i="2"/>
  <c r="U1050" i="2"/>
  <c r="U1064" i="2"/>
  <c r="U1075" i="2"/>
  <c r="U1089" i="2"/>
  <c r="U1103" i="2"/>
  <c r="U1114" i="2"/>
  <c r="U1128" i="2"/>
  <c r="U1139" i="2"/>
  <c r="U1153" i="2"/>
  <c r="U1167" i="2"/>
  <c r="U1178" i="2"/>
  <c r="U1192" i="2"/>
  <c r="U1203" i="2"/>
  <c r="U1217" i="2"/>
  <c r="U1231" i="2"/>
  <c r="U1242" i="2"/>
  <c r="U1254" i="2"/>
  <c r="U92" i="2"/>
  <c r="U204" i="2"/>
  <c r="U292" i="2"/>
  <c r="U404" i="2"/>
  <c r="U499" i="2"/>
  <c r="U540" i="2"/>
  <c r="U596" i="2"/>
  <c r="U642" i="2"/>
  <c r="U676" i="2"/>
  <c r="U695" i="2"/>
  <c r="U706" i="2"/>
  <c r="U720" i="2"/>
  <c r="U731" i="2"/>
  <c r="U745" i="2"/>
  <c r="U759" i="2"/>
  <c r="U770" i="2"/>
  <c r="U784" i="2"/>
  <c r="U795" i="2"/>
  <c r="U809" i="2"/>
  <c r="U823" i="2"/>
  <c r="U834" i="2"/>
  <c r="U848" i="2"/>
  <c r="U859" i="2"/>
  <c r="U873" i="2"/>
  <c r="U887" i="2"/>
  <c r="U898" i="2"/>
  <c r="U912" i="2"/>
  <c r="U923" i="2"/>
  <c r="U937" i="2"/>
  <c r="U951" i="2"/>
  <c r="U962" i="2"/>
  <c r="U976" i="2"/>
  <c r="U987" i="2"/>
  <c r="U1001" i="2"/>
  <c r="U1015" i="2"/>
  <c r="U1026" i="2"/>
  <c r="U1040" i="2"/>
  <c r="U1051" i="2"/>
  <c r="U1065" i="2"/>
  <c r="U1079" i="2"/>
  <c r="U1090" i="2"/>
  <c r="U1104" i="2"/>
  <c r="U1115" i="2"/>
  <c r="U1129" i="2"/>
  <c r="U1143" i="2"/>
  <c r="U1154" i="2"/>
  <c r="U1168" i="2"/>
  <c r="U1179" i="2"/>
  <c r="U1193" i="2"/>
  <c r="U1207" i="2"/>
  <c r="U1218" i="2"/>
  <c r="U1232" i="2"/>
  <c r="U1243" i="2"/>
  <c r="U1255" i="2"/>
  <c r="U747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8" i="2"/>
  <c r="T28" i="2"/>
  <c r="T49" i="2"/>
  <c r="T72" i="2"/>
  <c r="T92" i="2"/>
  <c r="T113" i="2"/>
  <c r="T136" i="2"/>
  <c r="T149" i="2"/>
  <c r="T161" i="2"/>
  <c r="T174" i="2"/>
  <c r="T188" i="2"/>
  <c r="T200" i="2"/>
  <c r="T213" i="2"/>
  <c r="T225" i="2"/>
  <c r="T238" i="2"/>
  <c r="T252" i="2"/>
  <c r="T264" i="2"/>
  <c r="T277" i="2"/>
  <c r="T289" i="2"/>
  <c r="T302" i="2"/>
  <c r="T316" i="2"/>
  <c r="T328" i="2"/>
  <c r="T341" i="2"/>
  <c r="T353" i="2"/>
  <c r="T366" i="2"/>
  <c r="T380" i="2"/>
  <c r="T392" i="2"/>
  <c r="T405" i="2"/>
  <c r="T417" i="2"/>
  <c r="T430" i="2"/>
  <c r="T444" i="2"/>
  <c r="T456" i="2"/>
  <c r="T469" i="2"/>
  <c r="T481" i="2"/>
  <c r="T494" i="2"/>
  <c r="T508" i="2"/>
  <c r="T520" i="2"/>
  <c r="T533" i="2"/>
  <c r="T545" i="2"/>
  <c r="T558" i="2"/>
  <c r="T572" i="2"/>
  <c r="T584" i="2"/>
  <c r="T597" i="2"/>
  <c r="T609" i="2"/>
  <c r="T622" i="2"/>
  <c r="T636" i="2"/>
  <c r="T648" i="2"/>
  <c r="T661" i="2"/>
  <c r="T673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" i="2"/>
  <c r="T32" i="2"/>
  <c r="T52" i="2"/>
  <c r="T73" i="2"/>
  <c r="T96" i="2"/>
  <c r="T116" i="2"/>
  <c r="T137" i="2"/>
  <c r="T150" i="2"/>
  <c r="T164" i="2"/>
  <c r="T176" i="2"/>
  <c r="T189" i="2"/>
  <c r="T201" i="2"/>
  <c r="T214" i="2"/>
  <c r="T228" i="2"/>
  <c r="T240" i="2"/>
  <c r="T253" i="2"/>
  <c r="T265" i="2"/>
  <c r="T278" i="2"/>
  <c r="T292" i="2"/>
  <c r="T304" i="2"/>
  <c r="T317" i="2"/>
  <c r="T329" i="2"/>
  <c r="T342" i="2"/>
  <c r="T356" i="2"/>
  <c r="T368" i="2"/>
  <c r="T381" i="2"/>
  <c r="T393" i="2"/>
  <c r="T406" i="2"/>
  <c r="T420" i="2"/>
  <c r="T432" i="2"/>
  <c r="T445" i="2"/>
  <c r="T457" i="2"/>
  <c r="T470" i="2"/>
  <c r="T484" i="2"/>
  <c r="T496" i="2"/>
  <c r="T509" i="2"/>
  <c r="T521" i="2"/>
  <c r="T534" i="2"/>
  <c r="T548" i="2"/>
  <c r="T560" i="2"/>
  <c r="T573" i="2"/>
  <c r="T585" i="2"/>
  <c r="T598" i="2"/>
  <c r="T612" i="2"/>
  <c r="T624" i="2"/>
  <c r="T637" i="2"/>
  <c r="T649" i="2"/>
  <c r="T662" i="2"/>
  <c r="T676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17" i="2"/>
  <c r="T40" i="2"/>
  <c r="T60" i="2"/>
  <c r="T81" i="2"/>
  <c r="T104" i="2"/>
  <c r="T124" i="2"/>
  <c r="T142" i="2"/>
  <c r="T156" i="2"/>
  <c r="T168" i="2"/>
  <c r="T181" i="2"/>
  <c r="T193" i="2"/>
  <c r="T206" i="2"/>
  <c r="T220" i="2"/>
  <c r="T232" i="2"/>
  <c r="T245" i="2"/>
  <c r="T257" i="2"/>
  <c r="T270" i="2"/>
  <c r="T284" i="2"/>
  <c r="T296" i="2"/>
  <c r="T309" i="2"/>
  <c r="T321" i="2"/>
  <c r="T334" i="2"/>
  <c r="T348" i="2"/>
  <c r="T360" i="2"/>
  <c r="T373" i="2"/>
  <c r="T385" i="2"/>
  <c r="T398" i="2"/>
  <c r="T412" i="2"/>
  <c r="T424" i="2"/>
  <c r="T437" i="2"/>
  <c r="T449" i="2"/>
  <c r="T462" i="2"/>
  <c r="T476" i="2"/>
  <c r="T488" i="2"/>
  <c r="T501" i="2"/>
  <c r="T513" i="2"/>
  <c r="T526" i="2"/>
  <c r="T540" i="2"/>
  <c r="T552" i="2"/>
  <c r="T20" i="2"/>
  <c r="T41" i="2"/>
  <c r="T64" i="2"/>
  <c r="T84" i="2"/>
  <c r="T105" i="2"/>
  <c r="T128" i="2"/>
  <c r="T144" i="2"/>
  <c r="T157" i="2"/>
  <c r="T169" i="2"/>
  <c r="T182" i="2"/>
  <c r="T196" i="2"/>
  <c r="T208" i="2"/>
  <c r="T221" i="2"/>
  <c r="T233" i="2"/>
  <c r="T246" i="2"/>
  <c r="T260" i="2"/>
  <c r="T272" i="2"/>
  <c r="T285" i="2"/>
  <c r="T297" i="2"/>
  <c r="T310" i="2"/>
  <c r="T324" i="2"/>
  <c r="T336" i="2"/>
  <c r="T349" i="2"/>
  <c r="T361" i="2"/>
  <c r="T374" i="2"/>
  <c r="T388" i="2"/>
  <c r="T400" i="2"/>
  <c r="T413" i="2"/>
  <c r="T425" i="2"/>
  <c r="T438" i="2"/>
  <c r="T452" i="2"/>
  <c r="T464" i="2"/>
  <c r="T477" i="2"/>
  <c r="T489" i="2"/>
  <c r="T502" i="2"/>
  <c r="T516" i="2"/>
  <c r="T528" i="2"/>
  <c r="T541" i="2"/>
  <c r="T553" i="2"/>
  <c r="T566" i="2"/>
  <c r="T580" i="2"/>
  <c r="T592" i="2"/>
  <c r="T605" i="2"/>
  <c r="T617" i="2"/>
  <c r="T25" i="2"/>
  <c r="T48" i="2"/>
  <c r="T68" i="2"/>
  <c r="T89" i="2"/>
  <c r="T112" i="2"/>
  <c r="T132" i="2"/>
  <c r="T148" i="2"/>
  <c r="T160" i="2"/>
  <c r="T173" i="2"/>
  <c r="T185" i="2"/>
  <c r="T198" i="2"/>
  <c r="T212" i="2"/>
  <c r="T224" i="2"/>
  <c r="T237" i="2"/>
  <c r="T249" i="2"/>
  <c r="T262" i="2"/>
  <c r="T276" i="2"/>
  <c r="T288" i="2"/>
  <c r="T301" i="2"/>
  <c r="T313" i="2"/>
  <c r="T326" i="2"/>
  <c r="T340" i="2"/>
  <c r="T352" i="2"/>
  <c r="T365" i="2"/>
  <c r="T377" i="2"/>
  <c r="T390" i="2"/>
  <c r="T404" i="2"/>
  <c r="T416" i="2"/>
  <c r="T429" i="2"/>
  <c r="T12" i="2"/>
  <c r="T65" i="2"/>
  <c r="T121" i="2"/>
  <c r="T165" i="2"/>
  <c r="T197" i="2"/>
  <c r="T230" i="2"/>
  <c r="T268" i="2"/>
  <c r="T300" i="2"/>
  <c r="T333" i="2"/>
  <c r="T369" i="2"/>
  <c r="T401" i="2"/>
  <c r="T436" i="2"/>
  <c r="T461" i="2"/>
  <c r="T486" i="2"/>
  <c r="T512" i="2"/>
  <c r="T537" i="2"/>
  <c r="T564" i="2"/>
  <c r="T582" i="2"/>
  <c r="T604" i="2"/>
  <c r="T625" i="2"/>
  <c r="T641" i="2"/>
  <c r="T657" i="2"/>
  <c r="T677" i="2"/>
  <c r="T690" i="2"/>
  <c r="T700" i="2"/>
  <c r="T712" i="2"/>
  <c r="T722" i="2"/>
  <c r="T732" i="2"/>
  <c r="T744" i="2"/>
  <c r="T754" i="2"/>
  <c r="T764" i="2"/>
  <c r="T776" i="2"/>
  <c r="T786" i="2"/>
  <c r="T796" i="2"/>
  <c r="T808" i="2"/>
  <c r="T818" i="2"/>
  <c r="T828" i="2"/>
  <c r="T840" i="2"/>
  <c r="T850" i="2"/>
  <c r="T860" i="2"/>
  <c r="T872" i="2"/>
  <c r="T882" i="2"/>
  <c r="T892" i="2"/>
  <c r="T904" i="2"/>
  <c r="T914" i="2"/>
  <c r="T924" i="2"/>
  <c r="T936" i="2"/>
  <c r="T946" i="2"/>
  <c r="T956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16" i="2"/>
  <c r="T76" i="2"/>
  <c r="T129" i="2"/>
  <c r="T166" i="2"/>
  <c r="T204" i="2"/>
  <c r="T236" i="2"/>
  <c r="T269" i="2"/>
  <c r="T305" i="2"/>
  <c r="T337" i="2"/>
  <c r="T372" i="2"/>
  <c r="T408" i="2"/>
  <c r="T440" i="2"/>
  <c r="T465" i="2"/>
  <c r="T492" i="2"/>
  <c r="T517" i="2"/>
  <c r="T542" i="2"/>
  <c r="T565" i="2"/>
  <c r="T588" i="2"/>
  <c r="T606" i="2"/>
  <c r="T628" i="2"/>
  <c r="T644" i="2"/>
  <c r="T660" i="2"/>
  <c r="T678" i="2"/>
  <c r="T691" i="2"/>
  <c r="T701" i="2"/>
  <c r="T713" i="2"/>
  <c r="T723" i="2"/>
  <c r="T733" i="2"/>
  <c r="T745" i="2"/>
  <c r="T755" i="2"/>
  <c r="T765" i="2"/>
  <c r="T777" i="2"/>
  <c r="T787" i="2"/>
  <c r="T797" i="2"/>
  <c r="T809" i="2"/>
  <c r="T819" i="2"/>
  <c r="T829" i="2"/>
  <c r="T841" i="2"/>
  <c r="T851" i="2"/>
  <c r="T861" i="2"/>
  <c r="T873" i="2"/>
  <c r="T883" i="2"/>
  <c r="T893" i="2"/>
  <c r="T905" i="2"/>
  <c r="T915" i="2"/>
  <c r="T925" i="2"/>
  <c r="T937" i="2"/>
  <c r="T947" i="2"/>
  <c r="T957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36" i="2"/>
  <c r="T97" i="2"/>
  <c r="T145" i="2"/>
  <c r="T180" i="2"/>
  <c r="T216" i="2"/>
  <c r="T248" i="2"/>
  <c r="T281" i="2"/>
  <c r="T318" i="2"/>
  <c r="T350" i="2"/>
  <c r="T384" i="2"/>
  <c r="T421" i="2"/>
  <c r="T448" i="2"/>
  <c r="T473" i="2"/>
  <c r="T500" i="2"/>
  <c r="T525" i="2"/>
  <c r="T550" i="2"/>
  <c r="T574" i="2"/>
  <c r="T593" i="2"/>
  <c r="T614" i="2"/>
  <c r="T632" i="2"/>
  <c r="T652" i="2"/>
  <c r="T668" i="2"/>
  <c r="T684" i="2"/>
  <c r="T696" i="2"/>
  <c r="T706" i="2"/>
  <c r="T716" i="2"/>
  <c r="T728" i="2"/>
  <c r="T738" i="2"/>
  <c r="T748" i="2"/>
  <c r="T760" i="2"/>
  <c r="T770" i="2"/>
  <c r="T780" i="2"/>
  <c r="T792" i="2"/>
  <c r="T802" i="2"/>
  <c r="T812" i="2"/>
  <c r="T824" i="2"/>
  <c r="T834" i="2"/>
  <c r="T844" i="2"/>
  <c r="T856" i="2"/>
  <c r="T866" i="2"/>
  <c r="T876" i="2"/>
  <c r="T888" i="2"/>
  <c r="T898" i="2"/>
  <c r="T908" i="2"/>
  <c r="T920" i="2"/>
  <c r="T930" i="2"/>
  <c r="T940" i="2"/>
  <c r="T952" i="2"/>
  <c r="T962" i="2"/>
  <c r="T972" i="2"/>
  <c r="T980" i="2"/>
  <c r="T988" i="2"/>
  <c r="T996" i="2"/>
  <c r="T1004" i="2"/>
  <c r="T1012" i="2"/>
  <c r="T1020" i="2"/>
  <c r="T1028" i="2"/>
  <c r="T1036" i="2"/>
  <c r="T1044" i="2"/>
  <c r="T1052" i="2"/>
  <c r="T44" i="2"/>
  <c r="T100" i="2"/>
  <c r="T152" i="2"/>
  <c r="T184" i="2"/>
  <c r="T217" i="2"/>
  <c r="T254" i="2"/>
  <c r="T286" i="2"/>
  <c r="T320" i="2"/>
  <c r="T357" i="2"/>
  <c r="T389" i="2"/>
  <c r="T422" i="2"/>
  <c r="T453" i="2"/>
  <c r="T478" i="2"/>
  <c r="T504" i="2"/>
  <c r="T529" i="2"/>
  <c r="T556" i="2"/>
  <c r="T576" i="2"/>
  <c r="T596" i="2"/>
  <c r="T616" i="2"/>
  <c r="T633" i="2"/>
  <c r="T653" i="2"/>
  <c r="T669" i="2"/>
  <c r="T685" i="2"/>
  <c r="T697" i="2"/>
  <c r="T707" i="2"/>
  <c r="T717" i="2"/>
  <c r="T729" i="2"/>
  <c r="T739" i="2"/>
  <c r="T749" i="2"/>
  <c r="T761" i="2"/>
  <c r="T771" i="2"/>
  <c r="T781" i="2"/>
  <c r="T793" i="2"/>
  <c r="T803" i="2"/>
  <c r="T813" i="2"/>
  <c r="T825" i="2"/>
  <c r="T835" i="2"/>
  <c r="T845" i="2"/>
  <c r="T857" i="2"/>
  <c r="T867" i="2"/>
  <c r="T877" i="2"/>
  <c r="T889" i="2"/>
  <c r="T899" i="2"/>
  <c r="T909" i="2"/>
  <c r="T921" i="2"/>
  <c r="T931" i="2"/>
  <c r="T941" i="2"/>
  <c r="T953" i="2"/>
  <c r="T963" i="2"/>
  <c r="T973" i="2"/>
  <c r="T981" i="2"/>
  <c r="T989" i="2"/>
  <c r="T997" i="2"/>
  <c r="T1005" i="2"/>
  <c r="T1013" i="2"/>
  <c r="T1021" i="2"/>
  <c r="T1029" i="2"/>
  <c r="T1037" i="2"/>
  <c r="T57" i="2"/>
  <c r="T120" i="2"/>
  <c r="T158" i="2"/>
  <c r="T192" i="2"/>
  <c r="T229" i="2"/>
  <c r="T261" i="2"/>
  <c r="T294" i="2"/>
  <c r="T332" i="2"/>
  <c r="T364" i="2"/>
  <c r="T397" i="2"/>
  <c r="T433" i="2"/>
  <c r="T460" i="2"/>
  <c r="T485" i="2"/>
  <c r="T510" i="2"/>
  <c r="T536" i="2"/>
  <c r="T561" i="2"/>
  <c r="T581" i="2"/>
  <c r="T601" i="2"/>
  <c r="T621" i="2"/>
  <c r="T640" i="2"/>
  <c r="T656" i="2"/>
  <c r="T672" i="2"/>
  <c r="T689" i="2"/>
  <c r="T699" i="2"/>
  <c r="T709" i="2"/>
  <c r="T721" i="2"/>
  <c r="T731" i="2"/>
  <c r="T741" i="2"/>
  <c r="T753" i="2"/>
  <c r="T763" i="2"/>
  <c r="T773" i="2"/>
  <c r="T785" i="2"/>
  <c r="T795" i="2"/>
  <c r="T805" i="2"/>
  <c r="T817" i="2"/>
  <c r="T827" i="2"/>
  <c r="T837" i="2"/>
  <c r="T849" i="2"/>
  <c r="T859" i="2"/>
  <c r="T869" i="2"/>
  <c r="T881" i="2"/>
  <c r="T891" i="2"/>
  <c r="T901" i="2"/>
  <c r="T913" i="2"/>
  <c r="T923" i="2"/>
  <c r="T933" i="2"/>
  <c r="T945" i="2"/>
  <c r="T955" i="2"/>
  <c r="T965" i="2"/>
  <c r="T975" i="2"/>
  <c r="T983" i="2"/>
  <c r="T991" i="2"/>
  <c r="T999" i="2"/>
  <c r="T1007" i="2"/>
  <c r="T1015" i="2"/>
  <c r="T1023" i="2"/>
  <c r="T1031" i="2"/>
  <c r="T1039" i="2"/>
  <c r="T24" i="2"/>
  <c r="T153" i="2"/>
  <c r="T244" i="2"/>
  <c r="T344" i="2"/>
  <c r="T428" i="2"/>
  <c r="T497" i="2"/>
  <c r="T568" i="2"/>
  <c r="T620" i="2"/>
  <c r="T665" i="2"/>
  <c r="T704" i="2"/>
  <c r="T730" i="2"/>
  <c r="T757" i="2"/>
  <c r="T788" i="2"/>
  <c r="T816" i="2"/>
  <c r="T843" i="2"/>
  <c r="T874" i="2"/>
  <c r="T900" i="2"/>
  <c r="T929" i="2"/>
  <c r="T960" i="2"/>
  <c r="T982" i="2"/>
  <c r="T1003" i="2"/>
  <c r="T1026" i="2"/>
  <c r="T1045" i="2"/>
  <c r="T1058" i="2"/>
  <c r="T1068" i="2"/>
  <c r="T1078" i="2"/>
  <c r="T1090" i="2"/>
  <c r="T1100" i="2"/>
  <c r="T1110" i="2"/>
  <c r="T1122" i="2"/>
  <c r="T1132" i="2"/>
  <c r="T1142" i="2"/>
  <c r="T1154" i="2"/>
  <c r="T1164" i="2"/>
  <c r="T1174" i="2"/>
  <c r="T1186" i="2"/>
  <c r="T1196" i="2"/>
  <c r="T1206" i="2"/>
  <c r="T1218" i="2"/>
  <c r="T1228" i="2"/>
  <c r="T1238" i="2"/>
  <c r="T1250" i="2"/>
  <c r="T312" i="2"/>
  <c r="T1086" i="2"/>
  <c r="T1204" i="2"/>
  <c r="T33" i="2"/>
  <c r="T172" i="2"/>
  <c r="T256" i="2"/>
  <c r="T345" i="2"/>
  <c r="T441" i="2"/>
  <c r="T505" i="2"/>
  <c r="T569" i="2"/>
  <c r="T629" i="2"/>
  <c r="T670" i="2"/>
  <c r="T705" i="2"/>
  <c r="T736" i="2"/>
  <c r="T762" i="2"/>
  <c r="T789" i="2"/>
  <c r="T820" i="2"/>
  <c r="T848" i="2"/>
  <c r="T875" i="2"/>
  <c r="T906" i="2"/>
  <c r="T932" i="2"/>
  <c r="T961" i="2"/>
  <c r="T986" i="2"/>
  <c r="T1006" i="2"/>
  <c r="T1027" i="2"/>
  <c r="T1046" i="2"/>
  <c r="T1059" i="2"/>
  <c r="T1069" i="2"/>
  <c r="T1079" i="2"/>
  <c r="T1091" i="2"/>
  <c r="T1101" i="2"/>
  <c r="T1111" i="2"/>
  <c r="T1123" i="2"/>
  <c r="T1133" i="2"/>
  <c r="T1143" i="2"/>
  <c r="T1155" i="2"/>
  <c r="T1165" i="2"/>
  <c r="T1175" i="2"/>
  <c r="T1187" i="2"/>
  <c r="T1197" i="2"/>
  <c r="T1207" i="2"/>
  <c r="T1219" i="2"/>
  <c r="T1229" i="2"/>
  <c r="T1239" i="2"/>
  <c r="T1251" i="2"/>
  <c r="T409" i="2"/>
  <c r="T1066" i="2"/>
  <c r="T1182" i="2"/>
  <c r="T56" i="2"/>
  <c r="T177" i="2"/>
  <c r="T273" i="2"/>
  <c r="T358" i="2"/>
  <c r="T446" i="2"/>
  <c r="T518" i="2"/>
  <c r="T577" i="2"/>
  <c r="T630" i="2"/>
  <c r="T680" i="2"/>
  <c r="T708" i="2"/>
  <c r="T737" i="2"/>
  <c r="T768" i="2"/>
  <c r="T794" i="2"/>
  <c r="T821" i="2"/>
  <c r="T852" i="2"/>
  <c r="T880" i="2"/>
  <c r="T907" i="2"/>
  <c r="T938" i="2"/>
  <c r="T964" i="2"/>
  <c r="T987" i="2"/>
  <c r="T1010" i="2"/>
  <c r="T1030" i="2"/>
  <c r="T1047" i="2"/>
  <c r="T1060" i="2"/>
  <c r="T1070" i="2"/>
  <c r="T1082" i="2"/>
  <c r="T1092" i="2"/>
  <c r="T1102" i="2"/>
  <c r="T1114" i="2"/>
  <c r="T1124" i="2"/>
  <c r="T1134" i="2"/>
  <c r="T1146" i="2"/>
  <c r="T1156" i="2"/>
  <c r="T1166" i="2"/>
  <c r="T1178" i="2"/>
  <c r="T1188" i="2"/>
  <c r="T1198" i="2"/>
  <c r="T1210" i="2"/>
  <c r="T1220" i="2"/>
  <c r="T1230" i="2"/>
  <c r="T1242" i="2"/>
  <c r="T1252" i="2"/>
  <c r="T140" i="2"/>
  <c r="T654" i="2"/>
  <c r="T724" i="2"/>
  <c r="T779" i="2"/>
  <c r="T836" i="2"/>
  <c r="T896" i="2"/>
  <c r="T949" i="2"/>
  <c r="T998" i="2"/>
  <c r="T1042" i="2"/>
  <c r="T1076" i="2"/>
  <c r="T1108" i="2"/>
  <c r="T1140" i="2"/>
  <c r="T1162" i="2"/>
  <c r="T1194" i="2"/>
  <c r="T1226" i="2"/>
  <c r="T1257" i="2"/>
  <c r="T80" i="2"/>
  <c r="T190" i="2"/>
  <c r="T280" i="2"/>
  <c r="T376" i="2"/>
  <c r="T454" i="2"/>
  <c r="T524" i="2"/>
  <c r="T589" i="2"/>
  <c r="T638" i="2"/>
  <c r="T681" i="2"/>
  <c r="T714" i="2"/>
  <c r="T740" i="2"/>
  <c r="T769" i="2"/>
  <c r="T800" i="2"/>
  <c r="T826" i="2"/>
  <c r="T853" i="2"/>
  <c r="T884" i="2"/>
  <c r="T912" i="2"/>
  <c r="T939" i="2"/>
  <c r="T970" i="2"/>
  <c r="T990" i="2"/>
  <c r="T1011" i="2"/>
  <c r="T1034" i="2"/>
  <c r="T1050" i="2"/>
  <c r="T1061" i="2"/>
  <c r="T1071" i="2"/>
  <c r="T1083" i="2"/>
  <c r="T1093" i="2"/>
  <c r="T1103" i="2"/>
  <c r="T1115" i="2"/>
  <c r="T1125" i="2"/>
  <c r="T1135" i="2"/>
  <c r="T1147" i="2"/>
  <c r="T1157" i="2"/>
  <c r="T1167" i="2"/>
  <c r="T1179" i="2"/>
  <c r="T1189" i="2"/>
  <c r="T1199" i="2"/>
  <c r="T1211" i="2"/>
  <c r="T1221" i="2"/>
  <c r="T1231" i="2"/>
  <c r="T1243" i="2"/>
  <c r="T1253" i="2"/>
  <c r="T222" i="2"/>
  <c r="T608" i="2"/>
  <c r="T693" i="2"/>
  <c r="T752" i="2"/>
  <c r="T810" i="2"/>
  <c r="T865" i="2"/>
  <c r="T922" i="2"/>
  <c r="T978" i="2"/>
  <c r="T1019" i="2"/>
  <c r="T1054" i="2"/>
  <c r="T1098" i="2"/>
  <c r="T1130" i="2"/>
  <c r="T1150" i="2"/>
  <c r="T1172" i="2"/>
  <c r="T1214" i="2"/>
  <c r="T1236" i="2"/>
  <c r="T88" i="2"/>
  <c r="T205" i="2"/>
  <c r="T293" i="2"/>
  <c r="T382" i="2"/>
  <c r="T468" i="2"/>
  <c r="T532" i="2"/>
  <c r="T590" i="2"/>
  <c r="T645" i="2"/>
  <c r="T688" i="2"/>
  <c r="T715" i="2"/>
  <c r="T746" i="2"/>
  <c r="T772" i="2"/>
  <c r="T801" i="2"/>
  <c r="T832" i="2"/>
  <c r="T858" i="2"/>
  <c r="T885" i="2"/>
  <c r="T916" i="2"/>
  <c r="T944" i="2"/>
  <c r="T971" i="2"/>
  <c r="T994" i="2"/>
  <c r="T1014" i="2"/>
  <c r="T1035" i="2"/>
  <c r="T1051" i="2"/>
  <c r="T1062" i="2"/>
  <c r="T1074" i="2"/>
  <c r="T1084" i="2"/>
  <c r="T1094" i="2"/>
  <c r="T1106" i="2"/>
  <c r="T1116" i="2"/>
  <c r="T1126" i="2"/>
  <c r="T1138" i="2"/>
  <c r="T1148" i="2"/>
  <c r="T1158" i="2"/>
  <c r="T1170" i="2"/>
  <c r="T1180" i="2"/>
  <c r="T1190" i="2"/>
  <c r="T1202" i="2"/>
  <c r="T1212" i="2"/>
  <c r="T1222" i="2"/>
  <c r="T1234" i="2"/>
  <c r="T1244" i="2"/>
  <c r="T1254" i="2"/>
  <c r="T549" i="2"/>
  <c r="T108" i="2"/>
  <c r="T209" i="2"/>
  <c r="T308" i="2"/>
  <c r="T396" i="2"/>
  <c r="T472" i="2"/>
  <c r="T544" i="2"/>
  <c r="T600" i="2"/>
  <c r="T646" i="2"/>
  <c r="T692" i="2"/>
  <c r="T720" i="2"/>
  <c r="T747" i="2"/>
  <c r="T778" i="2"/>
  <c r="T804" i="2"/>
  <c r="T833" i="2"/>
  <c r="T864" i="2"/>
  <c r="T890" i="2"/>
  <c r="T917" i="2"/>
  <c r="T948" i="2"/>
  <c r="T974" i="2"/>
  <c r="T995" i="2"/>
  <c r="T1018" i="2"/>
  <c r="T1038" i="2"/>
  <c r="T1053" i="2"/>
  <c r="T1063" i="2"/>
  <c r="T1075" i="2"/>
  <c r="T1085" i="2"/>
  <c r="T1095" i="2"/>
  <c r="T1107" i="2"/>
  <c r="T1117" i="2"/>
  <c r="T1127" i="2"/>
  <c r="T1139" i="2"/>
  <c r="T1149" i="2"/>
  <c r="T1159" i="2"/>
  <c r="T1171" i="2"/>
  <c r="T1181" i="2"/>
  <c r="T1191" i="2"/>
  <c r="T1203" i="2"/>
  <c r="T1213" i="2"/>
  <c r="T1223" i="2"/>
  <c r="T1235" i="2"/>
  <c r="T1245" i="2"/>
  <c r="T1255" i="2"/>
  <c r="T141" i="2"/>
  <c r="T241" i="2"/>
  <c r="T325" i="2"/>
  <c r="T414" i="2"/>
  <c r="T493" i="2"/>
  <c r="T557" i="2"/>
  <c r="T613" i="2"/>
  <c r="T664" i="2"/>
  <c r="T698" i="2"/>
  <c r="T725" i="2"/>
  <c r="T756" i="2"/>
  <c r="T784" i="2"/>
  <c r="T811" i="2"/>
  <c r="T842" i="2"/>
  <c r="T868" i="2"/>
  <c r="T897" i="2"/>
  <c r="T928" i="2"/>
  <c r="T954" i="2"/>
  <c r="T979" i="2"/>
  <c r="T1002" i="2"/>
  <c r="T1022" i="2"/>
  <c r="T1043" i="2"/>
  <c r="T1055" i="2"/>
  <c r="T1067" i="2"/>
  <c r="T1077" i="2"/>
  <c r="T1087" i="2"/>
  <c r="T1099" i="2"/>
  <c r="T1109" i="2"/>
  <c r="T1119" i="2"/>
  <c r="T1131" i="2"/>
  <c r="T1141" i="2"/>
  <c r="T1151" i="2"/>
  <c r="T1163" i="2"/>
  <c r="T1173" i="2"/>
  <c r="T1183" i="2"/>
  <c r="T1195" i="2"/>
  <c r="T1205" i="2"/>
  <c r="T1215" i="2"/>
  <c r="T1227" i="2"/>
  <c r="T1237" i="2"/>
  <c r="T1247" i="2"/>
  <c r="T1258" i="2"/>
  <c r="V54" i="1" s="1"/>
  <c r="AC10" i="2" s="1"/>
  <c r="T480" i="2"/>
  <c r="T1118" i="2"/>
  <c r="T1246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8" i="2"/>
  <c r="S19" i="2"/>
  <c r="S33" i="2"/>
  <c r="S44" i="2"/>
  <c r="S58" i="2"/>
  <c r="S72" i="2"/>
  <c r="S83" i="2"/>
  <c r="S97" i="2"/>
  <c r="S108" i="2"/>
  <c r="S122" i="2"/>
  <c r="S136" i="2"/>
  <c r="S147" i="2"/>
  <c r="S161" i="2"/>
  <c r="S172" i="2"/>
  <c r="S186" i="2"/>
  <c r="S200" i="2"/>
  <c r="S211" i="2"/>
  <c r="S225" i="2"/>
  <c r="S236" i="2"/>
  <c r="S250" i="2"/>
  <c r="S264" i="2"/>
  <c r="S275" i="2"/>
  <c r="S289" i="2"/>
  <c r="S300" i="2"/>
  <c r="S314" i="2"/>
  <c r="S328" i="2"/>
  <c r="S339" i="2"/>
  <c r="S353" i="2"/>
  <c r="S364" i="2"/>
  <c r="S378" i="2"/>
  <c r="S392" i="2"/>
  <c r="S403" i="2"/>
  <c r="S412" i="2"/>
  <c r="S422" i="2"/>
  <c r="S431" i="2"/>
  <c r="S440" i="2"/>
  <c r="S449" i="2"/>
  <c r="S458" i="2"/>
  <c r="S467" i="2"/>
  <c r="S476" i="2"/>
  <c r="S486" i="2"/>
  <c r="S495" i="2"/>
  <c r="S504" i="2"/>
  <c r="S513" i="2"/>
  <c r="S522" i="2"/>
  <c r="S531" i="2"/>
  <c r="S540" i="2"/>
  <c r="S550" i="2"/>
  <c r="S559" i="2"/>
  <c r="S568" i="2"/>
  <c r="S577" i="2"/>
  <c r="S586" i="2"/>
  <c r="S595" i="2"/>
  <c r="S604" i="2"/>
  <c r="S614" i="2"/>
  <c r="S623" i="2"/>
  <c r="S632" i="2"/>
  <c r="S641" i="2"/>
  <c r="S650" i="2"/>
  <c r="S659" i="2"/>
  <c r="S668" i="2"/>
  <c r="S678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9" i="2"/>
  <c r="S20" i="2"/>
  <c r="S34" i="2"/>
  <c r="S48" i="2"/>
  <c r="S59" i="2"/>
  <c r="S73" i="2"/>
  <c r="S84" i="2"/>
  <c r="S98" i="2"/>
  <c r="S112" i="2"/>
  <c r="S123" i="2"/>
  <c r="S137" i="2"/>
  <c r="S148" i="2"/>
  <c r="S162" i="2"/>
  <c r="S176" i="2"/>
  <c r="S187" i="2"/>
  <c r="S201" i="2"/>
  <c r="S212" i="2"/>
  <c r="S226" i="2"/>
  <c r="S240" i="2"/>
  <c r="S251" i="2"/>
  <c r="S265" i="2"/>
  <c r="S276" i="2"/>
  <c r="S290" i="2"/>
  <c r="S304" i="2"/>
  <c r="S315" i="2"/>
  <c r="S329" i="2"/>
  <c r="S340" i="2"/>
  <c r="S354" i="2"/>
  <c r="S368" i="2"/>
  <c r="S379" i="2"/>
  <c r="S393" i="2"/>
  <c r="S404" i="2"/>
  <c r="S414" i="2"/>
  <c r="S423" i="2"/>
  <c r="S432" i="2"/>
  <c r="S441" i="2"/>
  <c r="S450" i="2"/>
  <c r="S459" i="2"/>
  <c r="S468" i="2"/>
  <c r="S478" i="2"/>
  <c r="S487" i="2"/>
  <c r="S496" i="2"/>
  <c r="S505" i="2"/>
  <c r="S514" i="2"/>
  <c r="S523" i="2"/>
  <c r="S532" i="2"/>
  <c r="S542" i="2"/>
  <c r="S551" i="2"/>
  <c r="S560" i="2"/>
  <c r="S569" i="2"/>
  <c r="S578" i="2"/>
  <c r="S587" i="2"/>
  <c r="S596" i="2"/>
  <c r="S606" i="2"/>
  <c r="S615" i="2"/>
  <c r="S624" i="2"/>
  <c r="S633" i="2"/>
  <c r="S642" i="2"/>
  <c r="S651" i="2"/>
  <c r="S660" i="2"/>
  <c r="S670" i="2"/>
  <c r="S679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11" i="2"/>
  <c r="S25" i="2"/>
  <c r="S36" i="2"/>
  <c r="S50" i="2"/>
  <c r="S64" i="2"/>
  <c r="S75" i="2"/>
  <c r="S89" i="2"/>
  <c r="S100" i="2"/>
  <c r="S114" i="2"/>
  <c r="S128" i="2"/>
  <c r="S139" i="2"/>
  <c r="S153" i="2"/>
  <c r="S164" i="2"/>
  <c r="S178" i="2"/>
  <c r="S192" i="2"/>
  <c r="S203" i="2"/>
  <c r="S217" i="2"/>
  <c r="S228" i="2"/>
  <c r="S242" i="2"/>
  <c r="S256" i="2"/>
  <c r="S267" i="2"/>
  <c r="S281" i="2"/>
  <c r="S292" i="2"/>
  <c r="S306" i="2"/>
  <c r="S320" i="2"/>
  <c r="S331" i="2"/>
  <c r="S345" i="2"/>
  <c r="S356" i="2"/>
  <c r="S370" i="2"/>
  <c r="S384" i="2"/>
  <c r="S395" i="2"/>
  <c r="S407" i="2"/>
  <c r="S416" i="2"/>
  <c r="S425" i="2"/>
  <c r="S434" i="2"/>
  <c r="S443" i="2"/>
  <c r="S452" i="2"/>
  <c r="S462" i="2"/>
  <c r="S471" i="2"/>
  <c r="S480" i="2"/>
  <c r="S489" i="2"/>
  <c r="S498" i="2"/>
  <c r="S507" i="2"/>
  <c r="S516" i="2"/>
  <c r="S526" i="2"/>
  <c r="S535" i="2"/>
  <c r="S544" i="2"/>
  <c r="S553" i="2"/>
  <c r="S562" i="2"/>
  <c r="S571" i="2"/>
  <c r="S580" i="2"/>
  <c r="S590" i="2"/>
  <c r="S599" i="2"/>
  <c r="S608" i="2"/>
  <c r="S617" i="2"/>
  <c r="S626" i="2"/>
  <c r="S635" i="2"/>
  <c r="S644" i="2"/>
  <c r="S654" i="2"/>
  <c r="S663" i="2"/>
  <c r="S672" i="2"/>
  <c r="S681" i="2"/>
  <c r="S689" i="2"/>
  <c r="S697" i="2"/>
  <c r="S705" i="2"/>
  <c r="S713" i="2"/>
  <c r="S721" i="2"/>
  <c r="S10" i="2"/>
  <c r="S28" i="2"/>
  <c r="S51" i="2"/>
  <c r="S68" i="2"/>
  <c r="S91" i="2"/>
  <c r="S113" i="2"/>
  <c r="S131" i="2"/>
  <c r="S154" i="2"/>
  <c r="S171" i="2"/>
  <c r="S194" i="2"/>
  <c r="S216" i="2"/>
  <c r="S234" i="2"/>
  <c r="S257" i="2"/>
  <c r="S274" i="2"/>
  <c r="S297" i="2"/>
  <c r="S316" i="2"/>
  <c r="S337" i="2"/>
  <c r="S360" i="2"/>
  <c r="S377" i="2"/>
  <c r="S400" i="2"/>
  <c r="S415" i="2"/>
  <c r="S428" i="2"/>
  <c r="S444" i="2"/>
  <c r="S457" i="2"/>
  <c r="S473" i="2"/>
  <c r="S488" i="2"/>
  <c r="S502" i="2"/>
  <c r="S518" i="2"/>
  <c r="S530" i="2"/>
  <c r="S546" i="2"/>
  <c r="S561" i="2"/>
  <c r="S575" i="2"/>
  <c r="S591" i="2"/>
  <c r="S603" i="2"/>
  <c r="S619" i="2"/>
  <c r="S634" i="2"/>
  <c r="S648" i="2"/>
  <c r="S664" i="2"/>
  <c r="S676" i="2"/>
  <c r="S691" i="2"/>
  <c r="S704" i="2"/>
  <c r="S716" i="2"/>
  <c r="S729" i="2"/>
  <c r="S739" i="2"/>
  <c r="S749" i="2"/>
  <c r="S761" i="2"/>
  <c r="S771" i="2"/>
  <c r="S781" i="2"/>
  <c r="S793" i="2"/>
  <c r="S803" i="2"/>
  <c r="S813" i="2"/>
  <c r="S825" i="2"/>
  <c r="S835" i="2"/>
  <c r="S845" i="2"/>
  <c r="S857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2" i="2"/>
  <c r="S32" i="2"/>
  <c r="S52" i="2"/>
  <c r="S74" i="2"/>
  <c r="S92" i="2"/>
  <c r="S115" i="2"/>
  <c r="S132" i="2"/>
  <c r="S155" i="2"/>
  <c r="S177" i="2"/>
  <c r="S195" i="2"/>
  <c r="S218" i="2"/>
  <c r="S235" i="2"/>
  <c r="S258" i="2"/>
  <c r="S280" i="2"/>
  <c r="S298" i="2"/>
  <c r="S321" i="2"/>
  <c r="S338" i="2"/>
  <c r="S361" i="2"/>
  <c r="S380" i="2"/>
  <c r="S401" i="2"/>
  <c r="S417" i="2"/>
  <c r="S430" i="2"/>
  <c r="S446" i="2"/>
  <c r="S460" i="2"/>
  <c r="S474" i="2"/>
  <c r="S490" i="2"/>
  <c r="S503" i="2"/>
  <c r="S519" i="2"/>
  <c r="S534" i="2"/>
  <c r="S547" i="2"/>
  <c r="S563" i="2"/>
  <c r="S576" i="2"/>
  <c r="S592" i="2"/>
  <c r="S607" i="2"/>
  <c r="S620" i="2"/>
  <c r="S636" i="2"/>
  <c r="S649" i="2"/>
  <c r="S665" i="2"/>
  <c r="S680" i="2"/>
  <c r="S692" i="2"/>
  <c r="S706" i="2"/>
  <c r="S717" i="2"/>
  <c r="S730" i="2"/>
  <c r="S740" i="2"/>
  <c r="S752" i="2"/>
  <c r="S762" i="2"/>
  <c r="S772" i="2"/>
  <c r="S784" i="2"/>
  <c r="S794" i="2"/>
  <c r="S804" i="2"/>
  <c r="S816" i="2"/>
  <c r="S826" i="2"/>
  <c r="S836" i="2"/>
  <c r="S848" i="2"/>
  <c r="S858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6" i="2"/>
  <c r="S35" i="2"/>
  <c r="S56" i="2"/>
  <c r="S76" i="2"/>
  <c r="S96" i="2"/>
  <c r="S116" i="2"/>
  <c r="S138" i="2"/>
  <c r="S156" i="2"/>
  <c r="S179" i="2"/>
  <c r="S196" i="2"/>
  <c r="S219" i="2"/>
  <c r="S241" i="2"/>
  <c r="S259" i="2"/>
  <c r="S282" i="2"/>
  <c r="S299" i="2"/>
  <c r="S322" i="2"/>
  <c r="S344" i="2"/>
  <c r="S362" i="2"/>
  <c r="S385" i="2"/>
  <c r="S402" i="2"/>
  <c r="S418" i="2"/>
  <c r="S433" i="2"/>
  <c r="S447" i="2"/>
  <c r="S463" i="2"/>
  <c r="S475" i="2"/>
  <c r="S491" i="2"/>
  <c r="S506" i="2"/>
  <c r="S520" i="2"/>
  <c r="S536" i="2"/>
  <c r="S548" i="2"/>
  <c r="S564" i="2"/>
  <c r="S579" i="2"/>
  <c r="S593" i="2"/>
  <c r="S609" i="2"/>
  <c r="S622" i="2"/>
  <c r="S638" i="2"/>
  <c r="S652" i="2"/>
  <c r="S666" i="2"/>
  <c r="S682" i="2"/>
  <c r="S693" i="2"/>
  <c r="S707" i="2"/>
  <c r="S720" i="2"/>
  <c r="S731" i="2"/>
  <c r="S741" i="2"/>
  <c r="S753" i="2"/>
  <c r="S763" i="2"/>
  <c r="S773" i="2"/>
  <c r="S785" i="2"/>
  <c r="S795" i="2"/>
  <c r="S805" i="2"/>
  <c r="S817" i="2"/>
  <c r="S827" i="2"/>
  <c r="S837" i="2"/>
  <c r="S849" i="2"/>
  <c r="S859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7" i="2"/>
  <c r="S40" i="2"/>
  <c r="S57" i="2"/>
  <c r="S80" i="2"/>
  <c r="S99" i="2"/>
  <c r="S120" i="2"/>
  <c r="S140" i="2"/>
  <c r="S160" i="2"/>
  <c r="S180" i="2"/>
  <c r="S202" i="2"/>
  <c r="S220" i="2"/>
  <c r="S243" i="2"/>
  <c r="S260" i="2"/>
  <c r="S283" i="2"/>
  <c r="S305" i="2"/>
  <c r="S323" i="2"/>
  <c r="S346" i="2"/>
  <c r="S363" i="2"/>
  <c r="S386" i="2"/>
  <c r="S406" i="2"/>
  <c r="S419" i="2"/>
  <c r="S435" i="2"/>
  <c r="S448" i="2"/>
  <c r="S464" i="2"/>
  <c r="S479" i="2"/>
  <c r="S492" i="2"/>
  <c r="S508" i="2"/>
  <c r="S521" i="2"/>
  <c r="S537" i="2"/>
  <c r="S552" i="2"/>
  <c r="S566" i="2"/>
  <c r="S582" i="2"/>
  <c r="S594" i="2"/>
  <c r="S610" i="2"/>
  <c r="S625" i="2"/>
  <c r="S639" i="2"/>
  <c r="S655" i="2"/>
  <c r="S667" i="2"/>
  <c r="S683" i="2"/>
  <c r="S696" i="2"/>
  <c r="S708" i="2"/>
  <c r="S722" i="2"/>
  <c r="S732" i="2"/>
  <c r="S744" i="2"/>
  <c r="S754" i="2"/>
  <c r="S764" i="2"/>
  <c r="S776" i="2"/>
  <c r="S786" i="2"/>
  <c r="S796" i="2"/>
  <c r="S808" i="2"/>
  <c r="S818" i="2"/>
  <c r="S828" i="2"/>
  <c r="S840" i="2"/>
  <c r="S850" i="2"/>
  <c r="S860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8" i="2"/>
  <c r="S60" i="2"/>
  <c r="S104" i="2"/>
  <c r="S144" i="2"/>
  <c r="S184" i="2"/>
  <c r="S224" i="2"/>
  <c r="S266" i="2"/>
  <c r="S307" i="2"/>
  <c r="S347" i="2"/>
  <c r="S387" i="2"/>
  <c r="S420" i="2"/>
  <c r="S451" i="2"/>
  <c r="S481" i="2"/>
  <c r="S510" i="2"/>
  <c r="S538" i="2"/>
  <c r="S567" i="2"/>
  <c r="S598" i="2"/>
  <c r="S627" i="2"/>
  <c r="S656" i="2"/>
  <c r="S684" i="2"/>
  <c r="S709" i="2"/>
  <c r="S733" i="2"/>
  <c r="S755" i="2"/>
  <c r="S777" i="2"/>
  <c r="S797" i="2"/>
  <c r="S819" i="2"/>
  <c r="S841" i="2"/>
  <c r="S861" i="2"/>
  <c r="S879" i="2"/>
  <c r="S895" i="2"/>
  <c r="S911" i="2"/>
  <c r="S927" i="2"/>
  <c r="S943" i="2"/>
  <c r="S959" i="2"/>
  <c r="S975" i="2"/>
  <c r="S991" i="2"/>
  <c r="S1007" i="2"/>
  <c r="S1023" i="2"/>
  <c r="S1039" i="2"/>
  <c r="S1055" i="2"/>
  <c r="S1066" i="2"/>
  <c r="S1080" i="2"/>
  <c r="S1094" i="2"/>
  <c r="S1105" i="2"/>
  <c r="S1117" i="2"/>
  <c r="S1127" i="2"/>
  <c r="S1137" i="2"/>
  <c r="S1149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81" i="2"/>
  <c r="S324" i="2"/>
  <c r="S465" i="2"/>
  <c r="S554" i="2"/>
  <c r="S671" i="2"/>
  <c r="S787" i="2"/>
  <c r="S871" i="2"/>
  <c r="S935" i="2"/>
  <c r="S983" i="2"/>
  <c r="S1047" i="2"/>
  <c r="S1098" i="2"/>
  <c r="S1143" i="2"/>
  <c r="S1169" i="2"/>
  <c r="S1193" i="2"/>
  <c r="S1225" i="2"/>
  <c r="S24" i="2"/>
  <c r="S65" i="2"/>
  <c r="S105" i="2"/>
  <c r="S145" i="2"/>
  <c r="S185" i="2"/>
  <c r="S227" i="2"/>
  <c r="S268" i="2"/>
  <c r="S308" i="2"/>
  <c r="S348" i="2"/>
  <c r="S388" i="2"/>
  <c r="S424" i="2"/>
  <c r="S454" i="2"/>
  <c r="S482" i="2"/>
  <c r="S511" i="2"/>
  <c r="S539" i="2"/>
  <c r="S570" i="2"/>
  <c r="S600" i="2"/>
  <c r="S628" i="2"/>
  <c r="S657" i="2"/>
  <c r="S685" i="2"/>
  <c r="S712" i="2"/>
  <c r="S736" i="2"/>
  <c r="S756" i="2"/>
  <c r="S778" i="2"/>
  <c r="S800" i="2"/>
  <c r="S820" i="2"/>
  <c r="S842" i="2"/>
  <c r="S864" i="2"/>
  <c r="S880" i="2"/>
  <c r="S896" i="2"/>
  <c r="S912" i="2"/>
  <c r="S928" i="2"/>
  <c r="S944" i="2"/>
  <c r="S960" i="2"/>
  <c r="S976" i="2"/>
  <c r="S992" i="2"/>
  <c r="S1008" i="2"/>
  <c r="S1024" i="2"/>
  <c r="S1040" i="2"/>
  <c r="S1056" i="2"/>
  <c r="S1070" i="2"/>
  <c r="S1081" i="2"/>
  <c r="S1095" i="2"/>
  <c r="S1106" i="2"/>
  <c r="S1118" i="2"/>
  <c r="S1128" i="2"/>
  <c r="S1138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41" i="2"/>
  <c r="S244" i="2"/>
  <c r="S408" i="2"/>
  <c r="S494" i="2"/>
  <c r="S583" i="2"/>
  <c r="S698" i="2"/>
  <c r="S745" i="2"/>
  <c r="S809" i="2"/>
  <c r="S851" i="2"/>
  <c r="S903" i="2"/>
  <c r="S967" i="2"/>
  <c r="S1015" i="2"/>
  <c r="S1062" i="2"/>
  <c r="S1087" i="2"/>
  <c r="S1121" i="2"/>
  <c r="S1161" i="2"/>
  <c r="S1185" i="2"/>
  <c r="S1209" i="2"/>
  <c r="S1233" i="2"/>
  <c r="S26" i="2"/>
  <c r="S66" i="2"/>
  <c r="S106" i="2"/>
  <c r="S146" i="2"/>
  <c r="S188" i="2"/>
  <c r="S232" i="2"/>
  <c r="S272" i="2"/>
  <c r="S312" i="2"/>
  <c r="S352" i="2"/>
  <c r="S394" i="2"/>
  <c r="S426" i="2"/>
  <c r="S455" i="2"/>
  <c r="S483" i="2"/>
  <c r="S512" i="2"/>
  <c r="S543" i="2"/>
  <c r="S572" i="2"/>
  <c r="S601" i="2"/>
  <c r="S630" i="2"/>
  <c r="S658" i="2"/>
  <c r="S688" i="2"/>
  <c r="S714" i="2"/>
  <c r="S737" i="2"/>
  <c r="S757" i="2"/>
  <c r="S779" i="2"/>
  <c r="S801" i="2"/>
  <c r="S821" i="2"/>
  <c r="S843" i="2"/>
  <c r="S865" i="2"/>
  <c r="S881" i="2"/>
  <c r="S897" i="2"/>
  <c r="S913" i="2"/>
  <c r="S929" i="2"/>
  <c r="S945" i="2"/>
  <c r="S961" i="2"/>
  <c r="S977" i="2"/>
  <c r="S993" i="2"/>
  <c r="S1009" i="2"/>
  <c r="S1025" i="2"/>
  <c r="S1041" i="2"/>
  <c r="S1057" i="2"/>
  <c r="S1071" i="2"/>
  <c r="S1082" i="2"/>
  <c r="S1096" i="2"/>
  <c r="S1109" i="2"/>
  <c r="S1119" i="2"/>
  <c r="S1129" i="2"/>
  <c r="S1141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27" i="2"/>
  <c r="S67" i="2"/>
  <c r="S107" i="2"/>
  <c r="S152" i="2"/>
  <c r="S193" i="2"/>
  <c r="S233" i="2"/>
  <c r="S273" i="2"/>
  <c r="S313" i="2"/>
  <c r="S355" i="2"/>
  <c r="S396" i="2"/>
  <c r="S427" i="2"/>
  <c r="S456" i="2"/>
  <c r="S484" i="2"/>
  <c r="S515" i="2"/>
  <c r="S545" i="2"/>
  <c r="S574" i="2"/>
  <c r="S602" i="2"/>
  <c r="S631" i="2"/>
  <c r="S662" i="2"/>
  <c r="S690" i="2"/>
  <c r="S715" i="2"/>
  <c r="S738" i="2"/>
  <c r="S760" i="2"/>
  <c r="S780" i="2"/>
  <c r="S802" i="2"/>
  <c r="S824" i="2"/>
  <c r="S844" i="2"/>
  <c r="S866" i="2"/>
  <c r="S882" i="2"/>
  <c r="S898" i="2"/>
  <c r="S914" i="2"/>
  <c r="S930" i="2"/>
  <c r="S946" i="2"/>
  <c r="S962" i="2"/>
  <c r="S978" i="2"/>
  <c r="S994" i="2"/>
  <c r="S1010" i="2"/>
  <c r="S1026" i="2"/>
  <c r="S1042" i="2"/>
  <c r="S1058" i="2"/>
  <c r="S1072" i="2"/>
  <c r="S1086" i="2"/>
  <c r="S1097" i="2"/>
  <c r="S1110" i="2"/>
  <c r="S1120" i="2"/>
  <c r="S1130" i="2"/>
  <c r="S1142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121" i="2"/>
  <c r="S163" i="2"/>
  <c r="S204" i="2"/>
  <c r="S284" i="2"/>
  <c r="S369" i="2"/>
  <c r="S436" i="2"/>
  <c r="S524" i="2"/>
  <c r="S611" i="2"/>
  <c r="S640" i="2"/>
  <c r="S723" i="2"/>
  <c r="S765" i="2"/>
  <c r="S829" i="2"/>
  <c r="S887" i="2"/>
  <c r="S919" i="2"/>
  <c r="S951" i="2"/>
  <c r="S999" i="2"/>
  <c r="S1031" i="2"/>
  <c r="S1073" i="2"/>
  <c r="S1111" i="2"/>
  <c r="S1133" i="2"/>
  <c r="S1153" i="2"/>
  <c r="S1177" i="2"/>
  <c r="S1201" i="2"/>
  <c r="S1217" i="2"/>
  <c r="S42" i="2"/>
  <c r="S130" i="2"/>
  <c r="S249" i="2"/>
  <c r="S371" i="2"/>
  <c r="S442" i="2"/>
  <c r="S528" i="2"/>
  <c r="S612" i="2"/>
  <c r="S675" i="2"/>
  <c r="S747" i="2"/>
  <c r="S810" i="2"/>
  <c r="S856" i="2"/>
  <c r="S905" i="2"/>
  <c r="S952" i="2"/>
  <c r="S986" i="2"/>
  <c r="S1033" i="2"/>
  <c r="S1074" i="2"/>
  <c r="S1104" i="2"/>
  <c r="S1135" i="2"/>
  <c r="S1162" i="2"/>
  <c r="S1180" i="2"/>
  <c r="S1203" i="2"/>
  <c r="S1226" i="2"/>
  <c r="S1243" i="2"/>
  <c r="S769" i="2"/>
  <c r="S248" i="2"/>
  <c r="S43" i="2"/>
  <c r="S168" i="2"/>
  <c r="S252" i="2"/>
  <c r="S372" i="2"/>
  <c r="S466" i="2"/>
  <c r="S529" i="2"/>
  <c r="S616" i="2"/>
  <c r="S699" i="2"/>
  <c r="S748" i="2"/>
  <c r="S811" i="2"/>
  <c r="S872" i="2"/>
  <c r="S906" i="2"/>
  <c r="S953" i="2"/>
  <c r="S1000" i="2"/>
  <c r="S1034" i="2"/>
  <c r="S1078" i="2"/>
  <c r="S1112" i="2"/>
  <c r="S1136" i="2"/>
  <c r="S1163" i="2"/>
  <c r="S1186" i="2"/>
  <c r="S1204" i="2"/>
  <c r="S1227" i="2"/>
  <c r="S1244" i="2"/>
  <c r="S82" i="2"/>
  <c r="S472" i="2"/>
  <c r="S643" i="2"/>
  <c r="S701" i="2"/>
  <c r="S874" i="2"/>
  <c r="S968" i="2"/>
  <c r="S1049" i="2"/>
  <c r="S1114" i="2"/>
  <c r="S1170" i="2"/>
  <c r="S1211" i="2"/>
  <c r="S1250" i="2"/>
  <c r="S88" i="2"/>
  <c r="S410" i="2"/>
  <c r="S558" i="2"/>
  <c r="S724" i="2"/>
  <c r="S888" i="2"/>
  <c r="S969" i="2"/>
  <c r="S1050" i="2"/>
  <c r="S1122" i="2"/>
  <c r="S1171" i="2"/>
  <c r="S1212" i="2"/>
  <c r="S1251" i="2"/>
  <c r="S336" i="2"/>
  <c r="S49" i="2"/>
  <c r="S169" i="2"/>
  <c r="S288" i="2"/>
  <c r="S376" i="2"/>
  <c r="S470" i="2"/>
  <c r="S555" i="2"/>
  <c r="S618" i="2"/>
  <c r="S700" i="2"/>
  <c r="S768" i="2"/>
  <c r="S812" i="2"/>
  <c r="S873" i="2"/>
  <c r="S920" i="2"/>
  <c r="S954" i="2"/>
  <c r="S1001" i="2"/>
  <c r="S1048" i="2"/>
  <c r="S1079" i="2"/>
  <c r="S1113" i="2"/>
  <c r="S1144" i="2"/>
  <c r="S1164" i="2"/>
  <c r="S1187" i="2"/>
  <c r="S1210" i="2"/>
  <c r="S1228" i="2"/>
  <c r="S1249" i="2"/>
  <c r="S170" i="2"/>
  <c r="S291" i="2"/>
  <c r="S409" i="2"/>
  <c r="S556" i="2"/>
  <c r="S832" i="2"/>
  <c r="S921" i="2"/>
  <c r="S1002" i="2"/>
  <c r="S1088" i="2"/>
  <c r="S1145" i="2"/>
  <c r="S1188" i="2"/>
  <c r="S1234" i="2"/>
  <c r="S208" i="2"/>
  <c r="S296" i="2"/>
  <c r="S497" i="2"/>
  <c r="S646" i="2"/>
  <c r="S770" i="2"/>
  <c r="S833" i="2"/>
  <c r="S922" i="2"/>
  <c r="S1016" i="2"/>
  <c r="S1089" i="2"/>
  <c r="S1146" i="2"/>
  <c r="S1194" i="2"/>
  <c r="S1235" i="2"/>
  <c r="S439" i="2"/>
  <c r="S90" i="2"/>
  <c r="S209" i="2"/>
  <c r="S330" i="2"/>
  <c r="S411" i="2"/>
  <c r="S499" i="2"/>
  <c r="S584" i="2"/>
  <c r="S647" i="2"/>
  <c r="S725" i="2"/>
  <c r="S788" i="2"/>
  <c r="S834" i="2"/>
  <c r="S889" i="2"/>
  <c r="S936" i="2"/>
  <c r="S970" i="2"/>
  <c r="S1017" i="2"/>
  <c r="S1063" i="2"/>
  <c r="S1090" i="2"/>
  <c r="S1125" i="2"/>
  <c r="S1154" i="2"/>
  <c r="S1172" i="2"/>
  <c r="S1195" i="2"/>
  <c r="S1218" i="2"/>
  <c r="S1236" i="2"/>
  <c r="S1252" i="2"/>
  <c r="S124" i="2"/>
  <c r="S210" i="2"/>
  <c r="S332" i="2"/>
  <c r="S438" i="2"/>
  <c r="S500" i="2"/>
  <c r="S585" i="2"/>
  <c r="S673" i="2"/>
  <c r="S728" i="2"/>
  <c r="S789" i="2"/>
  <c r="S852" i="2"/>
  <c r="S890" i="2"/>
  <c r="S937" i="2"/>
  <c r="S984" i="2"/>
  <c r="S1018" i="2"/>
  <c r="S1064" i="2"/>
  <c r="S1102" i="2"/>
  <c r="S1126" i="2"/>
  <c r="S1155" i="2"/>
  <c r="S1178" i="2"/>
  <c r="S1196" i="2"/>
  <c r="S1219" i="2"/>
  <c r="S1241" i="2"/>
  <c r="S1257" i="2"/>
  <c r="S129" i="2"/>
  <c r="S527" i="2"/>
  <c r="S588" i="2"/>
  <c r="S674" i="2"/>
  <c r="S746" i="2"/>
  <c r="S792" i="2"/>
  <c r="S853" i="2"/>
  <c r="S904" i="2"/>
  <c r="S938" i="2"/>
  <c r="S985" i="2"/>
  <c r="S1032" i="2"/>
  <c r="S1065" i="2"/>
  <c r="S1103" i="2"/>
  <c r="S1134" i="2"/>
  <c r="S1156" i="2"/>
  <c r="S1179" i="2"/>
  <c r="S1202" i="2"/>
  <c r="S1220" i="2"/>
  <c r="S1242" i="2"/>
  <c r="S1258" i="2"/>
  <c r="V53" i="1" s="1"/>
  <c r="AC9" i="2" s="1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8" i="2"/>
  <c r="R16" i="2"/>
  <c r="R24" i="2"/>
  <c r="R32" i="2"/>
  <c r="R40" i="2"/>
  <c r="R48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18" i="2"/>
  <c r="R50" i="2"/>
  <c r="R72" i="2"/>
  <c r="R91" i="2"/>
  <c r="R114" i="2"/>
  <c r="R136" i="2"/>
  <c r="R155" i="2"/>
  <c r="R178" i="2"/>
  <c r="R200" i="2"/>
  <c r="R219" i="2"/>
  <c r="R242" i="2"/>
  <c r="R264" i="2"/>
  <c r="R283" i="2"/>
  <c r="R306" i="2"/>
  <c r="R328" i="2"/>
  <c r="R347" i="2"/>
  <c r="R370" i="2"/>
  <c r="R392" i="2"/>
  <c r="R411" i="2"/>
  <c r="R434" i="2"/>
  <c r="R456" i="2"/>
  <c r="R475" i="2"/>
  <c r="R498" i="2"/>
  <c r="R520" i="2"/>
  <c r="R539" i="2"/>
  <c r="R562" i="2"/>
  <c r="R578" i="2"/>
  <c r="R591" i="2"/>
  <c r="R603" i="2"/>
  <c r="R616" i="2"/>
  <c r="R627" i="2"/>
  <c r="R638" i="2"/>
  <c r="R648" i="2"/>
  <c r="R659" i="2"/>
  <c r="R670" i="2"/>
  <c r="R680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041" i="2"/>
  <c r="R1049" i="2"/>
  <c r="R1057" i="2"/>
  <c r="R1065" i="2"/>
  <c r="R1073" i="2"/>
  <c r="R19" i="2"/>
  <c r="R51" i="2"/>
  <c r="R74" i="2"/>
  <c r="R96" i="2"/>
  <c r="R115" i="2"/>
  <c r="R138" i="2"/>
  <c r="R160" i="2"/>
  <c r="R179" i="2"/>
  <c r="R202" i="2"/>
  <c r="R224" i="2"/>
  <c r="R243" i="2"/>
  <c r="R266" i="2"/>
  <c r="R288" i="2"/>
  <c r="R307" i="2"/>
  <c r="R330" i="2"/>
  <c r="R352" i="2"/>
  <c r="R371" i="2"/>
  <c r="R394" i="2"/>
  <c r="R416" i="2"/>
  <c r="R435" i="2"/>
  <c r="R458" i="2"/>
  <c r="R480" i="2"/>
  <c r="R499" i="2"/>
  <c r="R522" i="2"/>
  <c r="R544" i="2"/>
  <c r="R563" i="2"/>
  <c r="R579" i="2"/>
  <c r="R592" i="2"/>
  <c r="R604" i="2"/>
  <c r="R618" i="2"/>
  <c r="R628" i="2"/>
  <c r="R639" i="2"/>
  <c r="R650" i="2"/>
  <c r="R660" i="2"/>
  <c r="R671" i="2"/>
  <c r="R682" i="2"/>
  <c r="R690" i="2"/>
  <c r="R698" i="2"/>
  <c r="R706" i="2"/>
  <c r="R714" i="2"/>
  <c r="R722" i="2"/>
  <c r="R730" i="2"/>
  <c r="R738" i="2"/>
  <c r="R746" i="2"/>
  <c r="R754" i="2"/>
  <c r="R762" i="2"/>
  <c r="R770" i="2"/>
  <c r="R778" i="2"/>
  <c r="R786" i="2"/>
  <c r="R794" i="2"/>
  <c r="R802" i="2"/>
  <c r="R810" i="2"/>
  <c r="R818" i="2"/>
  <c r="R826" i="2"/>
  <c r="R834" i="2"/>
  <c r="R842" i="2"/>
  <c r="R850" i="2"/>
  <c r="R858" i="2"/>
  <c r="R866" i="2"/>
  <c r="R874" i="2"/>
  <c r="R882" i="2"/>
  <c r="R890" i="2"/>
  <c r="R26" i="2"/>
  <c r="R56" i="2"/>
  <c r="R75" i="2"/>
  <c r="R98" i="2"/>
  <c r="R120" i="2"/>
  <c r="R139" i="2"/>
  <c r="R162" i="2"/>
  <c r="R184" i="2"/>
  <c r="R203" i="2"/>
  <c r="R226" i="2"/>
  <c r="R248" i="2"/>
  <c r="R267" i="2"/>
  <c r="R290" i="2"/>
  <c r="R312" i="2"/>
  <c r="R331" i="2"/>
  <c r="R354" i="2"/>
  <c r="R376" i="2"/>
  <c r="R395" i="2"/>
  <c r="R418" i="2"/>
  <c r="R440" i="2"/>
  <c r="R459" i="2"/>
  <c r="R482" i="2"/>
  <c r="R504" i="2"/>
  <c r="R523" i="2"/>
  <c r="R546" i="2"/>
  <c r="R568" i="2"/>
  <c r="R580" i="2"/>
  <c r="R594" i="2"/>
  <c r="R607" i="2"/>
  <c r="R619" i="2"/>
  <c r="R630" i="2"/>
  <c r="R640" i="2"/>
  <c r="R651" i="2"/>
  <c r="R662" i="2"/>
  <c r="R672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27" i="2"/>
  <c r="R58" i="2"/>
  <c r="R80" i="2"/>
  <c r="R99" i="2"/>
  <c r="R122" i="2"/>
  <c r="R144" i="2"/>
  <c r="R163" i="2"/>
  <c r="R186" i="2"/>
  <c r="R208" i="2"/>
  <c r="R227" i="2"/>
  <c r="R250" i="2"/>
  <c r="R272" i="2"/>
  <c r="R291" i="2"/>
  <c r="R314" i="2"/>
  <c r="R336" i="2"/>
  <c r="R355" i="2"/>
  <c r="R378" i="2"/>
  <c r="R400" i="2"/>
  <c r="R419" i="2"/>
  <c r="R442" i="2"/>
  <c r="R464" i="2"/>
  <c r="R483" i="2"/>
  <c r="R506" i="2"/>
  <c r="R528" i="2"/>
  <c r="R547" i="2"/>
  <c r="R570" i="2"/>
  <c r="R583" i="2"/>
  <c r="R595" i="2"/>
  <c r="R608" i="2"/>
  <c r="R620" i="2"/>
  <c r="R631" i="2"/>
  <c r="R642" i="2"/>
  <c r="R652" i="2"/>
  <c r="R663" i="2"/>
  <c r="R674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10" i="2"/>
  <c r="R66" i="2"/>
  <c r="R107" i="2"/>
  <c r="R152" i="2"/>
  <c r="R194" i="2"/>
  <c r="R235" i="2"/>
  <c r="R280" i="2"/>
  <c r="R322" i="2"/>
  <c r="R363" i="2"/>
  <c r="R408" i="2"/>
  <c r="R450" i="2"/>
  <c r="R491" i="2"/>
  <c r="R536" i="2"/>
  <c r="R575" i="2"/>
  <c r="R600" i="2"/>
  <c r="R624" i="2"/>
  <c r="R646" i="2"/>
  <c r="R667" i="2"/>
  <c r="R687" i="2"/>
  <c r="R703" i="2"/>
  <c r="R719" i="2"/>
  <c r="R735" i="2"/>
  <c r="R751" i="2"/>
  <c r="R767" i="2"/>
  <c r="R783" i="2"/>
  <c r="R797" i="2"/>
  <c r="R808" i="2"/>
  <c r="R820" i="2"/>
  <c r="R830" i="2"/>
  <c r="R840" i="2"/>
  <c r="R852" i="2"/>
  <c r="R862" i="2"/>
  <c r="R872" i="2"/>
  <c r="R884" i="2"/>
  <c r="R894" i="2"/>
  <c r="R903" i="2"/>
  <c r="R912" i="2"/>
  <c r="R922" i="2"/>
  <c r="R931" i="2"/>
  <c r="R940" i="2"/>
  <c r="R949" i="2"/>
  <c r="R958" i="2"/>
  <c r="R967" i="2"/>
  <c r="R976" i="2"/>
  <c r="R986" i="2"/>
  <c r="R995" i="2"/>
  <c r="R1004" i="2"/>
  <c r="R1013" i="2"/>
  <c r="R1022" i="2"/>
  <c r="R1031" i="2"/>
  <c r="R1040" i="2"/>
  <c r="R1050" i="2"/>
  <c r="R1059" i="2"/>
  <c r="R1068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668" i="2"/>
  <c r="R11" i="2"/>
  <c r="R67" i="2"/>
  <c r="R112" i="2"/>
  <c r="R154" i="2"/>
  <c r="R195" i="2"/>
  <c r="R240" i="2"/>
  <c r="R282" i="2"/>
  <c r="R323" i="2"/>
  <c r="R368" i="2"/>
  <c r="R410" i="2"/>
  <c r="R451" i="2"/>
  <c r="R496" i="2"/>
  <c r="R538" i="2"/>
  <c r="R576" i="2"/>
  <c r="R602" i="2"/>
  <c r="R626" i="2"/>
  <c r="R647" i="2"/>
  <c r="R688" i="2"/>
  <c r="R704" i="2"/>
  <c r="R720" i="2"/>
  <c r="R736" i="2"/>
  <c r="R752" i="2"/>
  <c r="R768" i="2"/>
  <c r="R784" i="2"/>
  <c r="R798" i="2"/>
  <c r="R811" i="2"/>
  <c r="R821" i="2"/>
  <c r="R831" i="2"/>
  <c r="R843" i="2"/>
  <c r="R853" i="2"/>
  <c r="R863" i="2"/>
  <c r="R875" i="2"/>
  <c r="R885" i="2"/>
  <c r="R895" i="2"/>
  <c r="R904" i="2"/>
  <c r="R914" i="2"/>
  <c r="R923" i="2"/>
  <c r="R932" i="2"/>
  <c r="R941" i="2"/>
  <c r="R950" i="2"/>
  <c r="R959" i="2"/>
  <c r="R968" i="2"/>
  <c r="R978" i="2"/>
  <c r="R987" i="2"/>
  <c r="R996" i="2"/>
  <c r="R1005" i="2"/>
  <c r="R1014" i="2"/>
  <c r="R1023" i="2"/>
  <c r="R1032" i="2"/>
  <c r="R1042" i="2"/>
  <c r="R1051" i="2"/>
  <c r="R1060" i="2"/>
  <c r="R1069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34" i="2"/>
  <c r="R82" i="2"/>
  <c r="R123" i="2"/>
  <c r="R168" i="2"/>
  <c r="R210" i="2"/>
  <c r="R251" i="2"/>
  <c r="R296" i="2"/>
  <c r="R338" i="2"/>
  <c r="R379" i="2"/>
  <c r="R424" i="2"/>
  <c r="R466" i="2"/>
  <c r="R507" i="2"/>
  <c r="R552" i="2"/>
  <c r="R584" i="2"/>
  <c r="R610" i="2"/>
  <c r="R632" i="2"/>
  <c r="R654" i="2"/>
  <c r="R675" i="2"/>
  <c r="R693" i="2"/>
  <c r="R709" i="2"/>
  <c r="R725" i="2"/>
  <c r="R741" i="2"/>
  <c r="R757" i="2"/>
  <c r="R773" i="2"/>
  <c r="R787" i="2"/>
  <c r="R799" i="2"/>
  <c r="R812" i="2"/>
  <c r="R822" i="2"/>
  <c r="R832" i="2"/>
  <c r="R844" i="2"/>
  <c r="R854" i="2"/>
  <c r="R864" i="2"/>
  <c r="R876" i="2"/>
  <c r="R886" i="2"/>
  <c r="R896" i="2"/>
  <c r="R906" i="2"/>
  <c r="R915" i="2"/>
  <c r="R924" i="2"/>
  <c r="R933" i="2"/>
  <c r="R942" i="2"/>
  <c r="R951" i="2"/>
  <c r="R960" i="2"/>
  <c r="R970" i="2"/>
  <c r="R979" i="2"/>
  <c r="R988" i="2"/>
  <c r="R997" i="2"/>
  <c r="R1006" i="2"/>
  <c r="R1015" i="2"/>
  <c r="R1024" i="2"/>
  <c r="R1034" i="2"/>
  <c r="R1043" i="2"/>
  <c r="R1052" i="2"/>
  <c r="R1061" i="2"/>
  <c r="R1070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35" i="2"/>
  <c r="R83" i="2"/>
  <c r="R128" i="2"/>
  <c r="R170" i="2"/>
  <c r="R211" i="2"/>
  <c r="R256" i="2"/>
  <c r="R298" i="2"/>
  <c r="R339" i="2"/>
  <c r="R384" i="2"/>
  <c r="R426" i="2"/>
  <c r="R467" i="2"/>
  <c r="R512" i="2"/>
  <c r="R554" i="2"/>
  <c r="R586" i="2"/>
  <c r="R611" i="2"/>
  <c r="R634" i="2"/>
  <c r="R655" i="2"/>
  <c r="R676" i="2"/>
  <c r="R694" i="2"/>
  <c r="R710" i="2"/>
  <c r="R726" i="2"/>
  <c r="R742" i="2"/>
  <c r="R758" i="2"/>
  <c r="R774" i="2"/>
  <c r="R789" i="2"/>
  <c r="R800" i="2"/>
  <c r="R813" i="2"/>
  <c r="R823" i="2"/>
  <c r="R835" i="2"/>
  <c r="R845" i="2"/>
  <c r="R855" i="2"/>
  <c r="R867" i="2"/>
  <c r="R877" i="2"/>
  <c r="R887" i="2"/>
  <c r="R898" i="2"/>
  <c r="R907" i="2"/>
  <c r="R916" i="2"/>
  <c r="R925" i="2"/>
  <c r="R934" i="2"/>
  <c r="R943" i="2"/>
  <c r="R952" i="2"/>
  <c r="R962" i="2"/>
  <c r="R971" i="2"/>
  <c r="R980" i="2"/>
  <c r="R989" i="2"/>
  <c r="R998" i="2"/>
  <c r="R1007" i="2"/>
  <c r="R1016" i="2"/>
  <c r="R1026" i="2"/>
  <c r="R1035" i="2"/>
  <c r="R1044" i="2"/>
  <c r="R1053" i="2"/>
  <c r="R1062" i="2"/>
  <c r="R1071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42" i="2"/>
  <c r="R88" i="2"/>
  <c r="R130" i="2"/>
  <c r="R171" i="2"/>
  <c r="R216" i="2"/>
  <c r="R258" i="2"/>
  <c r="R299" i="2"/>
  <c r="R344" i="2"/>
  <c r="R386" i="2"/>
  <c r="R427" i="2"/>
  <c r="R472" i="2"/>
  <c r="R514" i="2"/>
  <c r="R555" i="2"/>
  <c r="R587" i="2"/>
  <c r="R612" i="2"/>
  <c r="R635" i="2"/>
  <c r="R656" i="2"/>
  <c r="R678" i="2"/>
  <c r="R695" i="2"/>
  <c r="R711" i="2"/>
  <c r="R727" i="2"/>
  <c r="R743" i="2"/>
  <c r="R759" i="2"/>
  <c r="R775" i="2"/>
  <c r="R790" i="2"/>
  <c r="R803" i="2"/>
  <c r="R814" i="2"/>
  <c r="R824" i="2"/>
  <c r="R836" i="2"/>
  <c r="R846" i="2"/>
  <c r="R856" i="2"/>
  <c r="R868" i="2"/>
  <c r="R878" i="2"/>
  <c r="R888" i="2"/>
  <c r="R899" i="2"/>
  <c r="R908" i="2"/>
  <c r="R917" i="2"/>
  <c r="R926" i="2"/>
  <c r="R935" i="2"/>
  <c r="R944" i="2"/>
  <c r="R954" i="2"/>
  <c r="R963" i="2"/>
  <c r="R972" i="2"/>
  <c r="R981" i="2"/>
  <c r="R990" i="2"/>
  <c r="R999" i="2"/>
  <c r="R1008" i="2"/>
  <c r="R1018" i="2"/>
  <c r="R1027" i="2"/>
  <c r="R1036" i="2"/>
  <c r="R1045" i="2"/>
  <c r="R1054" i="2"/>
  <c r="R1063" i="2"/>
  <c r="R1072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776" i="2"/>
  <c r="R43" i="2"/>
  <c r="R90" i="2"/>
  <c r="R131" i="2"/>
  <c r="R176" i="2"/>
  <c r="R218" i="2"/>
  <c r="R259" i="2"/>
  <c r="R304" i="2"/>
  <c r="R346" i="2"/>
  <c r="R387" i="2"/>
  <c r="R432" i="2"/>
  <c r="R474" i="2"/>
  <c r="R515" i="2"/>
  <c r="R560" i="2"/>
  <c r="R588" i="2"/>
  <c r="R615" i="2"/>
  <c r="R636" i="2"/>
  <c r="R658" i="2"/>
  <c r="R679" i="2"/>
  <c r="R696" i="2"/>
  <c r="R712" i="2"/>
  <c r="R728" i="2"/>
  <c r="R744" i="2"/>
  <c r="R760" i="2"/>
  <c r="R791" i="2"/>
  <c r="R805" i="2"/>
  <c r="R815" i="2"/>
  <c r="R827" i="2"/>
  <c r="R837" i="2"/>
  <c r="R847" i="2"/>
  <c r="R859" i="2"/>
  <c r="R869" i="2"/>
  <c r="R879" i="2"/>
  <c r="R891" i="2"/>
  <c r="R900" i="2"/>
  <c r="R909" i="2"/>
  <c r="R918" i="2"/>
  <c r="R927" i="2"/>
  <c r="R936" i="2"/>
  <c r="R946" i="2"/>
  <c r="R955" i="2"/>
  <c r="R964" i="2"/>
  <c r="R973" i="2"/>
  <c r="R982" i="2"/>
  <c r="R991" i="2"/>
  <c r="R1000" i="2"/>
  <c r="R1010" i="2"/>
  <c r="R1019" i="2"/>
  <c r="R1028" i="2"/>
  <c r="R1037" i="2"/>
  <c r="R1046" i="2"/>
  <c r="R1055" i="2"/>
  <c r="R1064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59" i="2"/>
  <c r="R232" i="2"/>
  <c r="R274" i="2"/>
  <c r="R315" i="2"/>
  <c r="R360" i="2"/>
  <c r="R402" i="2"/>
  <c r="R443" i="2"/>
  <c r="R488" i="2"/>
  <c r="R530" i="2"/>
  <c r="R64" i="2"/>
  <c r="R275" i="2"/>
  <c r="R572" i="2"/>
  <c r="R666" i="2"/>
  <c r="R734" i="2"/>
  <c r="R795" i="2"/>
  <c r="R839" i="2"/>
  <c r="R883" i="2"/>
  <c r="R920" i="2"/>
  <c r="R957" i="2"/>
  <c r="R994" i="2"/>
  <c r="R1030" i="2"/>
  <c r="R1067" i="2"/>
  <c r="R1100" i="2"/>
  <c r="R1132" i="2"/>
  <c r="R1164" i="2"/>
  <c r="R1196" i="2"/>
  <c r="R1228" i="2"/>
  <c r="R1107" i="2"/>
  <c r="R104" i="2"/>
  <c r="R320" i="2"/>
  <c r="R596" i="2"/>
  <c r="R685" i="2"/>
  <c r="R749" i="2"/>
  <c r="R806" i="2"/>
  <c r="R848" i="2"/>
  <c r="R892" i="2"/>
  <c r="R928" i="2"/>
  <c r="R965" i="2"/>
  <c r="R1002" i="2"/>
  <c r="R1038" i="2"/>
  <c r="R1075" i="2"/>
  <c r="R1139" i="2"/>
  <c r="R1171" i="2"/>
  <c r="R1203" i="2"/>
  <c r="R1235" i="2"/>
  <c r="R448" i="2"/>
  <c r="R106" i="2"/>
  <c r="R362" i="2"/>
  <c r="R599" i="2"/>
  <c r="R686" i="2"/>
  <c r="R750" i="2"/>
  <c r="R807" i="2"/>
  <c r="R851" i="2"/>
  <c r="R893" i="2"/>
  <c r="R930" i="2"/>
  <c r="R966" i="2"/>
  <c r="R1003" i="2"/>
  <c r="R1039" i="2"/>
  <c r="R1076" i="2"/>
  <c r="R1108" i="2"/>
  <c r="R1140" i="2"/>
  <c r="R1172" i="2"/>
  <c r="R1204" i="2"/>
  <c r="R1236" i="2"/>
  <c r="R623" i="2"/>
  <c r="R146" i="2"/>
  <c r="R403" i="2"/>
  <c r="R622" i="2"/>
  <c r="R701" i="2"/>
  <c r="R765" i="2"/>
  <c r="R816" i="2"/>
  <c r="R860" i="2"/>
  <c r="R901" i="2"/>
  <c r="R938" i="2"/>
  <c r="R974" i="2"/>
  <c r="R1011" i="2"/>
  <c r="R1047" i="2"/>
  <c r="R1083" i="2"/>
  <c r="R1115" i="2"/>
  <c r="R1147" i="2"/>
  <c r="R1179" i="2"/>
  <c r="R1211" i="2"/>
  <c r="R1243" i="2"/>
  <c r="R147" i="2"/>
  <c r="R702" i="2"/>
  <c r="R766" i="2"/>
  <c r="R819" i="2"/>
  <c r="R861" i="2"/>
  <c r="R902" i="2"/>
  <c r="R939" i="2"/>
  <c r="R1012" i="2"/>
  <c r="R1048" i="2"/>
  <c r="R1084" i="2"/>
  <c r="R1116" i="2"/>
  <c r="R1148" i="2"/>
  <c r="R1180" i="2"/>
  <c r="R1212" i="2"/>
  <c r="R1244" i="2"/>
  <c r="R187" i="2"/>
  <c r="R490" i="2"/>
  <c r="R643" i="2"/>
  <c r="R717" i="2"/>
  <c r="R781" i="2"/>
  <c r="R828" i="2"/>
  <c r="R870" i="2"/>
  <c r="R910" i="2"/>
  <c r="R947" i="2"/>
  <c r="R983" i="2"/>
  <c r="R1020" i="2"/>
  <c r="R1056" i="2"/>
  <c r="R1091" i="2"/>
  <c r="R1123" i="2"/>
  <c r="R1155" i="2"/>
  <c r="R1187" i="2"/>
  <c r="R1219" i="2"/>
  <c r="R1251" i="2"/>
  <c r="R192" i="2"/>
  <c r="R531" i="2"/>
  <c r="R644" i="2"/>
  <c r="R718" i="2"/>
  <c r="R782" i="2"/>
  <c r="R829" i="2"/>
  <c r="R871" i="2"/>
  <c r="R911" i="2"/>
  <c r="R948" i="2"/>
  <c r="R984" i="2"/>
  <c r="R1021" i="2"/>
  <c r="R1058" i="2"/>
  <c r="R1092" i="2"/>
  <c r="R1124" i="2"/>
  <c r="R1156" i="2"/>
  <c r="R1188" i="2"/>
  <c r="R1220" i="2"/>
  <c r="R1252" i="2"/>
  <c r="R234" i="2"/>
  <c r="R571" i="2"/>
  <c r="R664" i="2"/>
  <c r="R733" i="2"/>
  <c r="R792" i="2"/>
  <c r="R838" i="2"/>
  <c r="R880" i="2"/>
  <c r="R919" i="2"/>
  <c r="R956" i="2"/>
  <c r="R992" i="2"/>
  <c r="R1029" i="2"/>
  <c r="R1066" i="2"/>
  <c r="R1099" i="2"/>
  <c r="R1131" i="2"/>
  <c r="R1163" i="2"/>
  <c r="R1195" i="2"/>
  <c r="R1227" i="2"/>
  <c r="R975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12" i="2"/>
  <c r="Q76" i="2"/>
  <c r="Q140" i="2"/>
  <c r="Q204" i="2"/>
  <c r="Q268" i="2"/>
  <c r="Q332" i="2"/>
  <c r="Q396" i="2"/>
  <c r="Q460" i="2"/>
  <c r="Q524" i="2"/>
  <c r="Q564" i="2"/>
  <c r="Q596" i="2"/>
  <c r="Q628" i="2"/>
  <c r="Q659" i="2"/>
  <c r="Q681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20" i="2"/>
  <c r="Q84" i="2"/>
  <c r="Q148" i="2"/>
  <c r="Q212" i="2"/>
  <c r="Q276" i="2"/>
  <c r="Q340" i="2"/>
  <c r="Q404" i="2"/>
  <c r="Q468" i="2"/>
  <c r="Q532" i="2"/>
  <c r="Q569" i="2"/>
  <c r="Q601" i="2"/>
  <c r="Q633" i="2"/>
  <c r="Q660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28" i="2"/>
  <c r="Q92" i="2"/>
  <c r="Q156" i="2"/>
  <c r="Q220" i="2"/>
  <c r="Q284" i="2"/>
  <c r="Q348" i="2"/>
  <c r="Q412" i="2"/>
  <c r="Q476" i="2"/>
  <c r="Q540" i="2"/>
  <c r="Q572" i="2"/>
  <c r="Q604" i="2"/>
  <c r="Q636" i="2"/>
  <c r="Q665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36" i="2"/>
  <c r="Q100" i="2"/>
  <c r="Q164" i="2"/>
  <c r="Q228" i="2"/>
  <c r="Q292" i="2"/>
  <c r="Q356" i="2"/>
  <c r="Q420" i="2"/>
  <c r="Q484" i="2"/>
  <c r="Q545" i="2"/>
  <c r="Q577" i="2"/>
  <c r="Q609" i="2"/>
  <c r="Q641" i="2"/>
  <c r="Q667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1125" i="2"/>
  <c r="Q1133" i="2"/>
  <c r="Q1141" i="2"/>
  <c r="Q1149" i="2"/>
  <c r="Q1157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44" i="2"/>
  <c r="Q108" i="2"/>
  <c r="Q172" i="2"/>
  <c r="Q236" i="2"/>
  <c r="Q300" i="2"/>
  <c r="Q364" i="2"/>
  <c r="Q428" i="2"/>
  <c r="Q492" i="2"/>
  <c r="Q548" i="2"/>
  <c r="Q580" i="2"/>
  <c r="Q612" i="2"/>
  <c r="Q644" i="2"/>
  <c r="Q668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214" i="2"/>
  <c r="Q1222" i="2"/>
  <c r="Q1230" i="2"/>
  <c r="Q52" i="2"/>
  <c r="Q116" i="2"/>
  <c r="Q180" i="2"/>
  <c r="Q244" i="2"/>
  <c r="Q308" i="2"/>
  <c r="Q372" i="2"/>
  <c r="Q436" i="2"/>
  <c r="Q500" i="2"/>
  <c r="Q553" i="2"/>
  <c r="Q585" i="2"/>
  <c r="Q617" i="2"/>
  <c r="Q649" i="2"/>
  <c r="Q673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60" i="2"/>
  <c r="Q124" i="2"/>
  <c r="Q188" i="2"/>
  <c r="Q252" i="2"/>
  <c r="Q316" i="2"/>
  <c r="Q380" i="2"/>
  <c r="Q444" i="2"/>
  <c r="Q508" i="2"/>
  <c r="Q556" i="2"/>
  <c r="Q588" i="2"/>
  <c r="Q620" i="2"/>
  <c r="Q652" i="2"/>
  <c r="Q675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68" i="2"/>
  <c r="Q561" i="2"/>
  <c r="Q713" i="2"/>
  <c r="Q777" i="2"/>
  <c r="Q841" i="2"/>
  <c r="Q905" i="2"/>
  <c r="Q969" i="2"/>
  <c r="Q1033" i="2"/>
  <c r="Q1097" i="2"/>
  <c r="Q1161" i="2"/>
  <c r="Q1225" i="2"/>
  <c r="Q452" i="2"/>
  <c r="Q1081" i="2"/>
  <c r="Q1209" i="2"/>
  <c r="Q132" i="2"/>
  <c r="Q593" i="2"/>
  <c r="Q721" i="2"/>
  <c r="Q785" i="2"/>
  <c r="Q849" i="2"/>
  <c r="Q913" i="2"/>
  <c r="Q977" i="2"/>
  <c r="Q1041" i="2"/>
  <c r="Q1105" i="2"/>
  <c r="Q1169" i="2"/>
  <c r="Q1233" i="2"/>
  <c r="Q196" i="2"/>
  <c r="Q625" i="2"/>
  <c r="Q729" i="2"/>
  <c r="Q793" i="2"/>
  <c r="Q857" i="2"/>
  <c r="Q921" i="2"/>
  <c r="Q985" i="2"/>
  <c r="Q1049" i="2"/>
  <c r="Q1113" i="2"/>
  <c r="Q1177" i="2"/>
  <c r="Q1238" i="2"/>
  <c r="Q697" i="2"/>
  <c r="Q260" i="2"/>
  <c r="Q657" i="2"/>
  <c r="Q737" i="2"/>
  <c r="Q801" i="2"/>
  <c r="Q865" i="2"/>
  <c r="Q929" i="2"/>
  <c r="Q993" i="2"/>
  <c r="Q1057" i="2"/>
  <c r="Q1121" i="2"/>
  <c r="Q1185" i="2"/>
  <c r="Q1241" i="2"/>
  <c r="Q761" i="2"/>
  <c r="Q1017" i="2"/>
  <c r="Q1145" i="2"/>
  <c r="Q324" i="2"/>
  <c r="Q676" i="2"/>
  <c r="Q745" i="2"/>
  <c r="Q809" i="2"/>
  <c r="Q873" i="2"/>
  <c r="Q937" i="2"/>
  <c r="Q1001" i="2"/>
  <c r="Q1065" i="2"/>
  <c r="Q1129" i="2"/>
  <c r="Q1193" i="2"/>
  <c r="Q1246" i="2"/>
  <c r="Q825" i="2"/>
  <c r="Q1254" i="2"/>
  <c r="Q388" i="2"/>
  <c r="Q689" i="2"/>
  <c r="Q753" i="2"/>
  <c r="Q817" i="2"/>
  <c r="Q881" i="2"/>
  <c r="Q945" i="2"/>
  <c r="Q1009" i="2"/>
  <c r="Q1073" i="2"/>
  <c r="Q1137" i="2"/>
  <c r="Q1201" i="2"/>
  <c r="Q1249" i="2"/>
  <c r="Q889" i="2"/>
  <c r="Q516" i="2"/>
  <c r="Q705" i="2"/>
  <c r="Q769" i="2"/>
  <c r="Q833" i="2"/>
  <c r="Q897" i="2"/>
  <c r="Q961" i="2"/>
  <c r="Q1025" i="2"/>
  <c r="Q1089" i="2"/>
  <c r="Q1153" i="2"/>
  <c r="Q1217" i="2"/>
  <c r="Q1257" i="2"/>
  <c r="Q953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6" i="2"/>
  <c r="P38" i="2"/>
  <c r="P70" i="2"/>
  <c r="P102" i="2"/>
  <c r="P134" i="2"/>
  <c r="P166" i="2"/>
  <c r="P198" i="2"/>
  <c r="P230" i="2"/>
  <c r="P262" i="2"/>
  <c r="P294" i="2"/>
  <c r="P326" i="2"/>
  <c r="P358" i="2"/>
  <c r="P382" i="2"/>
  <c r="P404" i="2"/>
  <c r="P423" i="2"/>
  <c r="P446" i="2"/>
  <c r="P463" i="2"/>
  <c r="P479" i="2"/>
  <c r="P495" i="2"/>
  <c r="P508" i="2"/>
  <c r="P522" i="2"/>
  <c r="P534" i="2"/>
  <c r="P546" i="2"/>
  <c r="P556" i="2"/>
  <c r="P567" i="2"/>
  <c r="P578" i="2"/>
  <c r="P588" i="2"/>
  <c r="P599" i="2"/>
  <c r="P610" i="2"/>
  <c r="P620" i="2"/>
  <c r="P630" i="2"/>
  <c r="P639" i="2"/>
  <c r="P648" i="2"/>
  <c r="P657" i="2"/>
  <c r="P666" i="2"/>
  <c r="P675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5" i="2"/>
  <c r="P47" i="2"/>
  <c r="P79" i="2"/>
  <c r="P111" i="2"/>
  <c r="P143" i="2"/>
  <c r="P175" i="2"/>
  <c r="P207" i="2"/>
  <c r="P239" i="2"/>
  <c r="P271" i="2"/>
  <c r="P303" i="2"/>
  <c r="P335" i="2"/>
  <c r="P367" i="2"/>
  <c r="P390" i="2"/>
  <c r="P412" i="2"/>
  <c r="P431" i="2"/>
  <c r="P454" i="2"/>
  <c r="P470" i="2"/>
  <c r="P486" i="2"/>
  <c r="P500" i="2"/>
  <c r="P514" i="2"/>
  <c r="P526" i="2"/>
  <c r="P539" i="2"/>
  <c r="P550" i="2"/>
  <c r="P561" i="2"/>
  <c r="P571" i="2"/>
  <c r="P582" i="2"/>
  <c r="P593" i="2"/>
  <c r="P603" i="2"/>
  <c r="P614" i="2"/>
  <c r="P624" i="2"/>
  <c r="P633" i="2"/>
  <c r="P642" i="2"/>
  <c r="P651" i="2"/>
  <c r="P660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22" i="2"/>
  <c r="P54" i="2"/>
  <c r="P86" i="2"/>
  <c r="P118" i="2"/>
  <c r="P150" i="2"/>
  <c r="P182" i="2"/>
  <c r="P214" i="2"/>
  <c r="P246" i="2"/>
  <c r="P278" i="2"/>
  <c r="P310" i="2"/>
  <c r="P342" i="2"/>
  <c r="P372" i="2"/>
  <c r="P391" i="2"/>
  <c r="P414" i="2"/>
  <c r="P436" i="2"/>
  <c r="P455" i="2"/>
  <c r="P471" i="2"/>
  <c r="P487" i="2"/>
  <c r="P502" i="2"/>
  <c r="P515" i="2"/>
  <c r="P527" i="2"/>
  <c r="P540" i="2"/>
  <c r="P551" i="2"/>
  <c r="P562" i="2"/>
  <c r="P572" i="2"/>
  <c r="P583" i="2"/>
  <c r="P594" i="2"/>
  <c r="P604" i="2"/>
  <c r="P615" i="2"/>
  <c r="P625" i="2"/>
  <c r="P634" i="2"/>
  <c r="P643" i="2"/>
  <c r="P652" i="2"/>
  <c r="P662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23" i="2"/>
  <c r="P55" i="2"/>
  <c r="P87" i="2"/>
  <c r="P119" i="2"/>
  <c r="P151" i="2"/>
  <c r="P183" i="2"/>
  <c r="P215" i="2"/>
  <c r="P247" i="2"/>
  <c r="P279" i="2"/>
  <c r="P311" i="2"/>
  <c r="P343" i="2"/>
  <c r="P374" i="2"/>
  <c r="P396" i="2"/>
  <c r="P415" i="2"/>
  <c r="P438" i="2"/>
  <c r="P459" i="2"/>
  <c r="P475" i="2"/>
  <c r="P491" i="2"/>
  <c r="P503" i="2"/>
  <c r="P516" i="2"/>
  <c r="P530" i="2"/>
  <c r="P542" i="2"/>
  <c r="P553" i="2"/>
  <c r="P563" i="2"/>
  <c r="P574" i="2"/>
  <c r="P585" i="2"/>
  <c r="P595" i="2"/>
  <c r="P606" i="2"/>
  <c r="P617" i="2"/>
  <c r="P626" i="2"/>
  <c r="P635" i="2"/>
  <c r="P644" i="2"/>
  <c r="P654" i="2"/>
  <c r="P663" i="2"/>
  <c r="P672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30" i="2"/>
  <c r="P62" i="2"/>
  <c r="P94" i="2"/>
  <c r="P126" i="2"/>
  <c r="P158" i="2"/>
  <c r="P190" i="2"/>
  <c r="P222" i="2"/>
  <c r="P254" i="2"/>
  <c r="P286" i="2"/>
  <c r="P318" i="2"/>
  <c r="P350" i="2"/>
  <c r="P375" i="2"/>
  <c r="P398" i="2"/>
  <c r="P420" i="2"/>
  <c r="P439" i="2"/>
  <c r="P460" i="2"/>
  <c r="P476" i="2"/>
  <c r="P492" i="2"/>
  <c r="P506" i="2"/>
  <c r="P518" i="2"/>
  <c r="P531" i="2"/>
  <c r="P543" i="2"/>
  <c r="P554" i="2"/>
  <c r="P564" i="2"/>
  <c r="P575" i="2"/>
  <c r="P586" i="2"/>
  <c r="P596" i="2"/>
  <c r="P607" i="2"/>
  <c r="P618" i="2"/>
  <c r="P627" i="2"/>
  <c r="P636" i="2"/>
  <c r="P646" i="2"/>
  <c r="P655" i="2"/>
  <c r="P664" i="2"/>
  <c r="P673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31" i="2"/>
  <c r="P63" i="2"/>
  <c r="P95" i="2"/>
  <c r="P127" i="2"/>
  <c r="P159" i="2"/>
  <c r="P191" i="2"/>
  <c r="P223" i="2"/>
  <c r="P255" i="2"/>
  <c r="P287" i="2"/>
  <c r="P319" i="2"/>
  <c r="P351" i="2"/>
  <c r="P380" i="2"/>
  <c r="P399" i="2"/>
  <c r="P422" i="2"/>
  <c r="P444" i="2"/>
  <c r="P462" i="2"/>
  <c r="P478" i="2"/>
  <c r="P494" i="2"/>
  <c r="P507" i="2"/>
  <c r="P519" i="2"/>
  <c r="P532" i="2"/>
  <c r="P545" i="2"/>
  <c r="P555" i="2"/>
  <c r="P566" i="2"/>
  <c r="P577" i="2"/>
  <c r="P587" i="2"/>
  <c r="P598" i="2"/>
  <c r="P609" i="2"/>
  <c r="P619" i="2"/>
  <c r="P628" i="2"/>
  <c r="P638" i="2"/>
  <c r="P647" i="2"/>
  <c r="P656" i="2"/>
  <c r="P665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7" i="2"/>
  <c r="P135" i="2"/>
  <c r="P263" i="2"/>
  <c r="P383" i="2"/>
  <c r="P467" i="2"/>
  <c r="P523" i="2"/>
  <c r="P569" i="2"/>
  <c r="P611" i="2"/>
  <c r="P649" i="2"/>
  <c r="P685" i="2"/>
  <c r="P717" i="2"/>
  <c r="P749" i="2"/>
  <c r="P781" i="2"/>
  <c r="P813" i="2"/>
  <c r="P845" i="2"/>
  <c r="P867" i="2"/>
  <c r="P886" i="2"/>
  <c r="P909" i="2"/>
  <c r="P925" i="2"/>
  <c r="P941" i="2"/>
  <c r="P957" i="2"/>
  <c r="P973" i="2"/>
  <c r="P987" i="2"/>
  <c r="P1000" i="2"/>
  <c r="P1013" i="2"/>
  <c r="P1026" i="2"/>
  <c r="P1038" i="2"/>
  <c r="P1051" i="2"/>
  <c r="P1064" i="2"/>
  <c r="P1075" i="2"/>
  <c r="P1085" i="2"/>
  <c r="P1094" i="2"/>
  <c r="P1103" i="2"/>
  <c r="P1112" i="2"/>
  <c r="P1121" i="2"/>
  <c r="P1130" i="2"/>
  <c r="P1139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4" i="2"/>
  <c r="P718" i="2"/>
  <c r="P926" i="2"/>
  <c r="P1027" i="2"/>
  <c r="P1086" i="2"/>
  <c r="P1141" i="2"/>
  <c r="P1190" i="2"/>
  <c r="P1230" i="2"/>
  <c r="P524" i="2"/>
  <c r="P612" i="2"/>
  <c r="P814" i="2"/>
  <c r="P989" i="2"/>
  <c r="P1122" i="2"/>
  <c r="P1198" i="2"/>
  <c r="P39" i="2"/>
  <c r="P167" i="2"/>
  <c r="P295" i="2"/>
  <c r="P406" i="2"/>
  <c r="P483" i="2"/>
  <c r="P535" i="2"/>
  <c r="P579" i="2"/>
  <c r="P622" i="2"/>
  <c r="P658" i="2"/>
  <c r="P693" i="2"/>
  <c r="P725" i="2"/>
  <c r="P757" i="2"/>
  <c r="P789" i="2"/>
  <c r="P821" i="2"/>
  <c r="P851" i="2"/>
  <c r="P870" i="2"/>
  <c r="P893" i="2"/>
  <c r="P914" i="2"/>
  <c r="P930" i="2"/>
  <c r="P946" i="2"/>
  <c r="P962" i="2"/>
  <c r="P978" i="2"/>
  <c r="P990" i="2"/>
  <c r="P1003" i="2"/>
  <c r="P1016" i="2"/>
  <c r="P1029" i="2"/>
  <c r="P1042" i="2"/>
  <c r="P1054" i="2"/>
  <c r="P1067" i="2"/>
  <c r="P1078" i="2"/>
  <c r="P1087" i="2"/>
  <c r="P1096" i="2"/>
  <c r="P1105" i="2"/>
  <c r="P1114" i="2"/>
  <c r="P1123" i="2"/>
  <c r="P1133" i="2"/>
  <c r="P1142" i="2"/>
  <c r="P1151" i="2"/>
  <c r="P1159" i="2"/>
  <c r="P1167" i="2"/>
  <c r="P1175" i="2"/>
  <c r="P1183" i="2"/>
  <c r="P1191" i="2"/>
  <c r="P1199" i="2"/>
  <c r="P1207" i="2"/>
  <c r="P1215" i="2"/>
  <c r="P1223" i="2"/>
  <c r="P1231" i="2"/>
  <c r="P1239" i="2"/>
  <c r="P1247" i="2"/>
  <c r="P1255" i="2"/>
  <c r="P46" i="2"/>
  <c r="P174" i="2"/>
  <c r="P302" i="2"/>
  <c r="P407" i="2"/>
  <c r="P484" i="2"/>
  <c r="P538" i="2"/>
  <c r="P580" i="2"/>
  <c r="P623" i="2"/>
  <c r="P659" i="2"/>
  <c r="P694" i="2"/>
  <c r="P726" i="2"/>
  <c r="P758" i="2"/>
  <c r="P790" i="2"/>
  <c r="P822" i="2"/>
  <c r="P853" i="2"/>
  <c r="P875" i="2"/>
  <c r="P894" i="2"/>
  <c r="P915" i="2"/>
  <c r="P931" i="2"/>
  <c r="P947" i="2"/>
  <c r="P963" i="2"/>
  <c r="P979" i="2"/>
  <c r="P992" i="2"/>
  <c r="P1005" i="2"/>
  <c r="P1018" i="2"/>
  <c r="P1030" i="2"/>
  <c r="P1043" i="2"/>
  <c r="P1056" i="2"/>
  <c r="P1069" i="2"/>
  <c r="P1079" i="2"/>
  <c r="P1088" i="2"/>
  <c r="P1097" i="2"/>
  <c r="P1106" i="2"/>
  <c r="P1115" i="2"/>
  <c r="P1125" i="2"/>
  <c r="P1134" i="2"/>
  <c r="P1143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71" i="2"/>
  <c r="P199" i="2"/>
  <c r="P327" i="2"/>
  <c r="P428" i="2"/>
  <c r="P498" i="2"/>
  <c r="P547" i="2"/>
  <c r="P590" i="2"/>
  <c r="P631" i="2"/>
  <c r="P667" i="2"/>
  <c r="P701" i="2"/>
  <c r="P733" i="2"/>
  <c r="P765" i="2"/>
  <c r="P797" i="2"/>
  <c r="P829" i="2"/>
  <c r="P854" i="2"/>
  <c r="P877" i="2"/>
  <c r="P899" i="2"/>
  <c r="P917" i="2"/>
  <c r="P933" i="2"/>
  <c r="P949" i="2"/>
  <c r="P965" i="2"/>
  <c r="P981" i="2"/>
  <c r="P994" i="2"/>
  <c r="P1006" i="2"/>
  <c r="P1019" i="2"/>
  <c r="P1032" i="2"/>
  <c r="P1045" i="2"/>
  <c r="P1058" i="2"/>
  <c r="P1070" i="2"/>
  <c r="P1080" i="2"/>
  <c r="P1089" i="2"/>
  <c r="P1098" i="2"/>
  <c r="P1107" i="2"/>
  <c r="P1117" i="2"/>
  <c r="P1126" i="2"/>
  <c r="P1135" i="2"/>
  <c r="P1144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468" i="2"/>
  <c r="P570" i="2"/>
  <c r="P686" i="2"/>
  <c r="P846" i="2"/>
  <c r="P891" i="2"/>
  <c r="P974" i="2"/>
  <c r="P1040" i="2"/>
  <c r="P1066" i="2"/>
  <c r="P1113" i="2"/>
  <c r="P1158" i="2"/>
  <c r="P1182" i="2"/>
  <c r="P1222" i="2"/>
  <c r="P78" i="2"/>
  <c r="P206" i="2"/>
  <c r="P334" i="2"/>
  <c r="P430" i="2"/>
  <c r="P499" i="2"/>
  <c r="P548" i="2"/>
  <c r="P591" i="2"/>
  <c r="P632" i="2"/>
  <c r="P668" i="2"/>
  <c r="P702" i="2"/>
  <c r="P734" i="2"/>
  <c r="P766" i="2"/>
  <c r="P798" i="2"/>
  <c r="P830" i="2"/>
  <c r="P859" i="2"/>
  <c r="P878" i="2"/>
  <c r="P901" i="2"/>
  <c r="P918" i="2"/>
  <c r="P934" i="2"/>
  <c r="P950" i="2"/>
  <c r="P966" i="2"/>
  <c r="P982" i="2"/>
  <c r="P995" i="2"/>
  <c r="P1008" i="2"/>
  <c r="P1021" i="2"/>
  <c r="P1034" i="2"/>
  <c r="P1046" i="2"/>
  <c r="P1059" i="2"/>
  <c r="P1071" i="2"/>
  <c r="P1081" i="2"/>
  <c r="P1090" i="2"/>
  <c r="P1099" i="2"/>
  <c r="P1109" i="2"/>
  <c r="P1118" i="2"/>
  <c r="P1127" i="2"/>
  <c r="P1136" i="2"/>
  <c r="P1145" i="2"/>
  <c r="P1154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142" i="2"/>
  <c r="P750" i="2"/>
  <c r="P910" i="2"/>
  <c r="P1014" i="2"/>
  <c r="P1077" i="2"/>
  <c r="P1131" i="2"/>
  <c r="P1166" i="2"/>
  <c r="P1214" i="2"/>
  <c r="P1246" i="2"/>
  <c r="P103" i="2"/>
  <c r="P231" i="2"/>
  <c r="P359" i="2"/>
  <c r="P447" i="2"/>
  <c r="P510" i="2"/>
  <c r="P558" i="2"/>
  <c r="P601" i="2"/>
  <c r="P640" i="2"/>
  <c r="P676" i="2"/>
  <c r="P709" i="2"/>
  <c r="P741" i="2"/>
  <c r="P773" i="2"/>
  <c r="P805" i="2"/>
  <c r="P837" i="2"/>
  <c r="P861" i="2"/>
  <c r="P883" i="2"/>
  <c r="P902" i="2"/>
  <c r="P922" i="2"/>
  <c r="P938" i="2"/>
  <c r="P954" i="2"/>
  <c r="P970" i="2"/>
  <c r="P984" i="2"/>
  <c r="P997" i="2"/>
  <c r="P1010" i="2"/>
  <c r="P1022" i="2"/>
  <c r="P1035" i="2"/>
  <c r="P1048" i="2"/>
  <c r="P1061" i="2"/>
  <c r="P1072" i="2"/>
  <c r="P1082" i="2"/>
  <c r="P1091" i="2"/>
  <c r="P1101" i="2"/>
  <c r="P1110" i="2"/>
  <c r="P1119" i="2"/>
  <c r="P1128" i="2"/>
  <c r="P1137" i="2"/>
  <c r="P1146" i="2"/>
  <c r="P1155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388" i="2"/>
  <c r="P650" i="2"/>
  <c r="P782" i="2"/>
  <c r="P869" i="2"/>
  <c r="P942" i="2"/>
  <c r="P1002" i="2"/>
  <c r="P1053" i="2"/>
  <c r="P1095" i="2"/>
  <c r="P1150" i="2"/>
  <c r="P1206" i="2"/>
  <c r="P1254" i="2"/>
  <c r="P110" i="2"/>
  <c r="P238" i="2"/>
  <c r="P366" i="2"/>
  <c r="P452" i="2"/>
  <c r="P511" i="2"/>
  <c r="P559" i="2"/>
  <c r="P602" i="2"/>
  <c r="P641" i="2"/>
  <c r="P678" i="2"/>
  <c r="P710" i="2"/>
  <c r="P742" i="2"/>
  <c r="P774" i="2"/>
  <c r="P806" i="2"/>
  <c r="P838" i="2"/>
  <c r="P862" i="2"/>
  <c r="P885" i="2"/>
  <c r="P907" i="2"/>
  <c r="P923" i="2"/>
  <c r="P939" i="2"/>
  <c r="P955" i="2"/>
  <c r="P971" i="2"/>
  <c r="P986" i="2"/>
  <c r="P998" i="2"/>
  <c r="P1011" i="2"/>
  <c r="P1024" i="2"/>
  <c r="P1037" i="2"/>
  <c r="P1050" i="2"/>
  <c r="P1062" i="2"/>
  <c r="P1074" i="2"/>
  <c r="P1083" i="2"/>
  <c r="P1093" i="2"/>
  <c r="P1102" i="2"/>
  <c r="P1111" i="2"/>
  <c r="P1120" i="2"/>
  <c r="P1129" i="2"/>
  <c r="P1138" i="2"/>
  <c r="P1147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270" i="2"/>
  <c r="P958" i="2"/>
  <c r="P1104" i="2"/>
  <c r="P1174" i="2"/>
  <c r="P1238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643" i="2"/>
  <c r="O651" i="2"/>
  <c r="O659" i="2"/>
  <c r="O667" i="2"/>
  <c r="O675" i="2"/>
  <c r="O683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9" i="2"/>
  <c r="O41" i="2"/>
  <c r="O73" i="2"/>
  <c r="O105" i="2"/>
  <c r="O137" i="2"/>
  <c r="O169" i="2"/>
  <c r="O201" i="2"/>
  <c r="O233" i="2"/>
  <c r="O265" i="2"/>
  <c r="O297" i="2"/>
  <c r="O318" i="2"/>
  <c r="O334" i="2"/>
  <c r="O350" i="2"/>
  <c r="O366" i="2"/>
  <c r="O382" i="2"/>
  <c r="O398" i="2"/>
  <c r="O414" i="2"/>
  <c r="O430" i="2"/>
  <c r="O446" i="2"/>
  <c r="O462" i="2"/>
  <c r="O478" i="2"/>
  <c r="O494" i="2"/>
  <c r="O510" i="2"/>
  <c r="O526" i="2"/>
  <c r="O542" i="2"/>
  <c r="O558" i="2"/>
  <c r="O574" i="2"/>
  <c r="O590" i="2"/>
  <c r="O606" i="2"/>
  <c r="O622" i="2"/>
  <c r="O638" i="2"/>
  <c r="O654" i="2"/>
  <c r="O67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26" i="2"/>
  <c r="O58" i="2"/>
  <c r="O90" i="2"/>
  <c r="O122" i="2"/>
  <c r="O154" i="2"/>
  <c r="O186" i="2"/>
  <c r="O218" i="2"/>
  <c r="O250" i="2"/>
  <c r="O282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3" i="2"/>
  <c r="O649" i="2"/>
  <c r="O665" i="2"/>
  <c r="O681" i="2"/>
  <c r="O691" i="2"/>
  <c r="O699" i="2"/>
  <c r="O33" i="2"/>
  <c r="O65" i="2"/>
  <c r="O97" i="2"/>
  <c r="O129" i="2"/>
  <c r="O161" i="2"/>
  <c r="O193" i="2"/>
  <c r="O225" i="2"/>
  <c r="O257" i="2"/>
  <c r="O289" i="2"/>
  <c r="O314" i="2"/>
  <c r="O330" i="2"/>
  <c r="O346" i="2"/>
  <c r="O362" i="2"/>
  <c r="O378" i="2"/>
  <c r="O394" i="2"/>
  <c r="O410" i="2"/>
  <c r="O426" i="2"/>
  <c r="O442" i="2"/>
  <c r="O458" i="2"/>
  <c r="O474" i="2"/>
  <c r="O490" i="2"/>
  <c r="O506" i="2"/>
  <c r="O522" i="2"/>
  <c r="O538" i="2"/>
  <c r="O554" i="2"/>
  <c r="O570" i="2"/>
  <c r="O586" i="2"/>
  <c r="O602" i="2"/>
  <c r="O618" i="2"/>
  <c r="O634" i="2"/>
  <c r="O650" i="2"/>
  <c r="O666" i="2"/>
  <c r="O682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34" i="2"/>
  <c r="O66" i="2"/>
  <c r="O98" i="2"/>
  <c r="O130" i="2"/>
  <c r="O162" i="2"/>
  <c r="O194" i="2"/>
  <c r="O226" i="2"/>
  <c r="O258" i="2"/>
  <c r="O290" i="2"/>
  <c r="O317" i="2"/>
  <c r="O333" i="2"/>
  <c r="O349" i="2"/>
  <c r="O365" i="2"/>
  <c r="O381" i="2"/>
  <c r="O397" i="2"/>
  <c r="O413" i="2"/>
  <c r="O429" i="2"/>
  <c r="O445" i="2"/>
  <c r="O461" i="2"/>
  <c r="O477" i="2"/>
  <c r="O493" i="2"/>
  <c r="O509" i="2"/>
  <c r="O525" i="2"/>
  <c r="O541" i="2"/>
  <c r="O557" i="2"/>
  <c r="O573" i="2"/>
  <c r="O589" i="2"/>
  <c r="O605" i="2"/>
  <c r="O621" i="2"/>
  <c r="O637" i="2"/>
  <c r="O653" i="2"/>
  <c r="O669" i="2"/>
  <c r="O685" i="2"/>
  <c r="O693" i="2"/>
  <c r="O701" i="2"/>
  <c r="O709" i="2"/>
  <c r="O717" i="2"/>
  <c r="O725" i="2"/>
  <c r="O733" i="2"/>
  <c r="O741" i="2"/>
  <c r="O749" i="2"/>
  <c r="O757" i="2"/>
  <c r="O10" i="2"/>
  <c r="O74" i="2"/>
  <c r="O138" i="2"/>
  <c r="O202" i="2"/>
  <c r="O266" i="2"/>
  <c r="O321" i="2"/>
  <c r="O353" i="2"/>
  <c r="O385" i="2"/>
  <c r="O417" i="2"/>
  <c r="O449" i="2"/>
  <c r="O481" i="2"/>
  <c r="O513" i="2"/>
  <c r="O545" i="2"/>
  <c r="O577" i="2"/>
  <c r="O609" i="2"/>
  <c r="O641" i="2"/>
  <c r="O673" i="2"/>
  <c r="O695" i="2"/>
  <c r="O707" i="2"/>
  <c r="O721" i="2"/>
  <c r="O735" i="2"/>
  <c r="O746" i="2"/>
  <c r="O760" i="2"/>
  <c r="O770" i="2"/>
  <c r="O781" i="2"/>
  <c r="O792" i="2"/>
  <c r="O802" i="2"/>
  <c r="O813" i="2"/>
  <c r="O824" i="2"/>
  <c r="O834" i="2"/>
  <c r="O845" i="2"/>
  <c r="O856" i="2"/>
  <c r="O866" i="2"/>
  <c r="O877" i="2"/>
  <c r="O888" i="2"/>
  <c r="O898" i="2"/>
  <c r="O909" i="2"/>
  <c r="O919" i="2"/>
  <c r="O928" i="2"/>
  <c r="O937" i="2"/>
  <c r="O946" i="2"/>
  <c r="O955" i="2"/>
  <c r="O964" i="2"/>
  <c r="O973" i="2"/>
  <c r="O983" i="2"/>
  <c r="O992" i="2"/>
  <c r="O1001" i="2"/>
  <c r="O1010" i="2"/>
  <c r="O1019" i="2"/>
  <c r="O1028" i="2"/>
  <c r="O1037" i="2"/>
  <c r="O1047" i="2"/>
  <c r="O1056" i="2"/>
  <c r="O1065" i="2"/>
  <c r="O1074" i="2"/>
  <c r="O1083" i="2"/>
  <c r="O1092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17" i="2"/>
  <c r="O783" i="2"/>
  <c r="O847" i="2"/>
  <c r="O879" i="2"/>
  <c r="O938" i="2"/>
  <c r="O975" i="2"/>
  <c r="O1002" i="2"/>
  <c r="O1048" i="2"/>
  <c r="O1084" i="2"/>
  <c r="O1134" i="2"/>
  <c r="O322" i="2"/>
  <c r="O354" i="2"/>
  <c r="O386" i="2"/>
  <c r="O418" i="2"/>
  <c r="O450" i="2"/>
  <c r="O482" i="2"/>
  <c r="O514" i="2"/>
  <c r="O546" i="2"/>
  <c r="O578" i="2"/>
  <c r="O610" i="2"/>
  <c r="O642" i="2"/>
  <c r="O674" i="2"/>
  <c r="O696" i="2"/>
  <c r="O711" i="2"/>
  <c r="O722" i="2"/>
  <c r="O736" i="2"/>
  <c r="O747" i="2"/>
  <c r="O761" i="2"/>
  <c r="O793" i="2"/>
  <c r="O803" i="2"/>
  <c r="O835" i="2"/>
  <c r="O867" i="2"/>
  <c r="O899" i="2"/>
  <c r="O956" i="2"/>
  <c r="O1029" i="2"/>
  <c r="O1093" i="2"/>
  <c r="O18" i="2"/>
  <c r="O82" i="2"/>
  <c r="O146" i="2"/>
  <c r="O210" i="2"/>
  <c r="O274" i="2"/>
  <c r="O325" i="2"/>
  <c r="O357" i="2"/>
  <c r="O389" i="2"/>
  <c r="O421" i="2"/>
  <c r="O453" i="2"/>
  <c r="O485" i="2"/>
  <c r="O517" i="2"/>
  <c r="O549" i="2"/>
  <c r="O581" i="2"/>
  <c r="O613" i="2"/>
  <c r="O645" i="2"/>
  <c r="O677" i="2"/>
  <c r="O697" i="2"/>
  <c r="O712" i="2"/>
  <c r="O723" i="2"/>
  <c r="O737" i="2"/>
  <c r="O751" i="2"/>
  <c r="O762" i="2"/>
  <c r="O773" i="2"/>
  <c r="O784" i="2"/>
  <c r="O794" i="2"/>
  <c r="O805" i="2"/>
  <c r="O816" i="2"/>
  <c r="O826" i="2"/>
  <c r="O837" i="2"/>
  <c r="O848" i="2"/>
  <c r="O858" i="2"/>
  <c r="O869" i="2"/>
  <c r="O880" i="2"/>
  <c r="O890" i="2"/>
  <c r="O901" i="2"/>
  <c r="O912" i="2"/>
  <c r="O921" i="2"/>
  <c r="O930" i="2"/>
  <c r="O939" i="2"/>
  <c r="O948" i="2"/>
  <c r="O957" i="2"/>
  <c r="O967" i="2"/>
  <c r="O976" i="2"/>
  <c r="O25" i="2"/>
  <c r="O89" i="2"/>
  <c r="O153" i="2"/>
  <c r="O217" i="2"/>
  <c r="O281" i="2"/>
  <c r="O326" i="2"/>
  <c r="O358" i="2"/>
  <c r="O390" i="2"/>
  <c r="O422" i="2"/>
  <c r="O454" i="2"/>
  <c r="O486" i="2"/>
  <c r="O518" i="2"/>
  <c r="O550" i="2"/>
  <c r="O582" i="2"/>
  <c r="O614" i="2"/>
  <c r="O646" i="2"/>
  <c r="O678" i="2"/>
  <c r="O698" i="2"/>
  <c r="O713" i="2"/>
  <c r="O727" i="2"/>
  <c r="O738" i="2"/>
  <c r="O752" i="2"/>
  <c r="O763" i="2"/>
  <c r="O775" i="2"/>
  <c r="O785" i="2"/>
  <c r="O795" i="2"/>
  <c r="O807" i="2"/>
  <c r="O817" i="2"/>
  <c r="O827" i="2"/>
  <c r="O839" i="2"/>
  <c r="O849" i="2"/>
  <c r="O859" i="2"/>
  <c r="O871" i="2"/>
  <c r="O881" i="2"/>
  <c r="O891" i="2"/>
  <c r="O903" i="2"/>
  <c r="O913" i="2"/>
  <c r="O922" i="2"/>
  <c r="O931" i="2"/>
  <c r="O940" i="2"/>
  <c r="O949" i="2"/>
  <c r="O959" i="2"/>
  <c r="O968" i="2"/>
  <c r="O977" i="2"/>
  <c r="O986" i="2"/>
  <c r="O995" i="2"/>
  <c r="O1004" i="2"/>
  <c r="O1013" i="2"/>
  <c r="O1023" i="2"/>
  <c r="O1032" i="2"/>
  <c r="O1041" i="2"/>
  <c r="O1050" i="2"/>
  <c r="O1059" i="2"/>
  <c r="O1068" i="2"/>
  <c r="O1077" i="2"/>
  <c r="O1087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42" i="2"/>
  <c r="O106" i="2"/>
  <c r="O170" i="2"/>
  <c r="O234" i="2"/>
  <c r="O298" i="2"/>
  <c r="O337" i="2"/>
  <c r="O369" i="2"/>
  <c r="O401" i="2"/>
  <c r="O433" i="2"/>
  <c r="O465" i="2"/>
  <c r="O497" i="2"/>
  <c r="O529" i="2"/>
  <c r="O561" i="2"/>
  <c r="O593" i="2"/>
  <c r="O625" i="2"/>
  <c r="O657" i="2"/>
  <c r="O687" i="2"/>
  <c r="O703" i="2"/>
  <c r="O714" i="2"/>
  <c r="O728" i="2"/>
  <c r="O739" i="2"/>
  <c r="O753" i="2"/>
  <c r="O765" i="2"/>
  <c r="O776" i="2"/>
  <c r="O786" i="2"/>
  <c r="O797" i="2"/>
  <c r="O808" i="2"/>
  <c r="O818" i="2"/>
  <c r="O829" i="2"/>
  <c r="O840" i="2"/>
  <c r="O850" i="2"/>
  <c r="O861" i="2"/>
  <c r="O872" i="2"/>
  <c r="O882" i="2"/>
  <c r="O893" i="2"/>
  <c r="O904" i="2"/>
  <c r="O914" i="2"/>
  <c r="O923" i="2"/>
  <c r="O932" i="2"/>
  <c r="O941" i="2"/>
  <c r="O951" i="2"/>
  <c r="O960" i="2"/>
  <c r="O969" i="2"/>
  <c r="O978" i="2"/>
  <c r="O987" i="2"/>
  <c r="O996" i="2"/>
  <c r="O1005" i="2"/>
  <c r="O1015" i="2"/>
  <c r="O1024" i="2"/>
  <c r="O1033" i="2"/>
  <c r="O1042" i="2"/>
  <c r="O1051" i="2"/>
  <c r="O1060" i="2"/>
  <c r="O1069" i="2"/>
  <c r="O1079" i="2"/>
  <c r="O1088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73" i="2"/>
  <c r="O911" i="2"/>
  <c r="O1039" i="2"/>
  <c r="O1126" i="2"/>
  <c r="O49" i="2"/>
  <c r="O113" i="2"/>
  <c r="O177" i="2"/>
  <c r="O241" i="2"/>
  <c r="O305" i="2"/>
  <c r="O338" i="2"/>
  <c r="O370" i="2"/>
  <c r="O402" i="2"/>
  <c r="O434" i="2"/>
  <c r="O466" i="2"/>
  <c r="O498" i="2"/>
  <c r="O530" i="2"/>
  <c r="O562" i="2"/>
  <c r="O594" i="2"/>
  <c r="O626" i="2"/>
  <c r="O658" i="2"/>
  <c r="O688" i="2"/>
  <c r="O704" i="2"/>
  <c r="O715" i="2"/>
  <c r="O729" i="2"/>
  <c r="O743" i="2"/>
  <c r="O754" i="2"/>
  <c r="O767" i="2"/>
  <c r="O777" i="2"/>
  <c r="O787" i="2"/>
  <c r="O799" i="2"/>
  <c r="O809" i="2"/>
  <c r="O819" i="2"/>
  <c r="O831" i="2"/>
  <c r="O841" i="2"/>
  <c r="O851" i="2"/>
  <c r="O863" i="2"/>
  <c r="O873" i="2"/>
  <c r="O883" i="2"/>
  <c r="O895" i="2"/>
  <c r="O905" i="2"/>
  <c r="O915" i="2"/>
  <c r="O924" i="2"/>
  <c r="O933" i="2"/>
  <c r="O943" i="2"/>
  <c r="O952" i="2"/>
  <c r="O961" i="2"/>
  <c r="O970" i="2"/>
  <c r="O979" i="2"/>
  <c r="O988" i="2"/>
  <c r="O997" i="2"/>
  <c r="O1007" i="2"/>
  <c r="O1016" i="2"/>
  <c r="O1025" i="2"/>
  <c r="O1034" i="2"/>
  <c r="O1043" i="2"/>
  <c r="O1052" i="2"/>
  <c r="O1061" i="2"/>
  <c r="O1071" i="2"/>
  <c r="O1080" i="2"/>
  <c r="O1089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45" i="2"/>
  <c r="O825" i="2"/>
  <c r="O929" i="2"/>
  <c r="O984" i="2"/>
  <c r="O1020" i="2"/>
  <c r="O1075" i="2"/>
  <c r="O1118" i="2"/>
  <c r="O1158" i="2"/>
  <c r="O50" i="2"/>
  <c r="O114" i="2"/>
  <c r="O178" i="2"/>
  <c r="O242" i="2"/>
  <c r="O306" i="2"/>
  <c r="O341" i="2"/>
  <c r="O373" i="2"/>
  <c r="O405" i="2"/>
  <c r="O437" i="2"/>
  <c r="O469" i="2"/>
  <c r="O501" i="2"/>
  <c r="O533" i="2"/>
  <c r="O565" i="2"/>
  <c r="O597" i="2"/>
  <c r="O629" i="2"/>
  <c r="O661" i="2"/>
  <c r="O689" i="2"/>
  <c r="O705" i="2"/>
  <c r="O719" i="2"/>
  <c r="O730" i="2"/>
  <c r="O744" i="2"/>
  <c r="O755" i="2"/>
  <c r="O768" i="2"/>
  <c r="O778" i="2"/>
  <c r="O789" i="2"/>
  <c r="O800" i="2"/>
  <c r="O810" i="2"/>
  <c r="O821" i="2"/>
  <c r="O832" i="2"/>
  <c r="O842" i="2"/>
  <c r="O853" i="2"/>
  <c r="O864" i="2"/>
  <c r="O874" i="2"/>
  <c r="O885" i="2"/>
  <c r="O896" i="2"/>
  <c r="O906" i="2"/>
  <c r="O916" i="2"/>
  <c r="O925" i="2"/>
  <c r="O935" i="2"/>
  <c r="O944" i="2"/>
  <c r="O953" i="2"/>
  <c r="O962" i="2"/>
  <c r="O971" i="2"/>
  <c r="O980" i="2"/>
  <c r="O989" i="2"/>
  <c r="O999" i="2"/>
  <c r="O1008" i="2"/>
  <c r="O1017" i="2"/>
  <c r="O1026" i="2"/>
  <c r="O1035" i="2"/>
  <c r="O1044" i="2"/>
  <c r="O1053" i="2"/>
  <c r="O1063" i="2"/>
  <c r="O1072" i="2"/>
  <c r="O1081" i="2"/>
  <c r="O1090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209" i="2"/>
  <c r="O771" i="2"/>
  <c r="O857" i="2"/>
  <c r="O889" i="2"/>
  <c r="O947" i="2"/>
  <c r="O993" i="2"/>
  <c r="O1057" i="2"/>
  <c r="O1102" i="2"/>
  <c r="O1142" i="2"/>
  <c r="O1182" i="2"/>
  <c r="O57" i="2"/>
  <c r="O121" i="2"/>
  <c r="O185" i="2"/>
  <c r="O249" i="2"/>
  <c r="O309" i="2"/>
  <c r="O342" i="2"/>
  <c r="O374" i="2"/>
  <c r="O406" i="2"/>
  <c r="O438" i="2"/>
  <c r="O470" i="2"/>
  <c r="O502" i="2"/>
  <c r="O534" i="2"/>
  <c r="O566" i="2"/>
  <c r="O598" i="2"/>
  <c r="O630" i="2"/>
  <c r="O662" i="2"/>
  <c r="O690" i="2"/>
  <c r="O706" i="2"/>
  <c r="O720" i="2"/>
  <c r="O731" i="2"/>
  <c r="O745" i="2"/>
  <c r="O759" i="2"/>
  <c r="O769" i="2"/>
  <c r="O779" i="2"/>
  <c r="O791" i="2"/>
  <c r="O801" i="2"/>
  <c r="O811" i="2"/>
  <c r="O823" i="2"/>
  <c r="O833" i="2"/>
  <c r="O843" i="2"/>
  <c r="O855" i="2"/>
  <c r="O865" i="2"/>
  <c r="O875" i="2"/>
  <c r="O887" i="2"/>
  <c r="O897" i="2"/>
  <c r="O907" i="2"/>
  <c r="O917" i="2"/>
  <c r="O927" i="2"/>
  <c r="O936" i="2"/>
  <c r="O945" i="2"/>
  <c r="O954" i="2"/>
  <c r="O963" i="2"/>
  <c r="O972" i="2"/>
  <c r="O981" i="2"/>
  <c r="O991" i="2"/>
  <c r="O1000" i="2"/>
  <c r="O1009" i="2"/>
  <c r="O1018" i="2"/>
  <c r="O1027" i="2"/>
  <c r="O1036" i="2"/>
  <c r="O1045" i="2"/>
  <c r="O1055" i="2"/>
  <c r="O1064" i="2"/>
  <c r="O1073" i="2"/>
  <c r="O1082" i="2"/>
  <c r="O1091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81" i="2"/>
  <c r="O815" i="2"/>
  <c r="O920" i="2"/>
  <c r="O965" i="2"/>
  <c r="O1011" i="2"/>
  <c r="O1066" i="2"/>
  <c r="O1110" i="2"/>
  <c r="O1150" i="2"/>
  <c r="O1174" i="2"/>
  <c r="O985" i="2"/>
  <c r="O1058" i="2"/>
  <c r="O1127" i="2"/>
  <c r="O1183" i="2"/>
  <c r="O1215" i="2"/>
  <c r="O1247" i="2"/>
  <c r="O994" i="2"/>
  <c r="O1003" i="2"/>
  <c r="O1076" i="2"/>
  <c r="O1143" i="2"/>
  <c r="O1191" i="2"/>
  <c r="O1223" i="2"/>
  <c r="O1255" i="2"/>
  <c r="O1012" i="2"/>
  <c r="O1085" i="2"/>
  <c r="O1151" i="2"/>
  <c r="O1198" i="2"/>
  <c r="O1230" i="2"/>
  <c r="O1190" i="2"/>
  <c r="O1021" i="2"/>
  <c r="O1095" i="2"/>
  <c r="O1159" i="2"/>
  <c r="O1199" i="2"/>
  <c r="O1231" i="2"/>
  <c r="O1222" i="2"/>
  <c r="O1031" i="2"/>
  <c r="O1103" i="2"/>
  <c r="O1166" i="2"/>
  <c r="O1206" i="2"/>
  <c r="O1238" i="2"/>
  <c r="O1135" i="2"/>
  <c r="O1040" i="2"/>
  <c r="O1111" i="2"/>
  <c r="O1167" i="2"/>
  <c r="O1207" i="2"/>
  <c r="O1239" i="2"/>
  <c r="O1254" i="2"/>
  <c r="O1049" i="2"/>
  <c r="O1119" i="2"/>
  <c r="O1175" i="2"/>
  <c r="O1214" i="2"/>
  <c r="O1246" i="2"/>
  <c r="O1067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I15" i="2"/>
  <c r="AE15" i="2"/>
  <c r="AI14" i="2"/>
  <c r="AE14" i="2"/>
  <c r="AI13" i="2"/>
  <c r="AE13" i="2"/>
  <c r="AE12" i="2"/>
  <c r="AI12" i="2"/>
  <c r="AI11" i="2"/>
  <c r="AE11" i="2"/>
  <c r="AI10" i="2"/>
  <c r="AE10" i="2"/>
  <c r="AI9" i="2"/>
  <c r="AE9" i="2"/>
  <c r="AE8" i="2"/>
  <c r="AI8" i="2"/>
  <c r="AI6" i="2"/>
  <c r="AI7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15" i="2" l="1"/>
  <c r="AK11" i="2"/>
  <c r="AG9" i="2" l="1"/>
  <c r="AK10" i="2"/>
  <c r="AG7" i="2" l="1"/>
  <c r="AK9" i="2"/>
  <c r="AG16" i="2" l="1"/>
  <c r="AK8" i="2"/>
  <c r="AG12" i="2" l="1"/>
  <c r="AK7" i="2"/>
  <c r="AG6" i="2" l="1"/>
  <c r="AK6" i="2"/>
  <c r="AG5" i="2" l="1"/>
  <c r="AK5" i="2"/>
  <c r="AG14" i="2" s="1"/>
</calcChain>
</file>

<file path=xl/sharedStrings.xml><?xml version="1.0" encoding="utf-8"?>
<sst xmlns="http://schemas.openxmlformats.org/spreadsheetml/2006/main" count="91" uniqueCount="75">
  <si>
    <t>AbbVie Inc. (ABBV) - Daily Stock Price, Last 5 Years</t>
  </si>
  <si>
    <t>Source: Nasdaq historical quotes (nasdaq.com/market-activity/stocks/abbv),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</si>
  <si>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</si>
  <si>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</si>
  <si>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</si>
  <si>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</si>
  <si>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</si>
  <si>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</si>
  <si>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</si>
  <si>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</si>
  <si>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</si>
  <si>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</si>
  <si>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</si>
  <si>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</si>
  <si>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</si>
  <si>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</si>
  <si>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</si>
  <si>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</si>
  <si>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</si>
  <si>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</si>
  <si>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</si>
  <si>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</si>
  <si>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</si>
  <si>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</si>
  <si>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ABBV trading days (last close on or before each date). Each stock's % change is in its own currency (BAYNr in EUR, others USD). % columns follow Start/End Date in 'Stock Price'!I4:I5.</t>
  </si>
  <si>
    <t>ABBV Close</t>
  </si>
  <si>
    <t>ABBV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</si>
  <si>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</si>
  <si>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</si>
  <si>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</si>
  <si>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</si>
  <si>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</si>
  <si>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</si>
  <si>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</si>
  <si>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</si>
  <si>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</si>
  <si>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</si>
  <si>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</si>
  <si>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</si>
  <si>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</si>
  <si>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</si>
  <si>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</si>
  <si>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</si>
  <si>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</si>
  <si>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</si>
  <si>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</si>
  <si>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</si>
  <si>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</si>
  <si>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</si>
  <si>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Peer Comps</t>
  </si>
  <si>
    <t>Ticker</t>
  </si>
  <si>
    <t>Rank</t>
  </si>
  <si>
    <t>ABBV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</si>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</sst>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ABBV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109.51</c:v>
                </c:pt>
                <c:pt idx="1">
                  <c:v>109.32</c:v>
                </c:pt>
                <c:pt idx="2">
                  <c:v>110.87</c:v>
                </c:pt>
                <c:pt idx="3">
                  <c:v>111.18</c:v>
                </c:pt>
                <c:pt idx="4">
                  <c:v>110.34</c:v>
                </c:pt>
                <c:pt idx="5">
                  <c:v>108.57</c:v>
                </c:pt>
                <c:pt idx="6">
                  <c:v>108.53</c:v>
                </c:pt>
                <c:pt idx="7">
                  <c:v>108.91</c:v>
                </c:pt>
                <c:pt idx="8">
                  <c:v>109.33</c:v>
                </c:pt>
                <c:pt idx="9">
                  <c:v>107.43</c:v>
                </c:pt>
                <c:pt idx="10">
                  <c:v>107.45</c:v>
                </c:pt>
                <c:pt idx="11">
                  <c:v>108.41</c:v>
                </c:pt>
                <c:pt idx="12">
                  <c:v>108.76</c:v>
                </c:pt>
                <c:pt idx="13">
                  <c:v>109.14</c:v>
                </c:pt>
                <c:pt idx="14">
                  <c:v>108.5</c:v>
                </c:pt>
                <c:pt idx="15">
                  <c:v>109.49</c:v>
                </c:pt>
                <c:pt idx="16">
                  <c:v>108.4</c:v>
                </c:pt>
                <c:pt idx="17">
                  <c:v>109.67</c:v>
                </c:pt>
                <c:pt idx="18">
                  <c:v>114.67</c:v>
                </c:pt>
                <c:pt idx="19">
                  <c:v>114.81</c:v>
                </c:pt>
                <c:pt idx="20">
                  <c:v>116.53</c:v>
                </c:pt>
                <c:pt idx="21">
                  <c:v>117.57</c:v>
                </c:pt>
                <c:pt idx="22">
                  <c:v>117.06</c:v>
                </c:pt>
                <c:pt idx="23">
                  <c:v>117.18</c:v>
                </c:pt>
                <c:pt idx="24">
                  <c:v>116.06</c:v>
                </c:pt>
                <c:pt idx="25">
                  <c:v>115.61</c:v>
                </c:pt>
                <c:pt idx="26">
                  <c:v>116.75</c:v>
                </c:pt>
                <c:pt idx="27">
                  <c:v>116.63</c:v>
                </c:pt>
                <c:pt idx="28">
                  <c:v>116.97</c:v>
                </c:pt>
                <c:pt idx="29">
                  <c:v>116.84</c:v>
                </c:pt>
                <c:pt idx="30">
                  <c:v>116.42</c:v>
                </c:pt>
                <c:pt idx="31">
                  <c:v>117.35</c:v>
                </c:pt>
                <c:pt idx="32">
                  <c:v>117.07</c:v>
                </c:pt>
                <c:pt idx="33">
                  <c:v>116.24</c:v>
                </c:pt>
                <c:pt idx="34">
                  <c:v>115.65</c:v>
                </c:pt>
                <c:pt idx="35">
                  <c:v>118.88</c:v>
                </c:pt>
                <c:pt idx="36">
                  <c:v>118.66</c:v>
                </c:pt>
                <c:pt idx="37">
                  <c:v>116.51</c:v>
                </c:pt>
                <c:pt idx="38">
                  <c:v>116.89</c:v>
                </c:pt>
                <c:pt idx="39">
                  <c:v>115.28</c:v>
                </c:pt>
                <c:pt idx="40">
                  <c:v>115.91</c:v>
                </c:pt>
                <c:pt idx="41">
                  <c:v>116.87</c:v>
                </c:pt>
                <c:pt idx="42">
                  <c:v>118.85</c:v>
                </c:pt>
                <c:pt idx="43">
                  <c:v>121.35</c:v>
                </c:pt>
                <c:pt idx="44">
                  <c:v>121.51</c:v>
                </c:pt>
                <c:pt idx="45">
                  <c:v>121.87</c:v>
                </c:pt>
                <c:pt idx="46">
                  <c:v>124.15</c:v>
                </c:pt>
                <c:pt idx="47">
                  <c:v>125.47</c:v>
                </c:pt>
                <c:pt idx="48">
                  <c:v>126.51</c:v>
                </c:pt>
                <c:pt idx="49">
                  <c:v>127.29</c:v>
                </c:pt>
                <c:pt idx="50">
                  <c:v>130.22999999999999</c:v>
                </c:pt>
                <c:pt idx="51">
                  <c:v>131.78</c:v>
                </c:pt>
                <c:pt idx="52">
                  <c:v>129.53</c:v>
                </c:pt>
                <c:pt idx="53">
                  <c:v>130.86000000000001</c:v>
                </c:pt>
                <c:pt idx="54">
                  <c:v>129.94999999999999</c:v>
                </c:pt>
                <c:pt idx="55">
                  <c:v>132.05000000000001</c:v>
                </c:pt>
                <c:pt idx="56">
                  <c:v>133.09</c:v>
                </c:pt>
                <c:pt idx="57">
                  <c:v>134.41</c:v>
                </c:pt>
                <c:pt idx="58">
                  <c:v>134.38999999999999</c:v>
                </c:pt>
                <c:pt idx="59">
                  <c:v>135.36000000000001</c:v>
                </c:pt>
                <c:pt idx="60">
                  <c:v>135.93</c:v>
                </c:pt>
                <c:pt idx="61">
                  <c:v>135.4</c:v>
                </c:pt>
                <c:pt idx="62">
                  <c:v>135.41999999999999</c:v>
                </c:pt>
                <c:pt idx="63">
                  <c:v>135.16</c:v>
                </c:pt>
                <c:pt idx="64">
                  <c:v>135.87</c:v>
                </c:pt>
                <c:pt idx="65">
                  <c:v>135.22999999999999</c:v>
                </c:pt>
                <c:pt idx="66">
                  <c:v>134.88</c:v>
                </c:pt>
                <c:pt idx="67">
                  <c:v>136.38999999999999</c:v>
                </c:pt>
                <c:pt idx="68">
                  <c:v>136.97</c:v>
                </c:pt>
                <c:pt idx="69">
                  <c:v>137.29</c:v>
                </c:pt>
                <c:pt idx="70">
                  <c:v>133.52000000000001</c:v>
                </c:pt>
                <c:pt idx="71">
                  <c:v>135.87</c:v>
                </c:pt>
                <c:pt idx="72">
                  <c:v>136.78</c:v>
                </c:pt>
                <c:pt idx="73">
                  <c:v>135.21</c:v>
                </c:pt>
                <c:pt idx="74">
                  <c:v>133.03</c:v>
                </c:pt>
                <c:pt idx="75">
                  <c:v>131.97999999999999</c:v>
                </c:pt>
                <c:pt idx="76">
                  <c:v>132.16</c:v>
                </c:pt>
                <c:pt idx="77">
                  <c:v>133.09</c:v>
                </c:pt>
                <c:pt idx="78">
                  <c:v>134.22999999999999</c:v>
                </c:pt>
                <c:pt idx="79">
                  <c:v>135.97</c:v>
                </c:pt>
                <c:pt idx="80">
                  <c:v>137.91999999999999</c:v>
                </c:pt>
                <c:pt idx="81">
                  <c:v>136.88999999999999</c:v>
                </c:pt>
                <c:pt idx="82">
                  <c:v>137</c:v>
                </c:pt>
                <c:pt idx="83">
                  <c:v>138.62</c:v>
                </c:pt>
                <c:pt idx="84">
                  <c:v>140.72999999999999</c:v>
                </c:pt>
                <c:pt idx="85">
                  <c:v>140.65</c:v>
                </c:pt>
                <c:pt idx="86">
                  <c:v>142.53</c:v>
                </c:pt>
                <c:pt idx="87">
                  <c:v>143.51</c:v>
                </c:pt>
                <c:pt idx="88">
                  <c:v>143.19999999999999</c:v>
                </c:pt>
                <c:pt idx="89">
                  <c:v>142.71</c:v>
                </c:pt>
                <c:pt idx="90">
                  <c:v>142.01</c:v>
                </c:pt>
                <c:pt idx="91">
                  <c:v>143</c:v>
                </c:pt>
                <c:pt idx="92">
                  <c:v>144.76</c:v>
                </c:pt>
                <c:pt idx="93">
                  <c:v>145.87</c:v>
                </c:pt>
                <c:pt idx="94">
                  <c:v>144.97</c:v>
                </c:pt>
                <c:pt idx="95">
                  <c:v>144.03</c:v>
                </c:pt>
                <c:pt idx="96">
                  <c:v>145.56</c:v>
                </c:pt>
                <c:pt idx="97">
                  <c:v>146.76</c:v>
                </c:pt>
                <c:pt idx="98">
                  <c:v>145.27000000000001</c:v>
                </c:pt>
                <c:pt idx="99">
                  <c:v>149.54</c:v>
                </c:pt>
                <c:pt idx="100">
                  <c:v>147.77000000000001</c:v>
                </c:pt>
                <c:pt idx="101">
                  <c:v>147.69</c:v>
                </c:pt>
                <c:pt idx="102">
                  <c:v>149.57</c:v>
                </c:pt>
                <c:pt idx="103">
                  <c:v>150.41</c:v>
                </c:pt>
                <c:pt idx="104">
                  <c:v>150.56</c:v>
                </c:pt>
                <c:pt idx="105">
                  <c:v>149.44999999999999</c:v>
                </c:pt>
                <c:pt idx="106">
                  <c:v>147.15</c:v>
                </c:pt>
                <c:pt idx="107">
                  <c:v>148.84</c:v>
                </c:pt>
                <c:pt idx="108">
                  <c:v>149.16999999999999</c:v>
                </c:pt>
                <c:pt idx="109">
                  <c:v>149.06</c:v>
                </c:pt>
                <c:pt idx="110">
                  <c:v>152.1</c:v>
                </c:pt>
                <c:pt idx="111">
                  <c:v>155.88</c:v>
                </c:pt>
                <c:pt idx="112">
                  <c:v>156.05000000000001</c:v>
                </c:pt>
                <c:pt idx="113">
                  <c:v>158.59</c:v>
                </c:pt>
                <c:pt idx="114">
                  <c:v>159.19999999999999</c:v>
                </c:pt>
                <c:pt idx="115">
                  <c:v>160.05000000000001</c:v>
                </c:pt>
                <c:pt idx="116">
                  <c:v>160.01</c:v>
                </c:pt>
                <c:pt idx="117">
                  <c:v>158.41999999999999</c:v>
                </c:pt>
                <c:pt idx="118">
                  <c:v>160.28</c:v>
                </c:pt>
                <c:pt idx="119">
                  <c:v>161.33000000000001</c:v>
                </c:pt>
                <c:pt idx="120">
                  <c:v>161.97</c:v>
                </c:pt>
                <c:pt idx="121">
                  <c:v>162.18</c:v>
                </c:pt>
                <c:pt idx="122">
                  <c:v>163.75</c:v>
                </c:pt>
                <c:pt idx="123">
                  <c:v>162.11000000000001</c:v>
                </c:pt>
                <c:pt idx="124">
                  <c:v>162.68</c:v>
                </c:pt>
                <c:pt idx="125">
                  <c:v>161.88999999999999</c:v>
                </c:pt>
                <c:pt idx="126">
                  <c:v>163.43</c:v>
                </c:pt>
                <c:pt idx="127">
                  <c:v>168.91</c:v>
                </c:pt>
                <c:pt idx="128">
                  <c:v>173.28</c:v>
                </c:pt>
                <c:pt idx="129">
                  <c:v>174.96</c:v>
                </c:pt>
                <c:pt idx="130">
                  <c:v>169.83</c:v>
                </c:pt>
                <c:pt idx="131">
                  <c:v>167.31</c:v>
                </c:pt>
                <c:pt idx="132">
                  <c:v>158.94999999999999</c:v>
                </c:pt>
                <c:pt idx="133">
                  <c:v>162.31</c:v>
                </c:pt>
                <c:pt idx="134">
                  <c:v>159.36000000000001</c:v>
                </c:pt>
                <c:pt idx="135">
                  <c:v>156.35</c:v>
                </c:pt>
                <c:pt idx="136">
                  <c:v>156.69999999999999</c:v>
                </c:pt>
                <c:pt idx="137">
                  <c:v>158.52000000000001</c:v>
                </c:pt>
                <c:pt idx="138">
                  <c:v>154.99</c:v>
                </c:pt>
                <c:pt idx="139">
                  <c:v>156.30000000000001</c:v>
                </c:pt>
                <c:pt idx="140">
                  <c:v>156.18</c:v>
                </c:pt>
                <c:pt idx="141">
                  <c:v>157.62</c:v>
                </c:pt>
                <c:pt idx="142">
                  <c:v>156.31</c:v>
                </c:pt>
                <c:pt idx="143">
                  <c:v>146.88</c:v>
                </c:pt>
                <c:pt idx="144">
                  <c:v>147.87</c:v>
                </c:pt>
                <c:pt idx="145">
                  <c:v>149.6</c:v>
                </c:pt>
                <c:pt idx="146">
                  <c:v>151.59</c:v>
                </c:pt>
                <c:pt idx="147">
                  <c:v>152.18</c:v>
                </c:pt>
                <c:pt idx="148">
                  <c:v>152.83000000000001</c:v>
                </c:pt>
                <c:pt idx="149">
                  <c:v>150.96</c:v>
                </c:pt>
                <c:pt idx="150">
                  <c:v>152.09</c:v>
                </c:pt>
                <c:pt idx="151">
                  <c:v>151.96</c:v>
                </c:pt>
                <c:pt idx="152">
                  <c:v>154.29</c:v>
                </c:pt>
                <c:pt idx="153">
                  <c:v>153.5</c:v>
                </c:pt>
                <c:pt idx="154">
                  <c:v>155.47</c:v>
                </c:pt>
                <c:pt idx="155">
                  <c:v>154.78</c:v>
                </c:pt>
                <c:pt idx="156">
                  <c:v>152.43</c:v>
                </c:pt>
                <c:pt idx="157">
                  <c:v>151.72</c:v>
                </c:pt>
                <c:pt idx="158">
                  <c:v>151.01</c:v>
                </c:pt>
                <c:pt idx="159">
                  <c:v>148.03</c:v>
                </c:pt>
                <c:pt idx="160">
                  <c:v>149.11000000000001</c:v>
                </c:pt>
                <c:pt idx="161">
                  <c:v>151.96</c:v>
                </c:pt>
                <c:pt idx="162">
                  <c:v>150.57</c:v>
                </c:pt>
                <c:pt idx="163">
                  <c:v>150</c:v>
                </c:pt>
                <c:pt idx="164">
                  <c:v>147.37</c:v>
                </c:pt>
                <c:pt idx="165">
                  <c:v>146.02000000000001</c:v>
                </c:pt>
                <c:pt idx="166">
                  <c:v>146.75</c:v>
                </c:pt>
                <c:pt idx="167">
                  <c:v>147.16999999999999</c:v>
                </c:pt>
                <c:pt idx="168">
                  <c:v>146.53</c:v>
                </c:pt>
                <c:pt idx="169">
                  <c:v>149.13999999999999</c:v>
                </c:pt>
                <c:pt idx="170">
                  <c:v>149.25</c:v>
                </c:pt>
                <c:pt idx="171">
                  <c:v>145.43</c:v>
                </c:pt>
                <c:pt idx="172">
                  <c:v>143.19999999999999</c:v>
                </c:pt>
                <c:pt idx="173">
                  <c:v>139.41999999999999</c:v>
                </c:pt>
                <c:pt idx="174">
                  <c:v>137.62</c:v>
                </c:pt>
                <c:pt idx="175">
                  <c:v>138.09</c:v>
                </c:pt>
                <c:pt idx="176">
                  <c:v>139.15</c:v>
                </c:pt>
                <c:pt idx="177">
                  <c:v>138.28</c:v>
                </c:pt>
                <c:pt idx="178">
                  <c:v>143.47</c:v>
                </c:pt>
                <c:pt idx="179">
                  <c:v>147.56</c:v>
                </c:pt>
                <c:pt idx="180">
                  <c:v>149.44999999999999</c:v>
                </c:pt>
                <c:pt idx="181">
                  <c:v>152.34</c:v>
                </c:pt>
                <c:pt idx="182">
                  <c:v>153.13999999999999</c:v>
                </c:pt>
                <c:pt idx="183">
                  <c:v>152.49</c:v>
                </c:pt>
                <c:pt idx="184">
                  <c:v>154.13999999999999</c:v>
                </c:pt>
                <c:pt idx="185">
                  <c:v>153.16</c:v>
                </c:pt>
                <c:pt idx="186">
                  <c:v>153.80000000000001</c:v>
                </c:pt>
                <c:pt idx="187">
                  <c:v>153.93</c:v>
                </c:pt>
                <c:pt idx="188">
                  <c:v>152.53</c:v>
                </c:pt>
                <c:pt idx="189">
                  <c:v>152</c:v>
                </c:pt>
                <c:pt idx="190">
                  <c:v>152.85</c:v>
                </c:pt>
                <c:pt idx="191">
                  <c:v>153.22999999999999</c:v>
                </c:pt>
                <c:pt idx="192">
                  <c:v>152.46</c:v>
                </c:pt>
                <c:pt idx="193">
                  <c:v>152.15</c:v>
                </c:pt>
                <c:pt idx="194">
                  <c:v>150.44</c:v>
                </c:pt>
                <c:pt idx="195">
                  <c:v>153.62</c:v>
                </c:pt>
                <c:pt idx="196">
                  <c:v>149.57</c:v>
                </c:pt>
                <c:pt idx="197">
                  <c:v>149.74</c:v>
                </c:pt>
                <c:pt idx="198">
                  <c:v>147.69</c:v>
                </c:pt>
                <c:pt idx="199">
                  <c:v>147.75</c:v>
                </c:pt>
                <c:pt idx="200">
                  <c:v>148.47</c:v>
                </c:pt>
                <c:pt idx="201">
                  <c:v>150.22</c:v>
                </c:pt>
                <c:pt idx="202">
                  <c:v>150.87</c:v>
                </c:pt>
                <c:pt idx="203">
                  <c:v>151.15</c:v>
                </c:pt>
                <c:pt idx="204">
                  <c:v>149.75</c:v>
                </c:pt>
                <c:pt idx="205">
                  <c:v>143.51</c:v>
                </c:pt>
                <c:pt idx="206">
                  <c:v>140.22</c:v>
                </c:pt>
                <c:pt idx="207">
                  <c:v>140.38999999999999</c:v>
                </c:pt>
                <c:pt idx="208">
                  <c:v>141.19999999999999</c:v>
                </c:pt>
                <c:pt idx="209">
                  <c:v>138.91999999999999</c:v>
                </c:pt>
                <c:pt idx="210">
                  <c:v>138.04</c:v>
                </c:pt>
                <c:pt idx="211">
                  <c:v>140.34</c:v>
                </c:pt>
                <c:pt idx="212">
                  <c:v>140.25</c:v>
                </c:pt>
                <c:pt idx="213">
                  <c:v>140.94</c:v>
                </c:pt>
                <c:pt idx="214">
                  <c:v>142.08000000000001</c:v>
                </c:pt>
                <c:pt idx="215">
                  <c:v>142.6</c:v>
                </c:pt>
                <c:pt idx="216">
                  <c:v>142.29</c:v>
                </c:pt>
                <c:pt idx="217">
                  <c:v>142.55000000000001</c:v>
                </c:pt>
                <c:pt idx="218">
                  <c:v>141.44</c:v>
                </c:pt>
                <c:pt idx="219">
                  <c:v>141.29</c:v>
                </c:pt>
                <c:pt idx="220">
                  <c:v>141.85</c:v>
                </c:pt>
                <c:pt idx="221">
                  <c:v>140.34</c:v>
                </c:pt>
                <c:pt idx="222">
                  <c:v>139.02000000000001</c:v>
                </c:pt>
                <c:pt idx="223">
                  <c:v>137.91</c:v>
                </c:pt>
                <c:pt idx="224">
                  <c:v>139.33000000000001</c:v>
                </c:pt>
                <c:pt idx="225">
                  <c:v>136.35</c:v>
                </c:pt>
                <c:pt idx="226">
                  <c:v>135.71</c:v>
                </c:pt>
                <c:pt idx="227">
                  <c:v>135.55000000000001</c:v>
                </c:pt>
                <c:pt idx="228">
                  <c:v>134.46</c:v>
                </c:pt>
                <c:pt idx="229">
                  <c:v>138.44999999999999</c:v>
                </c:pt>
                <c:pt idx="230">
                  <c:v>136.28</c:v>
                </c:pt>
                <c:pt idx="231">
                  <c:v>137.59</c:v>
                </c:pt>
                <c:pt idx="232">
                  <c:v>138.71</c:v>
                </c:pt>
                <c:pt idx="233">
                  <c:v>140.52000000000001</c:v>
                </c:pt>
                <c:pt idx="234">
                  <c:v>141.41999999999999</c:v>
                </c:pt>
                <c:pt idx="235">
                  <c:v>142.24</c:v>
                </c:pt>
                <c:pt idx="236">
                  <c:v>138.53</c:v>
                </c:pt>
                <c:pt idx="237">
                  <c:v>139.55000000000001</c:v>
                </c:pt>
                <c:pt idx="238">
                  <c:v>142.51</c:v>
                </c:pt>
                <c:pt idx="239">
                  <c:v>144.06</c:v>
                </c:pt>
                <c:pt idx="240">
                  <c:v>142.66</c:v>
                </c:pt>
                <c:pt idx="241">
                  <c:v>141.77000000000001</c:v>
                </c:pt>
                <c:pt idx="242">
                  <c:v>140.31</c:v>
                </c:pt>
                <c:pt idx="243">
                  <c:v>143.01</c:v>
                </c:pt>
                <c:pt idx="244">
                  <c:v>143.06</c:v>
                </c:pt>
                <c:pt idx="245">
                  <c:v>141.21</c:v>
                </c:pt>
                <c:pt idx="246">
                  <c:v>141.72</c:v>
                </c:pt>
                <c:pt idx="247">
                  <c:v>144.6</c:v>
                </c:pt>
                <c:pt idx="248">
                  <c:v>142.72</c:v>
                </c:pt>
                <c:pt idx="249">
                  <c:v>134.21</c:v>
                </c:pt>
                <c:pt idx="250">
                  <c:v>138.32</c:v>
                </c:pt>
                <c:pt idx="251">
                  <c:v>141.99</c:v>
                </c:pt>
                <c:pt idx="252">
                  <c:v>143.33000000000001</c:v>
                </c:pt>
                <c:pt idx="253">
                  <c:v>140.29</c:v>
                </c:pt>
                <c:pt idx="254">
                  <c:v>138.76</c:v>
                </c:pt>
                <c:pt idx="255">
                  <c:v>138.31</c:v>
                </c:pt>
                <c:pt idx="256">
                  <c:v>141.51</c:v>
                </c:pt>
                <c:pt idx="257">
                  <c:v>139.97999999999999</c:v>
                </c:pt>
                <c:pt idx="258">
                  <c:v>142.91999999999999</c:v>
                </c:pt>
                <c:pt idx="259">
                  <c:v>142.94</c:v>
                </c:pt>
                <c:pt idx="260">
                  <c:v>144.41</c:v>
                </c:pt>
                <c:pt idx="261">
                  <c:v>144.6</c:v>
                </c:pt>
                <c:pt idx="262">
                  <c:v>143.13</c:v>
                </c:pt>
                <c:pt idx="263">
                  <c:v>142.93</c:v>
                </c:pt>
                <c:pt idx="264">
                  <c:v>147.06</c:v>
                </c:pt>
                <c:pt idx="265">
                  <c:v>150.88999999999999</c:v>
                </c:pt>
                <c:pt idx="266">
                  <c:v>149.82</c:v>
                </c:pt>
                <c:pt idx="267">
                  <c:v>152.51</c:v>
                </c:pt>
                <c:pt idx="268">
                  <c:v>153.5</c:v>
                </c:pt>
                <c:pt idx="269">
                  <c:v>147.61000000000001</c:v>
                </c:pt>
                <c:pt idx="270">
                  <c:v>146.4</c:v>
                </c:pt>
                <c:pt idx="271">
                  <c:v>146.91</c:v>
                </c:pt>
                <c:pt idx="272">
                  <c:v>144.52000000000001</c:v>
                </c:pt>
                <c:pt idx="273">
                  <c:v>144.41999999999999</c:v>
                </c:pt>
                <c:pt idx="274">
                  <c:v>145.28</c:v>
                </c:pt>
                <c:pt idx="275">
                  <c:v>148.1</c:v>
                </c:pt>
                <c:pt idx="276">
                  <c:v>148.53</c:v>
                </c:pt>
                <c:pt idx="277">
                  <c:v>147.62</c:v>
                </c:pt>
                <c:pt idx="278">
                  <c:v>149.72</c:v>
                </c:pt>
                <c:pt idx="279">
                  <c:v>150.16</c:v>
                </c:pt>
                <c:pt idx="280">
                  <c:v>151.74</c:v>
                </c:pt>
                <c:pt idx="281">
                  <c:v>153.04</c:v>
                </c:pt>
                <c:pt idx="282">
                  <c:v>151.87</c:v>
                </c:pt>
                <c:pt idx="283">
                  <c:v>152.16</c:v>
                </c:pt>
                <c:pt idx="284">
                  <c:v>154.97999999999999</c:v>
                </c:pt>
                <c:pt idx="285">
                  <c:v>157.11000000000001</c:v>
                </c:pt>
                <c:pt idx="286">
                  <c:v>159.79</c:v>
                </c:pt>
                <c:pt idx="287">
                  <c:v>159.38999999999999</c:v>
                </c:pt>
                <c:pt idx="288">
                  <c:v>159.62</c:v>
                </c:pt>
                <c:pt idx="289">
                  <c:v>158.43</c:v>
                </c:pt>
                <c:pt idx="290">
                  <c:v>158.19999999999999</c:v>
                </c:pt>
                <c:pt idx="291">
                  <c:v>161.18</c:v>
                </c:pt>
                <c:pt idx="292">
                  <c:v>161.63</c:v>
                </c:pt>
                <c:pt idx="293">
                  <c:v>163.66</c:v>
                </c:pt>
                <c:pt idx="294">
                  <c:v>163.94</c:v>
                </c:pt>
                <c:pt idx="295">
                  <c:v>163.72</c:v>
                </c:pt>
                <c:pt idx="296">
                  <c:v>165.4</c:v>
                </c:pt>
                <c:pt idx="297">
                  <c:v>165.99</c:v>
                </c:pt>
                <c:pt idx="298">
                  <c:v>163.06</c:v>
                </c:pt>
                <c:pt idx="299">
                  <c:v>165.32</c:v>
                </c:pt>
                <c:pt idx="300">
                  <c:v>164.79</c:v>
                </c:pt>
                <c:pt idx="301">
                  <c:v>164.86</c:v>
                </c:pt>
                <c:pt idx="302">
                  <c:v>163.1</c:v>
                </c:pt>
                <c:pt idx="303">
                  <c:v>160.47999999999999</c:v>
                </c:pt>
                <c:pt idx="304">
                  <c:v>161.49</c:v>
                </c:pt>
                <c:pt idx="305">
                  <c:v>160.58000000000001</c:v>
                </c:pt>
                <c:pt idx="306">
                  <c:v>162.21</c:v>
                </c:pt>
                <c:pt idx="307">
                  <c:v>163.27000000000001</c:v>
                </c:pt>
                <c:pt idx="308">
                  <c:v>163.1</c:v>
                </c:pt>
                <c:pt idx="309">
                  <c:v>162.99</c:v>
                </c:pt>
                <c:pt idx="310">
                  <c:v>162.22999999999999</c:v>
                </c:pt>
                <c:pt idx="311">
                  <c:v>162.56</c:v>
                </c:pt>
                <c:pt idx="312">
                  <c:v>161.61000000000001</c:v>
                </c:pt>
                <c:pt idx="313">
                  <c:v>162.38</c:v>
                </c:pt>
                <c:pt idx="314">
                  <c:v>163.69</c:v>
                </c:pt>
                <c:pt idx="315">
                  <c:v>163.49</c:v>
                </c:pt>
                <c:pt idx="316">
                  <c:v>166.55</c:v>
                </c:pt>
                <c:pt idx="317">
                  <c:v>161.66</c:v>
                </c:pt>
                <c:pt idx="318">
                  <c:v>159.63999999999999</c:v>
                </c:pt>
                <c:pt idx="319">
                  <c:v>157.16999999999999</c:v>
                </c:pt>
                <c:pt idx="320">
                  <c:v>152.22</c:v>
                </c:pt>
                <c:pt idx="321">
                  <c:v>153.6</c:v>
                </c:pt>
                <c:pt idx="322">
                  <c:v>152.83000000000001</c:v>
                </c:pt>
                <c:pt idx="323">
                  <c:v>149.19999999999999</c:v>
                </c:pt>
                <c:pt idx="324">
                  <c:v>148.71</c:v>
                </c:pt>
                <c:pt idx="325">
                  <c:v>149.59</c:v>
                </c:pt>
                <c:pt idx="326">
                  <c:v>148.55000000000001</c:v>
                </c:pt>
                <c:pt idx="327">
                  <c:v>147.69</c:v>
                </c:pt>
                <c:pt idx="328">
                  <c:v>147.79</c:v>
                </c:pt>
                <c:pt idx="329">
                  <c:v>147.4</c:v>
                </c:pt>
                <c:pt idx="330">
                  <c:v>146.28</c:v>
                </c:pt>
                <c:pt idx="331">
                  <c:v>145.65</c:v>
                </c:pt>
                <c:pt idx="332">
                  <c:v>147.75</c:v>
                </c:pt>
                <c:pt idx="333">
                  <c:v>146.6</c:v>
                </c:pt>
                <c:pt idx="334">
                  <c:v>144.84</c:v>
                </c:pt>
                <c:pt idx="335">
                  <c:v>145.19999999999999</c:v>
                </c:pt>
                <c:pt idx="336">
                  <c:v>145.02000000000001</c:v>
                </c:pt>
                <c:pt idx="337">
                  <c:v>145.13999999999999</c:v>
                </c:pt>
                <c:pt idx="338">
                  <c:v>144.61000000000001</c:v>
                </c:pt>
                <c:pt idx="339">
                  <c:v>148.69999999999999</c:v>
                </c:pt>
                <c:pt idx="340">
                  <c:v>152.05000000000001</c:v>
                </c:pt>
                <c:pt idx="341">
                  <c:v>153.72999999999999</c:v>
                </c:pt>
                <c:pt idx="342">
                  <c:v>152.59</c:v>
                </c:pt>
                <c:pt idx="343">
                  <c:v>151.06</c:v>
                </c:pt>
                <c:pt idx="344">
                  <c:v>149.53</c:v>
                </c:pt>
                <c:pt idx="345">
                  <c:v>151.31</c:v>
                </c:pt>
                <c:pt idx="346">
                  <c:v>152</c:v>
                </c:pt>
                <c:pt idx="347">
                  <c:v>150.66999999999999</c:v>
                </c:pt>
                <c:pt idx="348">
                  <c:v>152.07</c:v>
                </c:pt>
                <c:pt idx="349">
                  <c:v>152.71</c:v>
                </c:pt>
                <c:pt idx="350">
                  <c:v>154.28</c:v>
                </c:pt>
                <c:pt idx="351">
                  <c:v>153.9</c:v>
                </c:pt>
                <c:pt idx="352">
                  <c:v>155.27000000000001</c:v>
                </c:pt>
                <c:pt idx="353">
                  <c:v>154.38</c:v>
                </c:pt>
                <c:pt idx="354">
                  <c:v>156.06</c:v>
                </c:pt>
                <c:pt idx="355">
                  <c:v>155.28</c:v>
                </c:pt>
                <c:pt idx="356">
                  <c:v>152.93</c:v>
                </c:pt>
                <c:pt idx="357">
                  <c:v>149.6</c:v>
                </c:pt>
                <c:pt idx="358">
                  <c:v>147.35</c:v>
                </c:pt>
                <c:pt idx="359">
                  <c:v>149.71</c:v>
                </c:pt>
                <c:pt idx="360">
                  <c:v>151.94999999999999</c:v>
                </c:pt>
                <c:pt idx="361">
                  <c:v>153.85</c:v>
                </c:pt>
                <c:pt idx="362">
                  <c:v>154.06</c:v>
                </c:pt>
                <c:pt idx="363">
                  <c:v>155.30000000000001</c:v>
                </c:pt>
                <c:pt idx="364">
                  <c:v>154.22</c:v>
                </c:pt>
                <c:pt idx="365">
                  <c:v>156.12</c:v>
                </c:pt>
                <c:pt idx="366">
                  <c:v>156.77000000000001</c:v>
                </c:pt>
                <c:pt idx="367">
                  <c:v>153.66999999999999</c:v>
                </c:pt>
                <c:pt idx="368">
                  <c:v>155.30000000000001</c:v>
                </c:pt>
                <c:pt idx="369">
                  <c:v>158.02000000000001</c:v>
                </c:pt>
                <c:pt idx="370">
                  <c:v>157.54</c:v>
                </c:pt>
                <c:pt idx="371">
                  <c:v>158.25</c:v>
                </c:pt>
                <c:pt idx="372">
                  <c:v>158</c:v>
                </c:pt>
                <c:pt idx="373">
                  <c:v>157.91999999999999</c:v>
                </c:pt>
                <c:pt idx="374">
                  <c:v>159.37</c:v>
                </c:pt>
                <c:pt idx="375">
                  <c:v>160.41999999999999</c:v>
                </c:pt>
                <c:pt idx="376">
                  <c:v>159.78</c:v>
                </c:pt>
                <c:pt idx="377">
                  <c:v>160.80000000000001</c:v>
                </c:pt>
                <c:pt idx="378">
                  <c:v>161.55000000000001</c:v>
                </c:pt>
                <c:pt idx="379">
                  <c:v>161.28</c:v>
                </c:pt>
                <c:pt idx="380">
                  <c:v>161.38</c:v>
                </c:pt>
                <c:pt idx="381">
                  <c:v>162.36000000000001</c:v>
                </c:pt>
                <c:pt idx="382">
                  <c:v>162.69</c:v>
                </c:pt>
                <c:pt idx="383">
                  <c:v>161.59</c:v>
                </c:pt>
                <c:pt idx="384">
                  <c:v>161.18</c:v>
                </c:pt>
                <c:pt idx="385">
                  <c:v>159.59</c:v>
                </c:pt>
                <c:pt idx="386">
                  <c:v>161.21</c:v>
                </c:pt>
                <c:pt idx="387">
                  <c:v>161.74</c:v>
                </c:pt>
                <c:pt idx="388">
                  <c:v>162.41</c:v>
                </c:pt>
                <c:pt idx="389">
                  <c:v>164.08</c:v>
                </c:pt>
                <c:pt idx="390">
                  <c:v>164.9</c:v>
                </c:pt>
                <c:pt idx="391">
                  <c:v>161.80000000000001</c:v>
                </c:pt>
                <c:pt idx="392">
                  <c:v>148.87</c:v>
                </c:pt>
                <c:pt idx="393">
                  <c:v>151.12</c:v>
                </c:pt>
                <c:pt idx="394">
                  <c:v>153.71</c:v>
                </c:pt>
                <c:pt idx="395">
                  <c:v>151.62</c:v>
                </c:pt>
                <c:pt idx="396">
                  <c:v>149.25</c:v>
                </c:pt>
                <c:pt idx="397">
                  <c:v>147.36000000000001</c:v>
                </c:pt>
                <c:pt idx="398">
                  <c:v>148.03</c:v>
                </c:pt>
                <c:pt idx="399">
                  <c:v>147.44999999999999</c:v>
                </c:pt>
                <c:pt idx="400">
                  <c:v>146.83000000000001</c:v>
                </c:pt>
                <c:pt idx="401">
                  <c:v>146.41999999999999</c:v>
                </c:pt>
                <c:pt idx="402">
                  <c:v>146.59</c:v>
                </c:pt>
                <c:pt idx="403">
                  <c:v>147.15</c:v>
                </c:pt>
                <c:pt idx="404">
                  <c:v>146.59</c:v>
                </c:pt>
                <c:pt idx="405">
                  <c:v>143.29</c:v>
                </c:pt>
                <c:pt idx="406">
                  <c:v>143.35</c:v>
                </c:pt>
                <c:pt idx="407">
                  <c:v>143.44</c:v>
                </c:pt>
                <c:pt idx="408">
                  <c:v>145.11000000000001</c:v>
                </c:pt>
                <c:pt idx="409">
                  <c:v>144.9</c:v>
                </c:pt>
                <c:pt idx="410">
                  <c:v>142.52000000000001</c:v>
                </c:pt>
                <c:pt idx="411">
                  <c:v>141.15</c:v>
                </c:pt>
                <c:pt idx="412">
                  <c:v>138.62</c:v>
                </c:pt>
                <c:pt idx="413">
                  <c:v>137.56</c:v>
                </c:pt>
                <c:pt idx="414">
                  <c:v>136.44</c:v>
                </c:pt>
                <c:pt idx="415">
                  <c:v>137.96</c:v>
                </c:pt>
                <c:pt idx="416">
                  <c:v>133.44</c:v>
                </c:pt>
                <c:pt idx="417">
                  <c:v>136.87</c:v>
                </c:pt>
                <c:pt idx="418">
                  <c:v>136.86000000000001</c:v>
                </c:pt>
                <c:pt idx="419">
                  <c:v>135.43</c:v>
                </c:pt>
                <c:pt idx="420">
                  <c:v>136.5</c:v>
                </c:pt>
                <c:pt idx="421">
                  <c:v>137.63999999999999</c:v>
                </c:pt>
                <c:pt idx="422">
                  <c:v>138.18</c:v>
                </c:pt>
                <c:pt idx="423">
                  <c:v>137.72999999999999</c:v>
                </c:pt>
                <c:pt idx="424">
                  <c:v>138.31</c:v>
                </c:pt>
                <c:pt idx="425">
                  <c:v>136.22999999999999</c:v>
                </c:pt>
                <c:pt idx="426">
                  <c:v>135.88999999999999</c:v>
                </c:pt>
                <c:pt idx="427">
                  <c:v>138.63999999999999</c:v>
                </c:pt>
                <c:pt idx="428">
                  <c:v>137.82</c:v>
                </c:pt>
                <c:pt idx="429">
                  <c:v>136.86000000000001</c:v>
                </c:pt>
                <c:pt idx="430">
                  <c:v>137.41</c:v>
                </c:pt>
                <c:pt idx="431">
                  <c:v>135.91999999999999</c:v>
                </c:pt>
                <c:pt idx="432">
                  <c:v>134.94999999999999</c:v>
                </c:pt>
                <c:pt idx="433">
                  <c:v>132.6</c:v>
                </c:pt>
                <c:pt idx="434">
                  <c:v>132.51</c:v>
                </c:pt>
                <c:pt idx="435">
                  <c:v>133.22999999999999</c:v>
                </c:pt>
                <c:pt idx="436">
                  <c:v>134.72999999999999</c:v>
                </c:pt>
                <c:pt idx="437">
                  <c:v>135.01</c:v>
                </c:pt>
                <c:pt idx="438">
                  <c:v>137.62</c:v>
                </c:pt>
                <c:pt idx="439">
                  <c:v>137.25</c:v>
                </c:pt>
                <c:pt idx="440">
                  <c:v>135.5</c:v>
                </c:pt>
                <c:pt idx="441">
                  <c:v>134.49</c:v>
                </c:pt>
                <c:pt idx="442">
                  <c:v>135.57</c:v>
                </c:pt>
                <c:pt idx="443">
                  <c:v>134.97999999999999</c:v>
                </c:pt>
                <c:pt idx="444">
                  <c:v>133.59</c:v>
                </c:pt>
                <c:pt idx="445">
                  <c:v>136.01</c:v>
                </c:pt>
                <c:pt idx="446">
                  <c:v>134.83000000000001</c:v>
                </c:pt>
                <c:pt idx="447">
                  <c:v>136.58000000000001</c:v>
                </c:pt>
                <c:pt idx="448">
                  <c:v>137.68</c:v>
                </c:pt>
                <c:pt idx="449">
                  <c:v>142.19</c:v>
                </c:pt>
                <c:pt idx="450">
                  <c:v>143.74</c:v>
                </c:pt>
                <c:pt idx="451">
                  <c:v>143.18</c:v>
                </c:pt>
                <c:pt idx="452">
                  <c:v>141.63</c:v>
                </c:pt>
                <c:pt idx="453">
                  <c:v>141.9</c:v>
                </c:pt>
                <c:pt idx="454">
                  <c:v>148.85</c:v>
                </c:pt>
                <c:pt idx="455">
                  <c:v>150.85</c:v>
                </c:pt>
                <c:pt idx="456">
                  <c:v>149.58000000000001</c:v>
                </c:pt>
                <c:pt idx="457">
                  <c:v>148.54</c:v>
                </c:pt>
                <c:pt idx="458">
                  <c:v>149.38</c:v>
                </c:pt>
                <c:pt idx="459">
                  <c:v>149.05000000000001</c:v>
                </c:pt>
                <c:pt idx="460">
                  <c:v>147.72999999999999</c:v>
                </c:pt>
                <c:pt idx="461">
                  <c:v>150.33000000000001</c:v>
                </c:pt>
                <c:pt idx="462">
                  <c:v>149.62</c:v>
                </c:pt>
                <c:pt idx="463">
                  <c:v>150.77000000000001</c:v>
                </c:pt>
                <c:pt idx="464">
                  <c:v>151.44</c:v>
                </c:pt>
                <c:pt idx="465">
                  <c:v>152.18</c:v>
                </c:pt>
                <c:pt idx="466">
                  <c:v>152.27000000000001</c:v>
                </c:pt>
                <c:pt idx="467">
                  <c:v>152.12</c:v>
                </c:pt>
                <c:pt idx="468">
                  <c:v>151.55000000000001</c:v>
                </c:pt>
                <c:pt idx="469">
                  <c:v>150.02000000000001</c:v>
                </c:pt>
                <c:pt idx="470">
                  <c:v>150.13999999999999</c:v>
                </c:pt>
                <c:pt idx="471">
                  <c:v>150.16</c:v>
                </c:pt>
                <c:pt idx="472">
                  <c:v>148.24</c:v>
                </c:pt>
                <c:pt idx="473">
                  <c:v>147.08000000000001</c:v>
                </c:pt>
                <c:pt idx="474">
                  <c:v>146.63</c:v>
                </c:pt>
                <c:pt idx="475">
                  <c:v>146.69</c:v>
                </c:pt>
                <c:pt idx="476">
                  <c:v>147.43</c:v>
                </c:pt>
                <c:pt idx="477">
                  <c:v>147.59</c:v>
                </c:pt>
                <c:pt idx="478">
                  <c:v>148.32</c:v>
                </c:pt>
                <c:pt idx="479">
                  <c:v>146.96</c:v>
                </c:pt>
                <c:pt idx="480">
                  <c:v>148.19999999999999</c:v>
                </c:pt>
                <c:pt idx="481">
                  <c:v>146.1</c:v>
                </c:pt>
                <c:pt idx="482">
                  <c:v>145.61000000000001</c:v>
                </c:pt>
                <c:pt idx="483">
                  <c:v>148.91</c:v>
                </c:pt>
                <c:pt idx="484">
                  <c:v>149.02000000000001</c:v>
                </c:pt>
                <c:pt idx="485">
                  <c:v>149.04</c:v>
                </c:pt>
                <c:pt idx="486">
                  <c:v>149.27000000000001</c:v>
                </c:pt>
                <c:pt idx="487">
                  <c:v>151.16</c:v>
                </c:pt>
                <c:pt idx="488">
                  <c:v>153.63999999999999</c:v>
                </c:pt>
                <c:pt idx="489">
                  <c:v>152.12</c:v>
                </c:pt>
                <c:pt idx="490">
                  <c:v>153.94</c:v>
                </c:pt>
                <c:pt idx="491">
                  <c:v>153.49</c:v>
                </c:pt>
                <c:pt idx="492">
                  <c:v>153.61000000000001</c:v>
                </c:pt>
                <c:pt idx="493">
                  <c:v>153.43</c:v>
                </c:pt>
                <c:pt idx="494">
                  <c:v>152.74</c:v>
                </c:pt>
                <c:pt idx="495">
                  <c:v>154.65</c:v>
                </c:pt>
                <c:pt idx="496">
                  <c:v>153.91</c:v>
                </c:pt>
                <c:pt idx="497">
                  <c:v>153.13</c:v>
                </c:pt>
                <c:pt idx="498">
                  <c:v>152.25</c:v>
                </c:pt>
                <c:pt idx="499">
                  <c:v>149.06</c:v>
                </c:pt>
                <c:pt idx="500">
                  <c:v>148.25</c:v>
                </c:pt>
                <c:pt idx="501">
                  <c:v>147.43</c:v>
                </c:pt>
                <c:pt idx="502">
                  <c:v>147.69</c:v>
                </c:pt>
                <c:pt idx="503">
                  <c:v>147.44999999999999</c:v>
                </c:pt>
                <c:pt idx="504">
                  <c:v>148.24</c:v>
                </c:pt>
                <c:pt idx="505">
                  <c:v>149.11000000000001</c:v>
                </c:pt>
                <c:pt idx="506">
                  <c:v>148.88999999999999</c:v>
                </c:pt>
                <c:pt idx="507">
                  <c:v>149.34</c:v>
                </c:pt>
                <c:pt idx="508">
                  <c:v>148.30000000000001</c:v>
                </c:pt>
                <c:pt idx="509">
                  <c:v>147.96</c:v>
                </c:pt>
                <c:pt idx="510">
                  <c:v>147.22999999999999</c:v>
                </c:pt>
                <c:pt idx="511">
                  <c:v>149.18</c:v>
                </c:pt>
                <c:pt idx="512">
                  <c:v>149.28</c:v>
                </c:pt>
                <c:pt idx="513">
                  <c:v>145.52000000000001</c:v>
                </c:pt>
                <c:pt idx="514">
                  <c:v>146.22999999999999</c:v>
                </c:pt>
                <c:pt idx="515">
                  <c:v>144.72999999999999</c:v>
                </c:pt>
                <c:pt idx="516">
                  <c:v>146.31</c:v>
                </c:pt>
                <c:pt idx="517">
                  <c:v>145.26</c:v>
                </c:pt>
                <c:pt idx="518">
                  <c:v>145.19999999999999</c:v>
                </c:pt>
                <c:pt idx="519">
                  <c:v>138.93</c:v>
                </c:pt>
                <c:pt idx="520">
                  <c:v>141.88999999999999</c:v>
                </c:pt>
                <c:pt idx="521">
                  <c:v>141.18</c:v>
                </c:pt>
                <c:pt idx="522">
                  <c:v>142.47</c:v>
                </c:pt>
                <c:pt idx="523">
                  <c:v>143.26</c:v>
                </c:pt>
                <c:pt idx="524">
                  <c:v>141.41999999999999</c:v>
                </c:pt>
                <c:pt idx="525">
                  <c:v>141.19999999999999</c:v>
                </c:pt>
                <c:pt idx="526">
                  <c:v>142.16</c:v>
                </c:pt>
                <c:pt idx="527">
                  <c:v>142.03</c:v>
                </c:pt>
                <c:pt idx="528">
                  <c:v>138.04</c:v>
                </c:pt>
                <c:pt idx="529">
                  <c:v>138.59</c:v>
                </c:pt>
                <c:pt idx="530">
                  <c:v>138.63999999999999</c:v>
                </c:pt>
                <c:pt idx="531">
                  <c:v>138.06</c:v>
                </c:pt>
                <c:pt idx="532">
                  <c:v>137.6</c:v>
                </c:pt>
                <c:pt idx="533">
                  <c:v>138.28</c:v>
                </c:pt>
                <c:pt idx="534">
                  <c:v>138.30000000000001</c:v>
                </c:pt>
                <c:pt idx="535">
                  <c:v>138.31</c:v>
                </c:pt>
                <c:pt idx="536">
                  <c:v>138.72999999999999</c:v>
                </c:pt>
                <c:pt idx="537">
                  <c:v>138.47</c:v>
                </c:pt>
                <c:pt idx="538">
                  <c:v>138.66999999999999</c:v>
                </c:pt>
                <c:pt idx="539">
                  <c:v>139.09</c:v>
                </c:pt>
                <c:pt idx="540">
                  <c:v>138.08000000000001</c:v>
                </c:pt>
                <c:pt idx="541">
                  <c:v>138.5</c:v>
                </c:pt>
                <c:pt idx="542">
                  <c:v>142.38999999999999</c:v>
                </c:pt>
                <c:pt idx="543">
                  <c:v>143.41</c:v>
                </c:pt>
                <c:pt idx="544">
                  <c:v>144.15</c:v>
                </c:pt>
                <c:pt idx="545">
                  <c:v>144.57</c:v>
                </c:pt>
                <c:pt idx="546">
                  <c:v>146.38</c:v>
                </c:pt>
                <c:pt idx="547">
                  <c:v>147.97</c:v>
                </c:pt>
                <c:pt idx="548">
                  <c:v>149.28</c:v>
                </c:pt>
                <c:pt idx="549">
                  <c:v>151.24</c:v>
                </c:pt>
                <c:pt idx="550">
                  <c:v>153.24</c:v>
                </c:pt>
                <c:pt idx="551">
                  <c:v>154.30000000000001</c:v>
                </c:pt>
                <c:pt idx="552">
                  <c:v>154.88</c:v>
                </c:pt>
                <c:pt idx="553">
                  <c:v>154.04</c:v>
                </c:pt>
                <c:pt idx="554">
                  <c:v>153.41999999999999</c:v>
                </c:pt>
                <c:pt idx="555">
                  <c:v>153.6</c:v>
                </c:pt>
                <c:pt idx="556">
                  <c:v>151.69</c:v>
                </c:pt>
                <c:pt idx="557">
                  <c:v>152.59</c:v>
                </c:pt>
                <c:pt idx="558">
                  <c:v>154.94</c:v>
                </c:pt>
                <c:pt idx="559">
                  <c:v>154.62</c:v>
                </c:pt>
                <c:pt idx="560">
                  <c:v>154.88</c:v>
                </c:pt>
                <c:pt idx="561">
                  <c:v>154.75</c:v>
                </c:pt>
                <c:pt idx="562">
                  <c:v>154.97</c:v>
                </c:pt>
                <c:pt idx="563">
                  <c:v>159.82</c:v>
                </c:pt>
                <c:pt idx="564">
                  <c:v>160.46</c:v>
                </c:pt>
                <c:pt idx="565">
                  <c:v>161.46</c:v>
                </c:pt>
                <c:pt idx="566">
                  <c:v>162.13999999999999</c:v>
                </c:pt>
                <c:pt idx="567">
                  <c:v>161.43</c:v>
                </c:pt>
                <c:pt idx="568">
                  <c:v>162.31</c:v>
                </c:pt>
                <c:pt idx="569">
                  <c:v>164.89</c:v>
                </c:pt>
                <c:pt idx="570">
                  <c:v>163.78</c:v>
                </c:pt>
                <c:pt idx="571">
                  <c:v>162.4</c:v>
                </c:pt>
                <c:pt idx="572">
                  <c:v>161.47999999999999</c:v>
                </c:pt>
                <c:pt idx="573">
                  <c:v>162.04</c:v>
                </c:pt>
                <c:pt idx="574">
                  <c:v>163.30000000000001</c:v>
                </c:pt>
                <c:pt idx="575">
                  <c:v>164.77</c:v>
                </c:pt>
                <c:pt idx="576">
                  <c:v>165.39</c:v>
                </c:pt>
                <c:pt idx="577">
                  <c:v>167.5</c:v>
                </c:pt>
                <c:pt idx="578">
                  <c:v>164.22</c:v>
                </c:pt>
                <c:pt idx="579">
                  <c:v>165.13</c:v>
                </c:pt>
                <c:pt idx="580">
                  <c:v>164.4</c:v>
                </c:pt>
                <c:pt idx="581">
                  <c:v>163.91</c:v>
                </c:pt>
                <c:pt idx="582">
                  <c:v>164.92</c:v>
                </c:pt>
                <c:pt idx="583">
                  <c:v>164.4</c:v>
                </c:pt>
                <c:pt idx="584">
                  <c:v>167.59</c:v>
                </c:pt>
                <c:pt idx="585">
                  <c:v>168.67</c:v>
                </c:pt>
                <c:pt idx="586">
                  <c:v>171.26</c:v>
                </c:pt>
                <c:pt idx="587">
                  <c:v>173.29</c:v>
                </c:pt>
                <c:pt idx="588">
                  <c:v>175.01</c:v>
                </c:pt>
                <c:pt idx="589">
                  <c:v>174.79</c:v>
                </c:pt>
                <c:pt idx="590">
                  <c:v>174.08</c:v>
                </c:pt>
                <c:pt idx="591">
                  <c:v>173.07</c:v>
                </c:pt>
                <c:pt idx="592">
                  <c:v>173.29</c:v>
                </c:pt>
                <c:pt idx="593">
                  <c:v>174.42</c:v>
                </c:pt>
                <c:pt idx="594">
                  <c:v>176.59</c:v>
                </c:pt>
                <c:pt idx="595">
                  <c:v>177.49</c:v>
                </c:pt>
                <c:pt idx="596">
                  <c:v>175.75</c:v>
                </c:pt>
                <c:pt idx="597">
                  <c:v>175.14</c:v>
                </c:pt>
                <c:pt idx="598">
                  <c:v>176.75</c:v>
                </c:pt>
                <c:pt idx="599">
                  <c:v>178.09</c:v>
                </c:pt>
                <c:pt idx="600">
                  <c:v>178.81</c:v>
                </c:pt>
                <c:pt idx="601">
                  <c:v>178.99</c:v>
                </c:pt>
                <c:pt idx="602">
                  <c:v>178</c:v>
                </c:pt>
                <c:pt idx="603">
                  <c:v>176.05</c:v>
                </c:pt>
                <c:pt idx="604">
                  <c:v>178.91</c:v>
                </c:pt>
                <c:pt idx="605">
                  <c:v>177.05</c:v>
                </c:pt>
                <c:pt idx="606">
                  <c:v>179.16</c:v>
                </c:pt>
                <c:pt idx="607">
                  <c:v>181.06</c:v>
                </c:pt>
                <c:pt idx="608">
                  <c:v>180.57</c:v>
                </c:pt>
                <c:pt idx="609">
                  <c:v>178.85</c:v>
                </c:pt>
                <c:pt idx="610">
                  <c:v>179.63</c:v>
                </c:pt>
                <c:pt idx="611">
                  <c:v>180.92</c:v>
                </c:pt>
                <c:pt idx="612">
                  <c:v>179.86</c:v>
                </c:pt>
                <c:pt idx="613">
                  <c:v>181.2</c:v>
                </c:pt>
                <c:pt idx="614">
                  <c:v>177.88</c:v>
                </c:pt>
                <c:pt idx="615">
                  <c:v>178.49</c:v>
                </c:pt>
                <c:pt idx="616">
                  <c:v>179.66</c:v>
                </c:pt>
                <c:pt idx="617">
                  <c:v>176.27</c:v>
                </c:pt>
                <c:pt idx="618">
                  <c:v>177.5</c:v>
                </c:pt>
                <c:pt idx="619">
                  <c:v>178.45</c:v>
                </c:pt>
                <c:pt idx="620">
                  <c:v>178.53</c:v>
                </c:pt>
                <c:pt idx="621">
                  <c:v>179.19</c:v>
                </c:pt>
                <c:pt idx="622">
                  <c:v>180.35</c:v>
                </c:pt>
                <c:pt idx="623">
                  <c:v>182.1</c:v>
                </c:pt>
                <c:pt idx="624">
                  <c:v>180.76</c:v>
                </c:pt>
                <c:pt idx="625">
                  <c:v>180.69</c:v>
                </c:pt>
                <c:pt idx="626">
                  <c:v>177.33</c:v>
                </c:pt>
                <c:pt idx="627">
                  <c:v>167.9</c:v>
                </c:pt>
                <c:pt idx="628">
                  <c:v>170</c:v>
                </c:pt>
                <c:pt idx="629">
                  <c:v>169.8</c:v>
                </c:pt>
                <c:pt idx="630">
                  <c:v>170.14</c:v>
                </c:pt>
                <c:pt idx="631">
                  <c:v>169.03</c:v>
                </c:pt>
                <c:pt idx="632">
                  <c:v>167.52</c:v>
                </c:pt>
                <c:pt idx="633">
                  <c:v>162.28</c:v>
                </c:pt>
                <c:pt idx="634">
                  <c:v>161.66999999999999</c:v>
                </c:pt>
                <c:pt idx="635">
                  <c:v>162.54</c:v>
                </c:pt>
                <c:pt idx="636">
                  <c:v>164.25</c:v>
                </c:pt>
                <c:pt idx="637">
                  <c:v>164.66</c:v>
                </c:pt>
                <c:pt idx="638">
                  <c:v>166.41</c:v>
                </c:pt>
                <c:pt idx="639">
                  <c:v>167.89</c:v>
                </c:pt>
                <c:pt idx="640">
                  <c:v>169.54</c:v>
                </c:pt>
                <c:pt idx="641">
                  <c:v>167.8</c:v>
                </c:pt>
                <c:pt idx="642">
                  <c:v>167.29</c:v>
                </c:pt>
                <c:pt idx="643">
                  <c:v>159.62</c:v>
                </c:pt>
                <c:pt idx="644">
                  <c:v>161.52000000000001</c:v>
                </c:pt>
                <c:pt idx="645">
                  <c:v>162.63999999999999</c:v>
                </c:pt>
                <c:pt idx="646">
                  <c:v>161.72</c:v>
                </c:pt>
                <c:pt idx="647">
                  <c:v>160.81</c:v>
                </c:pt>
                <c:pt idx="648">
                  <c:v>163.79</c:v>
                </c:pt>
                <c:pt idx="649">
                  <c:v>162.72999999999999</c:v>
                </c:pt>
                <c:pt idx="650">
                  <c:v>162.55000000000001</c:v>
                </c:pt>
                <c:pt idx="651">
                  <c:v>160.44999999999999</c:v>
                </c:pt>
                <c:pt idx="652">
                  <c:v>160.4</c:v>
                </c:pt>
                <c:pt idx="653">
                  <c:v>160.75</c:v>
                </c:pt>
                <c:pt idx="654">
                  <c:v>161.28</c:v>
                </c:pt>
                <c:pt idx="655">
                  <c:v>161.59</c:v>
                </c:pt>
                <c:pt idx="656">
                  <c:v>163.79</c:v>
                </c:pt>
                <c:pt idx="657">
                  <c:v>164.35</c:v>
                </c:pt>
                <c:pt idx="658">
                  <c:v>166.42</c:v>
                </c:pt>
                <c:pt idx="659">
                  <c:v>164.56</c:v>
                </c:pt>
                <c:pt idx="660">
                  <c:v>162.93</c:v>
                </c:pt>
                <c:pt idx="661">
                  <c:v>159.61000000000001</c:v>
                </c:pt>
                <c:pt idx="662">
                  <c:v>158.26</c:v>
                </c:pt>
                <c:pt idx="663">
                  <c:v>157.06</c:v>
                </c:pt>
                <c:pt idx="664">
                  <c:v>155.34</c:v>
                </c:pt>
                <c:pt idx="665">
                  <c:v>154.79</c:v>
                </c:pt>
                <c:pt idx="666">
                  <c:v>156.31</c:v>
                </c:pt>
                <c:pt idx="667">
                  <c:v>161.24</c:v>
                </c:pt>
                <c:pt idx="668">
                  <c:v>160.19</c:v>
                </c:pt>
                <c:pt idx="669">
                  <c:v>162.13999999999999</c:v>
                </c:pt>
                <c:pt idx="670">
                  <c:v>165.44</c:v>
                </c:pt>
                <c:pt idx="671">
                  <c:v>168.57</c:v>
                </c:pt>
                <c:pt idx="672">
                  <c:v>169.42</c:v>
                </c:pt>
                <c:pt idx="673">
                  <c:v>170.46</c:v>
                </c:pt>
                <c:pt idx="674">
                  <c:v>167.7</c:v>
                </c:pt>
                <c:pt idx="675">
                  <c:v>166.09</c:v>
                </c:pt>
                <c:pt idx="676">
                  <c:v>166.56</c:v>
                </c:pt>
                <c:pt idx="677">
                  <c:v>168.59</c:v>
                </c:pt>
                <c:pt idx="678">
                  <c:v>169.68</c:v>
                </c:pt>
                <c:pt idx="679">
                  <c:v>171.36</c:v>
                </c:pt>
                <c:pt idx="680">
                  <c:v>172.13</c:v>
                </c:pt>
                <c:pt idx="681">
                  <c:v>170.39</c:v>
                </c:pt>
                <c:pt idx="682">
                  <c:v>172.74</c:v>
                </c:pt>
                <c:pt idx="683">
                  <c:v>170.75</c:v>
                </c:pt>
                <c:pt idx="684">
                  <c:v>171.15</c:v>
                </c:pt>
                <c:pt idx="685">
                  <c:v>168.99</c:v>
                </c:pt>
                <c:pt idx="686">
                  <c:v>171.52</c:v>
                </c:pt>
                <c:pt idx="687">
                  <c:v>170.37</c:v>
                </c:pt>
                <c:pt idx="688">
                  <c:v>165.96</c:v>
                </c:pt>
                <c:pt idx="689">
                  <c:v>163.84</c:v>
                </c:pt>
                <c:pt idx="690">
                  <c:v>167.25</c:v>
                </c:pt>
                <c:pt idx="691">
                  <c:v>166.52</c:v>
                </c:pt>
                <c:pt idx="692">
                  <c:v>168.05</c:v>
                </c:pt>
                <c:pt idx="693">
                  <c:v>168.14</c:v>
                </c:pt>
                <c:pt idx="694">
                  <c:v>169.91</c:v>
                </c:pt>
                <c:pt idx="695">
                  <c:v>170.28</c:v>
                </c:pt>
                <c:pt idx="696">
                  <c:v>168.03</c:v>
                </c:pt>
                <c:pt idx="697">
                  <c:v>169.2</c:v>
                </c:pt>
                <c:pt idx="698">
                  <c:v>175.27</c:v>
                </c:pt>
                <c:pt idx="699">
                  <c:v>171.14</c:v>
                </c:pt>
                <c:pt idx="700">
                  <c:v>172.32</c:v>
                </c:pt>
                <c:pt idx="701">
                  <c:v>173.61</c:v>
                </c:pt>
                <c:pt idx="702">
                  <c:v>173.15</c:v>
                </c:pt>
                <c:pt idx="703">
                  <c:v>176.21</c:v>
                </c:pt>
                <c:pt idx="704">
                  <c:v>182.17</c:v>
                </c:pt>
                <c:pt idx="705">
                  <c:v>185.16</c:v>
                </c:pt>
                <c:pt idx="706">
                  <c:v>181.94</c:v>
                </c:pt>
                <c:pt idx="707">
                  <c:v>186.78</c:v>
                </c:pt>
                <c:pt idx="708">
                  <c:v>185.32</c:v>
                </c:pt>
                <c:pt idx="709">
                  <c:v>189.71</c:v>
                </c:pt>
                <c:pt idx="710">
                  <c:v>189.29</c:v>
                </c:pt>
                <c:pt idx="711">
                  <c:v>184.36</c:v>
                </c:pt>
                <c:pt idx="712">
                  <c:v>185.71</c:v>
                </c:pt>
                <c:pt idx="713">
                  <c:v>187.51</c:v>
                </c:pt>
                <c:pt idx="714">
                  <c:v>190.4</c:v>
                </c:pt>
                <c:pt idx="715">
                  <c:v>189.93</c:v>
                </c:pt>
                <c:pt idx="716">
                  <c:v>190.18</c:v>
                </c:pt>
                <c:pt idx="717">
                  <c:v>191.23</c:v>
                </c:pt>
                <c:pt idx="718">
                  <c:v>193</c:v>
                </c:pt>
                <c:pt idx="719">
                  <c:v>193.4</c:v>
                </c:pt>
                <c:pt idx="720">
                  <c:v>193.9</c:v>
                </c:pt>
                <c:pt idx="721">
                  <c:v>196.87</c:v>
                </c:pt>
                <c:pt idx="722">
                  <c:v>196.15</c:v>
                </c:pt>
                <c:pt idx="723">
                  <c:v>196.53</c:v>
                </c:pt>
                <c:pt idx="724">
                  <c:v>196.37</c:v>
                </c:pt>
                <c:pt idx="725">
                  <c:v>197.55</c:v>
                </c:pt>
                <c:pt idx="726">
                  <c:v>197.44</c:v>
                </c:pt>
                <c:pt idx="727">
                  <c:v>195.92</c:v>
                </c:pt>
                <c:pt idx="728">
                  <c:v>195.4</c:v>
                </c:pt>
                <c:pt idx="729">
                  <c:v>195.18</c:v>
                </c:pt>
                <c:pt idx="730">
                  <c:v>196.31</c:v>
                </c:pt>
                <c:pt idx="731">
                  <c:v>197.69</c:v>
                </c:pt>
                <c:pt idx="732">
                  <c:v>197.01</c:v>
                </c:pt>
                <c:pt idx="733">
                  <c:v>192.86</c:v>
                </c:pt>
                <c:pt idx="734">
                  <c:v>193.4</c:v>
                </c:pt>
                <c:pt idx="735">
                  <c:v>196.42</c:v>
                </c:pt>
                <c:pt idx="736">
                  <c:v>199.35</c:v>
                </c:pt>
                <c:pt idx="737">
                  <c:v>194.59</c:v>
                </c:pt>
                <c:pt idx="738">
                  <c:v>194.02</c:v>
                </c:pt>
                <c:pt idx="739">
                  <c:v>194.21</c:v>
                </c:pt>
                <c:pt idx="740">
                  <c:v>195.73</c:v>
                </c:pt>
                <c:pt idx="741">
                  <c:v>193.45</c:v>
                </c:pt>
                <c:pt idx="742">
                  <c:v>192.94</c:v>
                </c:pt>
                <c:pt idx="743">
                  <c:v>193.62</c:v>
                </c:pt>
                <c:pt idx="744">
                  <c:v>193.47</c:v>
                </c:pt>
                <c:pt idx="745">
                  <c:v>193.83</c:v>
                </c:pt>
                <c:pt idx="746">
                  <c:v>193.51</c:v>
                </c:pt>
                <c:pt idx="747">
                  <c:v>191.26</c:v>
                </c:pt>
                <c:pt idx="748">
                  <c:v>191.9</c:v>
                </c:pt>
                <c:pt idx="749">
                  <c:v>194.79</c:v>
                </c:pt>
                <c:pt idx="750">
                  <c:v>197.48</c:v>
                </c:pt>
                <c:pt idx="751">
                  <c:v>196.96</c:v>
                </c:pt>
                <c:pt idx="752">
                  <c:v>196.82</c:v>
                </c:pt>
                <c:pt idx="753">
                  <c:v>195.45</c:v>
                </c:pt>
                <c:pt idx="754">
                  <c:v>194.29</c:v>
                </c:pt>
                <c:pt idx="755">
                  <c:v>193.61</c:v>
                </c:pt>
                <c:pt idx="756">
                  <c:v>193.01</c:v>
                </c:pt>
                <c:pt idx="757">
                  <c:v>194.75</c:v>
                </c:pt>
                <c:pt idx="758">
                  <c:v>194.35</c:v>
                </c:pt>
                <c:pt idx="759">
                  <c:v>194.19</c:v>
                </c:pt>
                <c:pt idx="760">
                  <c:v>195.65</c:v>
                </c:pt>
                <c:pt idx="761">
                  <c:v>191.86</c:v>
                </c:pt>
                <c:pt idx="762">
                  <c:v>190.46</c:v>
                </c:pt>
                <c:pt idx="763">
                  <c:v>188.57</c:v>
                </c:pt>
                <c:pt idx="764">
                  <c:v>188.86</c:v>
                </c:pt>
                <c:pt idx="765">
                  <c:v>186.54</c:v>
                </c:pt>
                <c:pt idx="766">
                  <c:v>188.76</c:v>
                </c:pt>
                <c:pt idx="767">
                  <c:v>187.88</c:v>
                </c:pt>
                <c:pt idx="768">
                  <c:v>189.65</c:v>
                </c:pt>
                <c:pt idx="769">
                  <c:v>187.85</c:v>
                </c:pt>
                <c:pt idx="770">
                  <c:v>189.68</c:v>
                </c:pt>
                <c:pt idx="771">
                  <c:v>189.45</c:v>
                </c:pt>
                <c:pt idx="772">
                  <c:v>201.5</c:v>
                </c:pt>
                <c:pt idx="773">
                  <c:v>203.87</c:v>
                </c:pt>
                <c:pt idx="774">
                  <c:v>203.55</c:v>
                </c:pt>
                <c:pt idx="775">
                  <c:v>200.47</c:v>
                </c:pt>
                <c:pt idx="776">
                  <c:v>201.68</c:v>
                </c:pt>
                <c:pt idx="777">
                  <c:v>201.2</c:v>
                </c:pt>
                <c:pt idx="778">
                  <c:v>200.51</c:v>
                </c:pt>
                <c:pt idx="779">
                  <c:v>199.5</c:v>
                </c:pt>
                <c:pt idx="780">
                  <c:v>174.43</c:v>
                </c:pt>
                <c:pt idx="781">
                  <c:v>171.09</c:v>
                </c:pt>
                <c:pt idx="782">
                  <c:v>170.35</c:v>
                </c:pt>
                <c:pt idx="783">
                  <c:v>169.63</c:v>
                </c:pt>
                <c:pt idx="784">
                  <c:v>164.99</c:v>
                </c:pt>
                <c:pt idx="785">
                  <c:v>166.28</c:v>
                </c:pt>
                <c:pt idx="786">
                  <c:v>166.57</c:v>
                </c:pt>
                <c:pt idx="787">
                  <c:v>167.76</c:v>
                </c:pt>
                <c:pt idx="788">
                  <c:v>171.73</c:v>
                </c:pt>
                <c:pt idx="789">
                  <c:v>176.95</c:v>
                </c:pt>
                <c:pt idx="790">
                  <c:v>177.06</c:v>
                </c:pt>
                <c:pt idx="791">
                  <c:v>181.14</c:v>
                </c:pt>
                <c:pt idx="792">
                  <c:v>183.08</c:v>
                </c:pt>
                <c:pt idx="793">
                  <c:v>182.93</c:v>
                </c:pt>
                <c:pt idx="794">
                  <c:v>181.77</c:v>
                </c:pt>
                <c:pt idx="795">
                  <c:v>181.5</c:v>
                </c:pt>
                <c:pt idx="796">
                  <c:v>176.46</c:v>
                </c:pt>
                <c:pt idx="797">
                  <c:v>176.17</c:v>
                </c:pt>
                <c:pt idx="798">
                  <c:v>176.19</c:v>
                </c:pt>
                <c:pt idx="799">
                  <c:v>176.57</c:v>
                </c:pt>
                <c:pt idx="800">
                  <c:v>175.67</c:v>
                </c:pt>
                <c:pt idx="801">
                  <c:v>174.37</c:v>
                </c:pt>
                <c:pt idx="802">
                  <c:v>173.19</c:v>
                </c:pt>
                <c:pt idx="803">
                  <c:v>173.37</c:v>
                </c:pt>
                <c:pt idx="804">
                  <c:v>171.63</c:v>
                </c:pt>
                <c:pt idx="805">
                  <c:v>175.38</c:v>
                </c:pt>
                <c:pt idx="806">
                  <c:v>173.02</c:v>
                </c:pt>
                <c:pt idx="807">
                  <c:v>171.52</c:v>
                </c:pt>
                <c:pt idx="808">
                  <c:v>175.58</c:v>
                </c:pt>
                <c:pt idx="809">
                  <c:v>178.39</c:v>
                </c:pt>
                <c:pt idx="810">
                  <c:v>180</c:v>
                </c:pt>
                <c:pt idx="811">
                  <c:v>179.2</c:v>
                </c:pt>
                <c:pt idx="812">
                  <c:v>178.01</c:v>
                </c:pt>
                <c:pt idx="813">
                  <c:v>176.2</c:v>
                </c:pt>
                <c:pt idx="814">
                  <c:v>177.7</c:v>
                </c:pt>
                <c:pt idx="815">
                  <c:v>179.44</c:v>
                </c:pt>
                <c:pt idx="816">
                  <c:v>181.22</c:v>
                </c:pt>
                <c:pt idx="817">
                  <c:v>180.1</c:v>
                </c:pt>
                <c:pt idx="818">
                  <c:v>179.53</c:v>
                </c:pt>
                <c:pt idx="819">
                  <c:v>178.5</c:v>
                </c:pt>
                <c:pt idx="820">
                  <c:v>175.17</c:v>
                </c:pt>
                <c:pt idx="821">
                  <c:v>176.74</c:v>
                </c:pt>
                <c:pt idx="822">
                  <c:v>175.55</c:v>
                </c:pt>
                <c:pt idx="823">
                  <c:v>171.35</c:v>
                </c:pt>
                <c:pt idx="824">
                  <c:v>173.7</c:v>
                </c:pt>
                <c:pt idx="825">
                  <c:v>171.56</c:v>
                </c:pt>
                <c:pt idx="826">
                  <c:v>172.61</c:v>
                </c:pt>
                <c:pt idx="827">
                  <c:v>169.2</c:v>
                </c:pt>
                <c:pt idx="828">
                  <c:v>170.67</c:v>
                </c:pt>
                <c:pt idx="829">
                  <c:v>170.3</c:v>
                </c:pt>
                <c:pt idx="830">
                  <c:v>176.9</c:v>
                </c:pt>
                <c:pt idx="831">
                  <c:v>174.81</c:v>
                </c:pt>
                <c:pt idx="832">
                  <c:v>175.26</c:v>
                </c:pt>
                <c:pt idx="833">
                  <c:v>175.65</c:v>
                </c:pt>
                <c:pt idx="834">
                  <c:v>183.9</c:v>
                </c:pt>
                <c:pt idx="835">
                  <c:v>190.14</c:v>
                </c:pt>
                <c:pt idx="836">
                  <c:v>189.95</c:v>
                </c:pt>
                <c:pt idx="837">
                  <c:v>191.75</c:v>
                </c:pt>
                <c:pt idx="838">
                  <c:v>192.97</c:v>
                </c:pt>
                <c:pt idx="839">
                  <c:v>190.6</c:v>
                </c:pt>
                <c:pt idx="840">
                  <c:v>190.34</c:v>
                </c:pt>
                <c:pt idx="841">
                  <c:v>191.83</c:v>
                </c:pt>
                <c:pt idx="842">
                  <c:v>193</c:v>
                </c:pt>
                <c:pt idx="843">
                  <c:v>193.45</c:v>
                </c:pt>
                <c:pt idx="844">
                  <c:v>192.87</c:v>
                </c:pt>
                <c:pt idx="845">
                  <c:v>196.25</c:v>
                </c:pt>
                <c:pt idx="846">
                  <c:v>197.35</c:v>
                </c:pt>
                <c:pt idx="847">
                  <c:v>200.88</c:v>
                </c:pt>
                <c:pt idx="848">
                  <c:v>202.08</c:v>
                </c:pt>
                <c:pt idx="849">
                  <c:v>204.08</c:v>
                </c:pt>
                <c:pt idx="850">
                  <c:v>204.14</c:v>
                </c:pt>
                <c:pt idx="851">
                  <c:v>203.01</c:v>
                </c:pt>
                <c:pt idx="852">
                  <c:v>205.02</c:v>
                </c:pt>
                <c:pt idx="853">
                  <c:v>209.03</c:v>
                </c:pt>
                <c:pt idx="854">
                  <c:v>211.48</c:v>
                </c:pt>
                <c:pt idx="855">
                  <c:v>207.76</c:v>
                </c:pt>
                <c:pt idx="856">
                  <c:v>211.54</c:v>
                </c:pt>
                <c:pt idx="857">
                  <c:v>210.75</c:v>
                </c:pt>
                <c:pt idx="858">
                  <c:v>214.29</c:v>
                </c:pt>
                <c:pt idx="859">
                  <c:v>216.66</c:v>
                </c:pt>
                <c:pt idx="860">
                  <c:v>213.59</c:v>
                </c:pt>
                <c:pt idx="861">
                  <c:v>212.06</c:v>
                </c:pt>
                <c:pt idx="862">
                  <c:v>211.55</c:v>
                </c:pt>
                <c:pt idx="863">
                  <c:v>211.77</c:v>
                </c:pt>
                <c:pt idx="864">
                  <c:v>214.47</c:v>
                </c:pt>
                <c:pt idx="865">
                  <c:v>213.85</c:v>
                </c:pt>
                <c:pt idx="866">
                  <c:v>212.25</c:v>
                </c:pt>
                <c:pt idx="867">
                  <c:v>211.96</c:v>
                </c:pt>
                <c:pt idx="868">
                  <c:v>210.01</c:v>
                </c:pt>
                <c:pt idx="869">
                  <c:v>209.17</c:v>
                </c:pt>
                <c:pt idx="870">
                  <c:v>201.34</c:v>
                </c:pt>
                <c:pt idx="871">
                  <c:v>201.3</c:v>
                </c:pt>
                <c:pt idx="872">
                  <c:v>202.72</c:v>
                </c:pt>
                <c:pt idx="873">
                  <c:v>205.29</c:v>
                </c:pt>
                <c:pt idx="874">
                  <c:v>209.52</c:v>
                </c:pt>
                <c:pt idx="875">
                  <c:v>206.27</c:v>
                </c:pt>
                <c:pt idx="876">
                  <c:v>205.19</c:v>
                </c:pt>
                <c:pt idx="877">
                  <c:v>201.64</c:v>
                </c:pt>
                <c:pt idx="878">
                  <c:v>186.96</c:v>
                </c:pt>
                <c:pt idx="879">
                  <c:v>186.55</c:v>
                </c:pt>
                <c:pt idx="880">
                  <c:v>175.67</c:v>
                </c:pt>
                <c:pt idx="881">
                  <c:v>179.84</c:v>
                </c:pt>
                <c:pt idx="882">
                  <c:v>174.2</c:v>
                </c:pt>
                <c:pt idx="883">
                  <c:v>175.05</c:v>
                </c:pt>
                <c:pt idx="884">
                  <c:v>179.1</c:v>
                </c:pt>
                <c:pt idx="885">
                  <c:v>176.8</c:v>
                </c:pt>
                <c:pt idx="886">
                  <c:v>171.68</c:v>
                </c:pt>
                <c:pt idx="887">
                  <c:v>172.99</c:v>
                </c:pt>
                <c:pt idx="888">
                  <c:v>170.16</c:v>
                </c:pt>
                <c:pt idx="889">
                  <c:v>173.78</c:v>
                </c:pt>
                <c:pt idx="890">
                  <c:v>177.05</c:v>
                </c:pt>
                <c:pt idx="891">
                  <c:v>180.37</c:v>
                </c:pt>
                <c:pt idx="892">
                  <c:v>186.06</c:v>
                </c:pt>
                <c:pt idx="893">
                  <c:v>192.34</c:v>
                </c:pt>
                <c:pt idx="894">
                  <c:v>193.51</c:v>
                </c:pt>
                <c:pt idx="895">
                  <c:v>195.1</c:v>
                </c:pt>
                <c:pt idx="896">
                  <c:v>193.34</c:v>
                </c:pt>
                <c:pt idx="897">
                  <c:v>198.47</c:v>
                </c:pt>
                <c:pt idx="898">
                  <c:v>196.07</c:v>
                </c:pt>
                <c:pt idx="899">
                  <c:v>187.15</c:v>
                </c:pt>
                <c:pt idx="900">
                  <c:v>188.09</c:v>
                </c:pt>
                <c:pt idx="901">
                  <c:v>185.58</c:v>
                </c:pt>
                <c:pt idx="902">
                  <c:v>184.6</c:v>
                </c:pt>
                <c:pt idx="903">
                  <c:v>190.07</c:v>
                </c:pt>
                <c:pt idx="904">
                  <c:v>188</c:v>
                </c:pt>
                <c:pt idx="905">
                  <c:v>177.44</c:v>
                </c:pt>
                <c:pt idx="906">
                  <c:v>181.68</c:v>
                </c:pt>
                <c:pt idx="907">
                  <c:v>184.02</c:v>
                </c:pt>
                <c:pt idx="908">
                  <c:v>185.71</c:v>
                </c:pt>
                <c:pt idx="909">
                  <c:v>184.85</c:v>
                </c:pt>
                <c:pt idx="910">
                  <c:v>181.8</c:v>
                </c:pt>
                <c:pt idx="911">
                  <c:v>182.54</c:v>
                </c:pt>
                <c:pt idx="912">
                  <c:v>183.26</c:v>
                </c:pt>
                <c:pt idx="913">
                  <c:v>185.72</c:v>
                </c:pt>
                <c:pt idx="914">
                  <c:v>183.09</c:v>
                </c:pt>
                <c:pt idx="915">
                  <c:v>185.62</c:v>
                </c:pt>
                <c:pt idx="916">
                  <c:v>186.11</c:v>
                </c:pt>
                <c:pt idx="917">
                  <c:v>186.99</c:v>
                </c:pt>
                <c:pt idx="918">
                  <c:v>187.25</c:v>
                </c:pt>
                <c:pt idx="919">
                  <c:v>187.34</c:v>
                </c:pt>
                <c:pt idx="920">
                  <c:v>187.47</c:v>
                </c:pt>
                <c:pt idx="921">
                  <c:v>189.83</c:v>
                </c:pt>
                <c:pt idx="922">
                  <c:v>189.16</c:v>
                </c:pt>
                <c:pt idx="923">
                  <c:v>189.5</c:v>
                </c:pt>
                <c:pt idx="924">
                  <c:v>191.5</c:v>
                </c:pt>
                <c:pt idx="925">
                  <c:v>192.42</c:v>
                </c:pt>
                <c:pt idx="926">
                  <c:v>191.08</c:v>
                </c:pt>
                <c:pt idx="927">
                  <c:v>190.86</c:v>
                </c:pt>
                <c:pt idx="928">
                  <c:v>185.48</c:v>
                </c:pt>
                <c:pt idx="929">
                  <c:v>185.49</c:v>
                </c:pt>
                <c:pt idx="930">
                  <c:v>185.3</c:v>
                </c:pt>
                <c:pt idx="931">
                  <c:v>183.76</c:v>
                </c:pt>
                <c:pt idx="932">
                  <c:v>185.55</c:v>
                </c:pt>
                <c:pt idx="933">
                  <c:v>185.39</c:v>
                </c:pt>
                <c:pt idx="934">
                  <c:v>186.79</c:v>
                </c:pt>
                <c:pt idx="935">
                  <c:v>182.31</c:v>
                </c:pt>
                <c:pt idx="936">
                  <c:v>185.62</c:v>
                </c:pt>
                <c:pt idx="937">
                  <c:v>189.99</c:v>
                </c:pt>
                <c:pt idx="938">
                  <c:v>190.75</c:v>
                </c:pt>
                <c:pt idx="939">
                  <c:v>189.28</c:v>
                </c:pt>
                <c:pt idx="940">
                  <c:v>187.63</c:v>
                </c:pt>
                <c:pt idx="941">
                  <c:v>189.77</c:v>
                </c:pt>
                <c:pt idx="942">
                  <c:v>190.62</c:v>
                </c:pt>
                <c:pt idx="943">
                  <c:v>195</c:v>
                </c:pt>
                <c:pt idx="944">
                  <c:v>192.45</c:v>
                </c:pt>
                <c:pt idx="945">
                  <c:v>191.52</c:v>
                </c:pt>
                <c:pt idx="946">
                  <c:v>186.39</c:v>
                </c:pt>
                <c:pt idx="947">
                  <c:v>190.58</c:v>
                </c:pt>
                <c:pt idx="948">
                  <c:v>191.4</c:v>
                </c:pt>
                <c:pt idx="949">
                  <c:v>189.26</c:v>
                </c:pt>
                <c:pt idx="950">
                  <c:v>184.85</c:v>
                </c:pt>
                <c:pt idx="951">
                  <c:v>187.11</c:v>
                </c:pt>
                <c:pt idx="952">
                  <c:v>190.55</c:v>
                </c:pt>
                <c:pt idx="953">
                  <c:v>190.83</c:v>
                </c:pt>
                <c:pt idx="954">
                  <c:v>190.28</c:v>
                </c:pt>
                <c:pt idx="955">
                  <c:v>188.52</c:v>
                </c:pt>
                <c:pt idx="956">
                  <c:v>191.22</c:v>
                </c:pt>
                <c:pt idx="957">
                  <c:v>189.31</c:v>
                </c:pt>
                <c:pt idx="958">
                  <c:v>189.02</c:v>
                </c:pt>
                <c:pt idx="959">
                  <c:v>195.22</c:v>
                </c:pt>
                <c:pt idx="960">
                  <c:v>197.19</c:v>
                </c:pt>
                <c:pt idx="961">
                  <c:v>198.55</c:v>
                </c:pt>
                <c:pt idx="962">
                  <c:v>196.3</c:v>
                </c:pt>
                <c:pt idx="963">
                  <c:v>198.86</c:v>
                </c:pt>
                <c:pt idx="964">
                  <c:v>198.05</c:v>
                </c:pt>
                <c:pt idx="965">
                  <c:v>198.64</c:v>
                </c:pt>
                <c:pt idx="966">
                  <c:v>198.64</c:v>
                </c:pt>
                <c:pt idx="967">
                  <c:v>201.47</c:v>
                </c:pt>
                <c:pt idx="968">
                  <c:v>204.68</c:v>
                </c:pt>
                <c:pt idx="969">
                  <c:v>206.69</c:v>
                </c:pt>
                <c:pt idx="970">
                  <c:v>206.57</c:v>
                </c:pt>
                <c:pt idx="971">
                  <c:v>206.19</c:v>
                </c:pt>
                <c:pt idx="972">
                  <c:v>209.15</c:v>
                </c:pt>
                <c:pt idx="973">
                  <c:v>209.5</c:v>
                </c:pt>
                <c:pt idx="974">
                  <c:v>210.6</c:v>
                </c:pt>
                <c:pt idx="975">
                  <c:v>207.55</c:v>
                </c:pt>
                <c:pt idx="976">
                  <c:v>208.36</c:v>
                </c:pt>
                <c:pt idx="977">
                  <c:v>208.06</c:v>
                </c:pt>
                <c:pt idx="978">
                  <c:v>207.92</c:v>
                </c:pt>
                <c:pt idx="979">
                  <c:v>210.4</c:v>
                </c:pt>
                <c:pt idx="980">
                  <c:v>211.92</c:v>
                </c:pt>
                <c:pt idx="981">
                  <c:v>211.86</c:v>
                </c:pt>
                <c:pt idx="982">
                  <c:v>213</c:v>
                </c:pt>
                <c:pt idx="983">
                  <c:v>212.56</c:v>
                </c:pt>
                <c:pt idx="984">
                  <c:v>209.79</c:v>
                </c:pt>
                <c:pt idx="985">
                  <c:v>210.42</c:v>
                </c:pt>
                <c:pt idx="986">
                  <c:v>211.64</c:v>
                </c:pt>
                <c:pt idx="987">
                  <c:v>220.22</c:v>
                </c:pt>
                <c:pt idx="988">
                  <c:v>218.34</c:v>
                </c:pt>
                <c:pt idx="989">
                  <c:v>217.61</c:v>
                </c:pt>
                <c:pt idx="990">
                  <c:v>216.26</c:v>
                </c:pt>
                <c:pt idx="991">
                  <c:v>220.81</c:v>
                </c:pt>
                <c:pt idx="992">
                  <c:v>221.99</c:v>
                </c:pt>
                <c:pt idx="993">
                  <c:v>222.47</c:v>
                </c:pt>
                <c:pt idx="994">
                  <c:v>222.59</c:v>
                </c:pt>
                <c:pt idx="995">
                  <c:v>222.61</c:v>
                </c:pt>
                <c:pt idx="996">
                  <c:v>219.99</c:v>
                </c:pt>
                <c:pt idx="997">
                  <c:v>218.54</c:v>
                </c:pt>
                <c:pt idx="998">
                  <c:v>220.61</c:v>
                </c:pt>
                <c:pt idx="999">
                  <c:v>223.16</c:v>
                </c:pt>
                <c:pt idx="1000">
                  <c:v>231.54</c:v>
                </c:pt>
                <c:pt idx="1001">
                  <c:v>244.38</c:v>
                </c:pt>
                <c:pt idx="1002">
                  <c:v>236.56</c:v>
                </c:pt>
                <c:pt idx="1003">
                  <c:v>233.91</c:v>
                </c:pt>
                <c:pt idx="1004">
                  <c:v>230.19</c:v>
                </c:pt>
                <c:pt idx="1005">
                  <c:v>232.83</c:v>
                </c:pt>
                <c:pt idx="1006">
                  <c:v>231.24</c:v>
                </c:pt>
                <c:pt idx="1007">
                  <c:v>230.69</c:v>
                </c:pt>
                <c:pt idx="1008">
                  <c:v>230.5</c:v>
                </c:pt>
                <c:pt idx="1009">
                  <c:v>230.3</c:v>
                </c:pt>
                <c:pt idx="1010">
                  <c:v>229.13</c:v>
                </c:pt>
                <c:pt idx="1011">
                  <c:v>226.22</c:v>
                </c:pt>
                <c:pt idx="1012">
                  <c:v>226.87</c:v>
                </c:pt>
                <c:pt idx="1013">
                  <c:v>229.57</c:v>
                </c:pt>
                <c:pt idx="1014">
                  <c:v>232.06</c:v>
                </c:pt>
                <c:pt idx="1015">
                  <c:v>231.39</c:v>
                </c:pt>
                <c:pt idx="1016">
                  <c:v>228.68</c:v>
                </c:pt>
                <c:pt idx="1017">
                  <c:v>228.25</c:v>
                </c:pt>
                <c:pt idx="1018">
                  <c:v>227.99</c:v>
                </c:pt>
                <c:pt idx="1019">
                  <c:v>228.03</c:v>
                </c:pt>
                <c:pt idx="1020">
                  <c:v>227.54</c:v>
                </c:pt>
                <c:pt idx="1021">
                  <c:v>225.14</c:v>
                </c:pt>
                <c:pt idx="1022">
                  <c:v>228.2</c:v>
                </c:pt>
                <c:pt idx="1023">
                  <c:v>218.04</c:v>
                </c:pt>
                <c:pt idx="1024">
                  <c:v>211.96</c:v>
                </c:pt>
                <c:pt idx="1025">
                  <c:v>215.89</c:v>
                </c:pt>
                <c:pt idx="1026">
                  <c:v>216.77</c:v>
                </c:pt>
                <c:pt idx="1027">
                  <c:v>219.04</c:v>
                </c:pt>
                <c:pt idx="1028">
                  <c:v>219.16</c:v>
                </c:pt>
                <c:pt idx="1029">
                  <c:v>218.71</c:v>
                </c:pt>
                <c:pt idx="1030">
                  <c:v>225.17</c:v>
                </c:pt>
                <c:pt idx="1031">
                  <c:v>233.23</c:v>
                </c:pt>
                <c:pt idx="1032">
                  <c:v>232.29</c:v>
                </c:pt>
                <c:pt idx="1033">
                  <c:v>232.36</c:v>
                </c:pt>
                <c:pt idx="1034">
                  <c:v>234</c:v>
                </c:pt>
                <c:pt idx="1035">
                  <c:v>233.87</c:v>
                </c:pt>
                <c:pt idx="1036">
                  <c:v>232.91</c:v>
                </c:pt>
                <c:pt idx="1037">
                  <c:v>229.45</c:v>
                </c:pt>
                <c:pt idx="1038">
                  <c:v>236.28</c:v>
                </c:pt>
                <c:pt idx="1039">
                  <c:v>229.51</c:v>
                </c:pt>
                <c:pt idx="1040">
                  <c:v>231.8</c:v>
                </c:pt>
                <c:pt idx="1041">
                  <c:v>227.66</c:v>
                </c:pt>
                <c:pt idx="1042">
                  <c:v>227.7</c:v>
                </c:pt>
                <c:pt idx="1043">
                  <c:v>225.11</c:v>
                </c:pt>
                <c:pt idx="1044">
                  <c:v>224.37</c:v>
                </c:pt>
                <c:pt idx="1045">
                  <c:v>230.24</c:v>
                </c:pt>
                <c:pt idx="1046">
                  <c:v>228.71</c:v>
                </c:pt>
                <c:pt idx="1047">
                  <c:v>226.08</c:v>
                </c:pt>
                <c:pt idx="1048">
                  <c:v>223.12</c:v>
                </c:pt>
                <c:pt idx="1049">
                  <c:v>222.99</c:v>
                </c:pt>
                <c:pt idx="1050">
                  <c:v>225.18</c:v>
                </c:pt>
                <c:pt idx="1051">
                  <c:v>223.98</c:v>
                </c:pt>
                <c:pt idx="1052">
                  <c:v>223.32</c:v>
                </c:pt>
                <c:pt idx="1053">
                  <c:v>227.45</c:v>
                </c:pt>
                <c:pt idx="1054">
                  <c:v>223.67</c:v>
                </c:pt>
                <c:pt idx="1055">
                  <c:v>224.31</c:v>
                </c:pt>
                <c:pt idx="1056">
                  <c:v>222.82</c:v>
                </c:pt>
                <c:pt idx="1057">
                  <c:v>226.82</c:v>
                </c:pt>
                <c:pt idx="1058">
                  <c:v>227.91</c:v>
                </c:pt>
                <c:pt idx="1059">
                  <c:v>228.79</c:v>
                </c:pt>
                <c:pt idx="1060">
                  <c:v>229.89</c:v>
                </c:pt>
                <c:pt idx="1061">
                  <c:v>229.98</c:v>
                </c:pt>
                <c:pt idx="1062">
                  <c:v>230.84</c:v>
                </c:pt>
                <c:pt idx="1063">
                  <c:v>229.74</c:v>
                </c:pt>
                <c:pt idx="1064">
                  <c:v>228.49</c:v>
                </c:pt>
                <c:pt idx="1065">
                  <c:v>229.31</c:v>
                </c:pt>
                <c:pt idx="1066">
                  <c:v>220.18</c:v>
                </c:pt>
                <c:pt idx="1067">
                  <c:v>223.93</c:v>
                </c:pt>
                <c:pt idx="1068">
                  <c:v>233.42</c:v>
                </c:pt>
                <c:pt idx="1069">
                  <c:v>224.13</c:v>
                </c:pt>
                <c:pt idx="1070">
                  <c:v>220.08</c:v>
                </c:pt>
                <c:pt idx="1071">
                  <c:v>220.04</c:v>
                </c:pt>
                <c:pt idx="1072">
                  <c:v>220.75</c:v>
                </c:pt>
                <c:pt idx="1073">
                  <c:v>221.89</c:v>
                </c:pt>
                <c:pt idx="1074">
                  <c:v>216.75</c:v>
                </c:pt>
                <c:pt idx="1075">
                  <c:v>214.35</c:v>
                </c:pt>
                <c:pt idx="1076">
                  <c:v>214.04</c:v>
                </c:pt>
                <c:pt idx="1077">
                  <c:v>216.15</c:v>
                </c:pt>
                <c:pt idx="1078">
                  <c:v>218.11</c:v>
                </c:pt>
                <c:pt idx="1079">
                  <c:v>219.26</c:v>
                </c:pt>
                <c:pt idx="1080">
                  <c:v>220.77</c:v>
                </c:pt>
                <c:pt idx="1081">
                  <c:v>223.93</c:v>
                </c:pt>
                <c:pt idx="1082">
                  <c:v>218.67</c:v>
                </c:pt>
                <c:pt idx="1083">
                  <c:v>220.43</c:v>
                </c:pt>
                <c:pt idx="1084">
                  <c:v>223.01</c:v>
                </c:pt>
                <c:pt idx="1085">
                  <c:v>225.64</c:v>
                </c:pt>
                <c:pt idx="1086">
                  <c:v>225.66</c:v>
                </c:pt>
                <c:pt idx="1087">
                  <c:v>217.11</c:v>
                </c:pt>
                <c:pt idx="1088">
                  <c:v>219.02</c:v>
                </c:pt>
                <c:pt idx="1089">
                  <c:v>223.43</c:v>
                </c:pt>
                <c:pt idx="1090">
                  <c:v>223.26</c:v>
                </c:pt>
                <c:pt idx="1091">
                  <c:v>222.44</c:v>
                </c:pt>
                <c:pt idx="1092">
                  <c:v>220.89</c:v>
                </c:pt>
                <c:pt idx="1093">
                  <c:v>227.5</c:v>
                </c:pt>
                <c:pt idx="1094">
                  <c:v>231.5</c:v>
                </c:pt>
                <c:pt idx="1095">
                  <c:v>232.86</c:v>
                </c:pt>
                <c:pt idx="1096">
                  <c:v>228.72</c:v>
                </c:pt>
                <c:pt idx="1097">
                  <c:v>224.35</c:v>
                </c:pt>
                <c:pt idx="1098">
                  <c:v>224.81</c:v>
                </c:pt>
                <c:pt idx="1099">
                  <c:v>229.48</c:v>
                </c:pt>
                <c:pt idx="1100">
                  <c:v>228.44</c:v>
                </c:pt>
                <c:pt idx="1101">
                  <c:v>226.92</c:v>
                </c:pt>
                <c:pt idx="1102">
                  <c:v>224.69</c:v>
                </c:pt>
                <c:pt idx="1103">
                  <c:v>232.08</c:v>
                </c:pt>
                <c:pt idx="1104">
                  <c:v>234.26</c:v>
                </c:pt>
                <c:pt idx="1105">
                  <c:v>233.86</c:v>
                </c:pt>
                <c:pt idx="1106">
                  <c:v>236.19</c:v>
                </c:pt>
                <c:pt idx="1107">
                  <c:v>232.35</c:v>
                </c:pt>
                <c:pt idx="1108">
                  <c:v>230.11</c:v>
                </c:pt>
                <c:pt idx="1109">
                  <c:v>227.45</c:v>
                </c:pt>
                <c:pt idx="1110">
                  <c:v>227.01</c:v>
                </c:pt>
                <c:pt idx="1111">
                  <c:v>227.68</c:v>
                </c:pt>
                <c:pt idx="1112">
                  <c:v>225.37</c:v>
                </c:pt>
                <c:pt idx="1113">
                  <c:v>219.68</c:v>
                </c:pt>
                <c:pt idx="1114">
                  <c:v>221.45</c:v>
                </c:pt>
                <c:pt idx="1115">
                  <c:v>219.76</c:v>
                </c:pt>
                <c:pt idx="1116">
                  <c:v>208.34</c:v>
                </c:pt>
                <c:pt idx="1117">
                  <c:v>206.23</c:v>
                </c:pt>
                <c:pt idx="1118">
                  <c:v>205.07</c:v>
                </c:pt>
                <c:pt idx="1119">
                  <c:v>204.93</c:v>
                </c:pt>
                <c:pt idx="1120">
                  <c:v>205.2</c:v>
                </c:pt>
                <c:pt idx="1121">
                  <c:v>207.18</c:v>
                </c:pt>
                <c:pt idx="1122">
                  <c:v>211.12</c:v>
                </c:pt>
                <c:pt idx="1123">
                  <c:v>209.4</c:v>
                </c:pt>
                <c:pt idx="1124">
                  <c:v>213.12</c:v>
                </c:pt>
                <c:pt idx="1125">
                  <c:v>217.49</c:v>
                </c:pt>
                <c:pt idx="1126">
                  <c:v>214.98</c:v>
                </c:pt>
                <c:pt idx="1127">
                  <c:v>208.84</c:v>
                </c:pt>
                <c:pt idx="1128">
                  <c:v>206.69</c:v>
                </c:pt>
                <c:pt idx="1129">
                  <c:v>206.37</c:v>
                </c:pt>
                <c:pt idx="1130">
                  <c:v>211.59</c:v>
                </c:pt>
                <c:pt idx="1131">
                  <c:v>212.4</c:v>
                </c:pt>
                <c:pt idx="1132">
                  <c:v>207.94</c:v>
                </c:pt>
                <c:pt idx="1133">
                  <c:v>206.47</c:v>
                </c:pt>
                <c:pt idx="1134">
                  <c:v>210.26</c:v>
                </c:pt>
                <c:pt idx="1135">
                  <c:v>208.42</c:v>
                </c:pt>
                <c:pt idx="1136">
                  <c:v>208.99</c:v>
                </c:pt>
                <c:pt idx="1137">
                  <c:v>208.38</c:v>
                </c:pt>
                <c:pt idx="1138">
                  <c:v>203.71</c:v>
                </c:pt>
                <c:pt idx="1139">
                  <c:v>205.12</c:v>
                </c:pt>
                <c:pt idx="1140">
                  <c:v>200.5</c:v>
                </c:pt>
                <c:pt idx="1141">
                  <c:v>200.95</c:v>
                </c:pt>
                <c:pt idx="1142">
                  <c:v>198.71</c:v>
                </c:pt>
                <c:pt idx="1143">
                  <c:v>197.38</c:v>
                </c:pt>
                <c:pt idx="1144">
                  <c:v>197.69</c:v>
                </c:pt>
                <c:pt idx="1145">
                  <c:v>203.89</c:v>
                </c:pt>
                <c:pt idx="1146">
                  <c:v>211.32</c:v>
                </c:pt>
                <c:pt idx="1147">
                  <c:v>206.6</c:v>
                </c:pt>
                <c:pt idx="1148">
                  <c:v>208.16</c:v>
                </c:pt>
                <c:pt idx="1149">
                  <c:v>206.11</c:v>
                </c:pt>
                <c:pt idx="1150">
                  <c:v>205.03</c:v>
                </c:pt>
                <c:pt idx="1151">
                  <c:v>202.71</c:v>
                </c:pt>
                <c:pt idx="1152">
                  <c:v>201.55</c:v>
                </c:pt>
                <c:pt idx="1153">
                  <c:v>202.78</c:v>
                </c:pt>
                <c:pt idx="1154">
                  <c:v>207.86</c:v>
                </c:pt>
                <c:pt idx="1155">
                  <c:v>208.5</c:v>
                </c:pt>
                <c:pt idx="1156">
                  <c:v>210.77</c:v>
                </c:pt>
                <c:pt idx="1157">
                  <c:v>210.39</c:v>
                </c:pt>
                <c:pt idx="1158">
                  <c:v>209.41</c:v>
                </c:pt>
                <c:pt idx="1159">
                  <c:v>213.76</c:v>
                </c:pt>
                <c:pt idx="1160">
                  <c:v>212.3</c:v>
                </c:pt>
                <c:pt idx="1161">
                  <c:v>214.5</c:v>
                </c:pt>
                <c:pt idx="1162">
                  <c:v>215.7</c:v>
                </c:pt>
                <c:pt idx="1163">
                  <c:v>213.12</c:v>
                </c:pt>
                <c:pt idx="1164">
                  <c:v>215.4</c:v>
                </c:pt>
                <c:pt idx="1165">
                  <c:v>218.63</c:v>
                </c:pt>
                <c:pt idx="1166">
                  <c:v>217.72</c:v>
                </c:pt>
                <c:pt idx="1167">
                  <c:v>212.93</c:v>
                </c:pt>
                <c:pt idx="1168">
                  <c:v>215.4</c:v>
                </c:pt>
                <c:pt idx="1169">
                  <c:v>217.13</c:v>
                </c:pt>
                <c:pt idx="1170">
                  <c:v>224.94</c:v>
                </c:pt>
                <c:pt idx="1171">
                  <c:v>227.23</c:v>
                </c:pt>
                <c:pt idx="1172">
                  <c:v>223.07</c:v>
                </c:pt>
                <c:pt idx="1173">
                  <c:v>225.42</c:v>
                </c:pt>
                <c:pt idx="1174">
                  <c:v>224.95</c:v>
                </c:pt>
                <c:pt idx="1175">
                  <c:v>224.77</c:v>
                </c:pt>
                <c:pt idx="1176">
                  <c:v>227.73</c:v>
                </c:pt>
                <c:pt idx="1177">
                  <c:v>221.59</c:v>
                </c:pt>
                <c:pt idx="1178">
                  <c:v>222.47</c:v>
                </c:pt>
                <c:pt idx="1179">
                  <c:v>221.23</c:v>
                </c:pt>
                <c:pt idx="1180">
                  <c:v>216.49</c:v>
                </c:pt>
                <c:pt idx="1181">
                  <c:v>230.01</c:v>
                </c:pt>
                <c:pt idx="1182">
                  <c:v>234.76</c:v>
                </c:pt>
                <c:pt idx="1183">
                  <c:v>234.89</c:v>
                </c:pt>
                <c:pt idx="1184">
                  <c:v>243.14</c:v>
                </c:pt>
                <c:pt idx="1185">
                  <c:v>253.35</c:v>
                </c:pt>
                <c:pt idx="1186">
                  <c:v>254.31</c:v>
                </c:pt>
                <c:pt idx="1187">
                  <c:v>251.64</c:v>
                </c:pt>
                <c:pt idx="1188">
                  <c:v>251.06</c:v>
                </c:pt>
                <c:pt idx="1189">
                  <c:v>261.07</c:v>
                </c:pt>
                <c:pt idx="1190">
                  <c:v>254.76</c:v>
                </c:pt>
                <c:pt idx="1191">
                  <c:v>254.65</c:v>
                </c:pt>
                <c:pt idx="1192">
                  <c:v>252.74</c:v>
                </c:pt>
                <c:pt idx="1193">
                  <c:v>249.91</c:v>
                </c:pt>
                <c:pt idx="1194">
                  <c:v>248.08</c:v>
                </c:pt>
                <c:pt idx="1195">
                  <c:v>248</c:v>
                </c:pt>
                <c:pt idx="1196">
                  <c:v>244.78</c:v>
                </c:pt>
                <c:pt idx="1197">
                  <c:v>244.11</c:v>
                </c:pt>
                <c:pt idx="1198">
                  <c:v>254.39</c:v>
                </c:pt>
                <c:pt idx="1199">
                  <c:v>254.49</c:v>
                </c:pt>
                <c:pt idx="1200">
                  <c:v>253.38</c:v>
                </c:pt>
                <c:pt idx="1201">
                  <c:v>256.10000000000002</c:v>
                </c:pt>
                <c:pt idx="1202">
                  <c:v>253.3</c:v>
                </c:pt>
                <c:pt idx="1203">
                  <c:v>256.92</c:v>
                </c:pt>
                <c:pt idx="1204">
                  <c:v>259.36</c:v>
                </c:pt>
                <c:pt idx="1205">
                  <c:v>256.91000000000003</c:v>
                </c:pt>
                <c:pt idx="1206">
                  <c:v>263.2</c:v>
                </c:pt>
                <c:pt idx="1207">
                  <c:v>263.3</c:v>
                </c:pt>
                <c:pt idx="1208">
                  <c:v>257.41000000000003</c:v>
                </c:pt>
                <c:pt idx="1209">
                  <c:v>250.94</c:v>
                </c:pt>
                <c:pt idx="1210">
                  <c:v>245.1</c:v>
                </c:pt>
                <c:pt idx="1211">
                  <c:v>243.8</c:v>
                </c:pt>
                <c:pt idx="1212">
                  <c:v>246.2</c:v>
                </c:pt>
                <c:pt idx="1213">
                  <c:v>243.87</c:v>
                </c:pt>
                <c:pt idx="1214">
                  <c:v>246.04</c:v>
                </c:pt>
                <c:pt idx="1215">
                  <c:v>247.97</c:v>
                </c:pt>
                <c:pt idx="1216">
                  <c:v>250.09</c:v>
                </c:pt>
                <c:pt idx="1217">
                  <c:v>248.76</c:v>
                </c:pt>
                <c:pt idx="1218">
                  <c:v>250.82</c:v>
                </c:pt>
                <c:pt idx="1219">
                  <c:v>249.46</c:v>
                </c:pt>
                <c:pt idx="1220">
                  <c:v>250.33</c:v>
                </c:pt>
                <c:pt idx="1221">
                  <c:v>258.92</c:v>
                </c:pt>
                <c:pt idx="1222">
                  <c:v>265.97000000000003</c:v>
                </c:pt>
                <c:pt idx="1223">
                  <c:v>261.83</c:v>
                </c:pt>
                <c:pt idx="1224">
                  <c:v>264.95999999999998</c:v>
                </c:pt>
                <c:pt idx="1225">
                  <c:v>264.52</c:v>
                </c:pt>
                <c:pt idx="1226">
                  <c:v>265.79000000000002</c:v>
                </c:pt>
                <c:pt idx="1227">
                  <c:v>262.89999999999998</c:v>
                </c:pt>
                <c:pt idx="1228">
                  <c:v>258.14999999999998</c:v>
                </c:pt>
                <c:pt idx="1229">
                  <c:v>255.48</c:v>
                </c:pt>
                <c:pt idx="1230">
                  <c:v>256.42</c:v>
                </c:pt>
                <c:pt idx="1231">
                  <c:v>259.99</c:v>
                </c:pt>
                <c:pt idx="1232">
                  <c:v>261.72000000000003</c:v>
                </c:pt>
                <c:pt idx="1233">
                  <c:v>260.20999999999998</c:v>
                </c:pt>
                <c:pt idx="1234">
                  <c:v>256.45999999999998</c:v>
                </c:pt>
                <c:pt idx="1235">
                  <c:v>248.78</c:v>
                </c:pt>
                <c:pt idx="1236">
                  <c:v>250.91</c:v>
                </c:pt>
                <c:pt idx="1237">
                  <c:v>255</c:v>
                </c:pt>
                <c:pt idx="1238">
                  <c:v>257.12</c:v>
                </c:pt>
                <c:pt idx="1239">
                  <c:v>261.77</c:v>
                </c:pt>
                <c:pt idx="1240">
                  <c:v>263.04000000000002</c:v>
                </c:pt>
                <c:pt idx="1241">
                  <c:v>262.51</c:v>
                </c:pt>
                <c:pt idx="1242">
                  <c:v>264.02</c:v>
                </c:pt>
                <c:pt idx="1243">
                  <c:v>263.95999999999998</c:v>
                </c:pt>
                <c:pt idx="1244">
                  <c:v>264.48</c:v>
                </c:pt>
                <c:pt idx="1245">
                  <c:v>265.20999999999998</c:v>
                </c:pt>
                <c:pt idx="1246">
                  <c:v>265.08</c:v>
                </c:pt>
                <c:pt idx="1247">
                  <c:v>265.12</c:v>
                </c:pt>
                <c:pt idx="1248">
                  <c:v>264.33999999999997</c:v>
                </c:pt>
                <c:pt idx="1249">
                  <c:v>266.27999999999997</c:v>
                </c:pt>
                <c:pt idx="1250">
                  <c:v>263.29000000000002</c:v>
                </c:pt>
                <c:pt idx="1251">
                  <c:v>261.58999999999997</c:v>
                </c:pt>
                <c:pt idx="1252">
                  <c:v>259.93</c:v>
                </c:pt>
                <c:pt idx="1253">
                  <c:v>262.82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3-473E-9F24-E596A8932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412175"/>
        <c:axId val="646053135"/>
      </c:lineChart>
      <c:dateAx>
        <c:axId val="72141217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646053135"/>
        <c:crosses val="autoZero"/>
        <c:auto val="0"/>
        <c:lblOffset val="100"/>
        <c:baseTimeUnit val="days"/>
      </c:dateAx>
      <c:valAx>
        <c:axId val="646053135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72141217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09-4A62-A4A8-37AE332300D9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09-4A62-A4A8-37AE332300D9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09-4A62-A4A8-37AE332300D9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09-4A62-A4A8-37AE332300D9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09-4A62-A4A8-37AE332300D9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09-4A62-A4A8-37AE332300D9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09-4A62-A4A8-37AE332300D9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09-4A62-A4A8-37AE332300D9}"/>
            </c:ext>
          </c:extLst>
        </c:ser>
        <c:ser>
          <c:idx val="8"/>
          <c:order val="8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09-4A62-A4A8-37AE332300D9}"/>
            </c:ext>
          </c:extLst>
        </c:ser>
        <c:ser>
          <c:idx val="9"/>
          <c:order val="9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D09-4A62-A4A8-37AE332300D9}"/>
            </c:ext>
          </c:extLst>
        </c:ser>
        <c:ser>
          <c:idx val="10"/>
          <c:order val="10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D09-4A62-A4A8-37AE332300D9}"/>
            </c:ext>
          </c:extLst>
        </c:ser>
        <c:ser>
          <c:idx val="11"/>
          <c:order val="11"/>
          <c:tx>
            <c:v>ABBV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D09-4A62-A4A8-37AE3323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3490464"/>
        <c:axId val="1116396560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FD09-4A62-A4A8-37AE332300D9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FD09-4A62-A4A8-37AE332300D9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FD09-4A62-A4A8-37AE332300D9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FD09-4A62-A4A8-37AE332300D9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FD09-4A62-A4A8-37AE332300D9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FD09-4A62-A4A8-37AE332300D9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FD09-4A62-A4A8-37AE332300D9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FD09-4A62-A4A8-37AE332300D9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FD09-4A62-A4A8-37AE332300D9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FD09-4A62-A4A8-37AE332300D9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FD09-4A62-A4A8-37AE332300D9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FD09-4A62-A4A8-37AE332300D9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FD09-4A62-A4A8-37AE332300D9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FD09-4A62-A4A8-37AE332300D9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FD09-4A62-A4A8-37AE332300D9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FD09-4A62-A4A8-37AE332300D9}"/>
            </c:ext>
          </c:extLst>
        </c:ser>
        <c:ser>
          <c:idx val="28"/>
          <c:order val="28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FD09-4A62-A4A8-37AE332300D9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3.9489022507555531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FD09-4A62-A4A8-37AE332300D9}"/>
            </c:ext>
          </c:extLst>
        </c:ser>
        <c:ser>
          <c:idx val="30"/>
          <c:order val="30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FD09-4A62-A4A8-37AE332300D9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FD09-4A62-A4A8-37AE332300D9}"/>
            </c:ext>
          </c:extLst>
        </c:ser>
        <c:ser>
          <c:idx val="32"/>
          <c:order val="32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FD09-4A62-A4A8-37AE332300D9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FD09-4A62-A4A8-37AE332300D9}"/>
            </c:ext>
          </c:extLst>
        </c:ser>
        <c:ser>
          <c:idx val="34"/>
          <c:order val="34"/>
          <c:tx>
            <c:v>ABBV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FD09-4A62-A4A8-37AE332300D9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FD09-4A62-A4A8-37AE332300D9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FD09-4A62-A4A8-37AE3323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490464"/>
        <c:axId val="1116396560"/>
      </c:scatterChart>
      <c:dateAx>
        <c:axId val="1223490464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116396560"/>
        <c:crosses val="autoZero"/>
        <c:auto val="0"/>
        <c:lblOffset val="100"/>
        <c:baseTimeUnit val="days"/>
      </c:dateAx>
      <c:valAx>
        <c:axId val="111639656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23490464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ABBV Price Chart">
          <a:extLst>
            <a:ext uri="{FF2B5EF4-FFF2-40B4-BE49-F238E27FC236}">
              <a16:creationId xmlns:a16="http://schemas.microsoft.com/office/drawing/2014/main" id="{1F97E081-E9B9-5627-BAB3-39C9B13FD1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A4806B99-1B74-F979-77C2-4ED447F0B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D5A-928E-49DC-A6FC-9B220BFE338E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109.39</v>
      </c>
      <c r="C5" s="5">
        <v>110.58</v>
      </c>
      <c r="D5" s="5">
        <v>109.1</v>
      </c>
      <c r="E5" s="5">
        <v>109.51</v>
      </c>
      <c r="F5" s="6">
        <v>7146929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109.3</v>
      </c>
      <c r="C6" s="5">
        <v>109.67</v>
      </c>
      <c r="D6" s="5">
        <v>108.15</v>
      </c>
      <c r="E6" s="5">
        <v>109.32</v>
      </c>
      <c r="F6" s="6">
        <v>5710312</v>
      </c>
    </row>
    <row r="7" spans="1:10" ht="15" x14ac:dyDescent="0.25">
      <c r="A7" s="4">
        <v>44476</v>
      </c>
      <c r="B7" s="5">
        <v>109.78</v>
      </c>
      <c r="C7" s="5">
        <v>111.79</v>
      </c>
      <c r="D7" s="5">
        <v>109.56</v>
      </c>
      <c r="E7" s="5">
        <v>110.87</v>
      </c>
      <c r="F7" s="6">
        <v>7842638</v>
      </c>
      <c r="H7" s="8" t="s">
        <v>13</v>
      </c>
    </row>
    <row r="8" spans="1:10" x14ac:dyDescent="0.2">
      <c r="A8" s="4">
        <v>44477</v>
      </c>
      <c r="B8" s="5">
        <v>111.05</v>
      </c>
      <c r="C8" s="5">
        <v>111.75</v>
      </c>
      <c r="D8" s="5">
        <v>110.64</v>
      </c>
      <c r="E8" s="5">
        <v>111.18</v>
      </c>
      <c r="F8" s="6">
        <v>5019756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111.14</v>
      </c>
      <c r="C9" s="5">
        <v>111.4</v>
      </c>
      <c r="D9" s="5">
        <v>110.28</v>
      </c>
      <c r="E9" s="5">
        <v>110.34</v>
      </c>
      <c r="F9" s="6">
        <v>4613800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110.12</v>
      </c>
      <c r="C10" s="5">
        <v>110.26</v>
      </c>
      <c r="D10" s="5">
        <v>108.16</v>
      </c>
      <c r="E10" s="5">
        <v>108.57</v>
      </c>
      <c r="F10" s="6">
        <v>6305802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108.59</v>
      </c>
      <c r="C11" s="5">
        <v>109.035</v>
      </c>
      <c r="D11" s="5">
        <v>108</v>
      </c>
      <c r="E11" s="5">
        <v>108.53</v>
      </c>
      <c r="F11" s="6">
        <v>5474818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107.96</v>
      </c>
      <c r="C12" s="5">
        <v>108.99</v>
      </c>
      <c r="D12" s="5">
        <v>107.8</v>
      </c>
      <c r="E12" s="5">
        <v>108.91</v>
      </c>
      <c r="F12" s="6">
        <v>7290453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109.15</v>
      </c>
      <c r="C13" s="5">
        <v>109.9616</v>
      </c>
      <c r="D13" s="5">
        <v>109.08</v>
      </c>
      <c r="E13" s="5">
        <v>109.33</v>
      </c>
      <c r="F13" s="6">
        <v>4634513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108.99</v>
      </c>
      <c r="C14" s="5">
        <v>108.99</v>
      </c>
      <c r="D14" s="5">
        <v>107.09</v>
      </c>
      <c r="E14" s="5">
        <v>107.43</v>
      </c>
      <c r="F14" s="6">
        <v>7949357</v>
      </c>
      <c r="H14" s="10" t="s">
        <v>20</v>
      </c>
      <c r="I14" s="13">
        <f ca="1">IF($I$11="OK",INDEX(PxClose,I9),"")</f>
        <v>109.51</v>
      </c>
    </row>
    <row r="15" spans="1:10" x14ac:dyDescent="0.2">
      <c r="A15" s="4">
        <v>44488</v>
      </c>
      <c r="B15" s="5">
        <v>107.75</v>
      </c>
      <c r="C15" s="5">
        <v>108.0675</v>
      </c>
      <c r="D15" s="5">
        <v>106.86</v>
      </c>
      <c r="E15" s="5">
        <v>107.45</v>
      </c>
      <c r="F15" s="6">
        <v>4614876</v>
      </c>
      <c r="H15" s="10" t="s">
        <v>21</v>
      </c>
      <c r="I15" s="13">
        <f ca="1">IF($I$11="OK",INDEX(PxClose,I10),"")</f>
        <v>262.82</v>
      </c>
    </row>
    <row r="16" spans="1:10" x14ac:dyDescent="0.2">
      <c r="A16" s="4">
        <v>44489</v>
      </c>
      <c r="B16" s="5">
        <v>107.5</v>
      </c>
      <c r="C16" s="5">
        <v>109.11</v>
      </c>
      <c r="D16" s="5">
        <v>107.5</v>
      </c>
      <c r="E16" s="5">
        <v>108.41</v>
      </c>
      <c r="F16" s="6">
        <v>5627072</v>
      </c>
      <c r="H16" s="14" t="s">
        <v>22</v>
      </c>
      <c r="I16" s="15">
        <f ca="1">IF($I$11="OK",I15/I14-1,"")</f>
        <v>1.3999634736553737</v>
      </c>
    </row>
    <row r="17" spans="1:8" x14ac:dyDescent="0.2">
      <c r="A17" s="4">
        <v>44490</v>
      </c>
      <c r="B17" s="5">
        <v>108.41</v>
      </c>
      <c r="C17" s="5">
        <v>108.94499999999999</v>
      </c>
      <c r="D17" s="5">
        <v>107.15</v>
      </c>
      <c r="E17" s="5">
        <v>108.76</v>
      </c>
      <c r="F17" s="6">
        <v>4811807</v>
      </c>
    </row>
    <row r="18" spans="1:8" ht="15.75" x14ac:dyDescent="0.25">
      <c r="A18" s="4">
        <v>44491</v>
      </c>
      <c r="B18" s="5">
        <v>108.67</v>
      </c>
      <c r="C18" s="5">
        <v>109.22</v>
      </c>
      <c r="D18" s="5">
        <v>108.31</v>
      </c>
      <c r="E18" s="5">
        <v>109.14</v>
      </c>
      <c r="F18" s="6">
        <v>4614352</v>
      </c>
      <c r="H18" s="1" t="str">
        <f ca="1">IF($I$11&lt;&gt;"OK",$I$11,"ABBV "&amp;IF(I16&gt;=0,"rose ","fell ")&amp;TEXT(ABS(I16),"0.0%")&amp;" from "&amp;TEXT(I14,"$#,##0.00")&amp;" on "&amp;TEXT(I12,"mmm d, yyyy")&amp;" to "&amp;TEXT(I15,"$#,##0.00")&amp;" on "&amp;TEXT(I13,"mmm d, yyyy")&amp;".")</f>
        <v>ABBV rose 140.0% from $109.51 on Oct 5, 2021 to $262.82 on Oct 2, 2026.</v>
      </c>
    </row>
    <row r="19" spans="1:8" x14ac:dyDescent="0.2">
      <c r="A19" s="4">
        <v>44494</v>
      </c>
      <c r="B19" s="5">
        <v>109.08</v>
      </c>
      <c r="C19" s="5">
        <v>109.14</v>
      </c>
      <c r="D19" s="5">
        <v>107.75</v>
      </c>
      <c r="E19" s="5">
        <v>108.5</v>
      </c>
      <c r="F19" s="6">
        <v>5697405</v>
      </c>
    </row>
    <row r="20" spans="1:8" x14ac:dyDescent="0.2">
      <c r="A20" s="4">
        <v>44495</v>
      </c>
      <c r="B20" s="5">
        <v>108.81</v>
      </c>
      <c r="C20" s="5">
        <v>109.575</v>
      </c>
      <c r="D20" s="5">
        <v>108.2</v>
      </c>
      <c r="E20" s="5">
        <v>109.49</v>
      </c>
      <c r="F20" s="6">
        <v>5047395</v>
      </c>
    </row>
    <row r="21" spans="1:8" x14ac:dyDescent="0.2">
      <c r="A21" s="4">
        <v>44496</v>
      </c>
      <c r="B21" s="5">
        <v>109.58</v>
      </c>
      <c r="C21" s="5">
        <v>109.72</v>
      </c>
      <c r="D21" s="5">
        <v>108.17</v>
      </c>
      <c r="E21" s="5">
        <v>108.4</v>
      </c>
      <c r="F21" s="6">
        <v>4875368</v>
      </c>
    </row>
    <row r="22" spans="1:8" x14ac:dyDescent="0.2">
      <c r="A22" s="4">
        <v>44497</v>
      </c>
      <c r="B22" s="5">
        <v>108.39</v>
      </c>
      <c r="C22" s="5">
        <v>109.898</v>
      </c>
      <c r="D22" s="5">
        <v>108.2</v>
      </c>
      <c r="E22" s="5">
        <v>109.67</v>
      </c>
      <c r="F22" s="6">
        <v>5193298</v>
      </c>
    </row>
    <row r="23" spans="1:8" x14ac:dyDescent="0.2">
      <c r="A23" s="4">
        <v>44498</v>
      </c>
      <c r="B23" s="5">
        <v>112.09</v>
      </c>
      <c r="C23" s="5">
        <v>114.92</v>
      </c>
      <c r="D23" s="5">
        <v>111.42010000000001</v>
      </c>
      <c r="E23" s="5">
        <v>114.67</v>
      </c>
      <c r="F23" s="6">
        <v>16544960</v>
      </c>
    </row>
    <row r="24" spans="1:8" x14ac:dyDescent="0.2">
      <c r="A24" s="4">
        <v>44501</v>
      </c>
      <c r="B24" s="5">
        <v>115.25</v>
      </c>
      <c r="C24" s="5">
        <v>115.72</v>
      </c>
      <c r="D24" s="5">
        <v>113.57</v>
      </c>
      <c r="E24" s="5">
        <v>114.81</v>
      </c>
      <c r="F24" s="6">
        <v>7096794</v>
      </c>
    </row>
    <row r="25" spans="1:8" x14ac:dyDescent="0.2">
      <c r="A25" s="4">
        <v>44502</v>
      </c>
      <c r="B25" s="5">
        <v>115.25</v>
      </c>
      <c r="C25" s="5">
        <v>117.69</v>
      </c>
      <c r="D25" s="5">
        <v>115.16</v>
      </c>
      <c r="E25" s="5">
        <v>116.53</v>
      </c>
      <c r="F25" s="6">
        <v>10357770</v>
      </c>
    </row>
    <row r="26" spans="1:8" x14ac:dyDescent="0.2">
      <c r="A26" s="4">
        <v>44503</v>
      </c>
      <c r="B26" s="5">
        <v>116.53</v>
      </c>
      <c r="C26" s="5">
        <v>117.61</v>
      </c>
      <c r="D26" s="5">
        <v>116.24</v>
      </c>
      <c r="E26" s="5">
        <v>117.57</v>
      </c>
      <c r="F26" s="6">
        <v>6186916</v>
      </c>
    </row>
    <row r="27" spans="1:8" x14ac:dyDescent="0.2">
      <c r="A27" s="4">
        <v>44504</v>
      </c>
      <c r="B27" s="5">
        <v>117.57</v>
      </c>
      <c r="C27" s="5">
        <v>117.72</v>
      </c>
      <c r="D27" s="5">
        <v>116.33</v>
      </c>
      <c r="E27" s="5">
        <v>117.06</v>
      </c>
      <c r="F27" s="6">
        <v>4912212</v>
      </c>
    </row>
    <row r="28" spans="1:8" x14ac:dyDescent="0.2">
      <c r="A28" s="4">
        <v>44505</v>
      </c>
      <c r="B28" s="5">
        <v>116.73</v>
      </c>
      <c r="C28" s="5">
        <v>117.3199</v>
      </c>
      <c r="D28" s="5">
        <v>115.5</v>
      </c>
      <c r="E28" s="5">
        <v>117.18</v>
      </c>
      <c r="F28" s="6">
        <v>4635806</v>
      </c>
    </row>
    <row r="29" spans="1:8" x14ac:dyDescent="0.2">
      <c r="A29" s="4">
        <v>44508</v>
      </c>
      <c r="B29" s="5">
        <v>117.2</v>
      </c>
      <c r="C29" s="5">
        <v>117.45</v>
      </c>
      <c r="D29" s="5">
        <v>115.78</v>
      </c>
      <c r="E29" s="5">
        <v>116.06</v>
      </c>
      <c r="F29" s="6">
        <v>7015002</v>
      </c>
    </row>
    <row r="30" spans="1:8" x14ac:dyDescent="0.2">
      <c r="A30" s="4">
        <v>44509</v>
      </c>
      <c r="B30" s="5">
        <v>116.24</v>
      </c>
      <c r="C30" s="5">
        <v>116.59</v>
      </c>
      <c r="D30" s="5">
        <v>115.41</v>
      </c>
      <c r="E30" s="5">
        <v>115.61</v>
      </c>
      <c r="F30" s="6">
        <v>3146761</v>
      </c>
    </row>
    <row r="31" spans="1:8" x14ac:dyDescent="0.2">
      <c r="A31" s="4">
        <v>44510</v>
      </c>
      <c r="B31" s="5">
        <v>115.4</v>
      </c>
      <c r="C31" s="5">
        <v>117.1</v>
      </c>
      <c r="D31" s="5">
        <v>115.39</v>
      </c>
      <c r="E31" s="5">
        <v>116.75</v>
      </c>
      <c r="F31" s="6">
        <v>4981119</v>
      </c>
    </row>
    <row r="32" spans="1:8" x14ac:dyDescent="0.2">
      <c r="A32" s="4">
        <v>44511</v>
      </c>
      <c r="B32" s="5">
        <v>116.94</v>
      </c>
      <c r="C32" s="5">
        <v>117.49</v>
      </c>
      <c r="D32" s="5">
        <v>116.29</v>
      </c>
      <c r="E32" s="5">
        <v>116.63</v>
      </c>
      <c r="F32" s="6">
        <v>3121049</v>
      </c>
    </row>
    <row r="33" spans="1:23" x14ac:dyDescent="0.2">
      <c r="A33" s="4">
        <v>44512</v>
      </c>
      <c r="B33" s="5">
        <v>117.4</v>
      </c>
      <c r="C33" s="5">
        <v>117.4</v>
      </c>
      <c r="D33" s="5">
        <v>116.43</v>
      </c>
      <c r="E33" s="5">
        <v>116.97</v>
      </c>
      <c r="F33" s="6">
        <v>2740610</v>
      </c>
    </row>
    <row r="34" spans="1:23" x14ac:dyDescent="0.2">
      <c r="A34" s="4">
        <v>44515</v>
      </c>
      <c r="B34" s="5">
        <v>116.95</v>
      </c>
      <c r="C34" s="5">
        <v>117.8</v>
      </c>
      <c r="D34" s="5">
        <v>116.22</v>
      </c>
      <c r="E34" s="5">
        <v>116.84</v>
      </c>
      <c r="F34" s="6">
        <v>3940964</v>
      </c>
    </row>
    <row r="35" spans="1:23" x14ac:dyDescent="0.2">
      <c r="A35" s="4">
        <v>44516</v>
      </c>
      <c r="B35" s="5">
        <v>116.61</v>
      </c>
      <c r="C35" s="5">
        <v>117.47</v>
      </c>
      <c r="D35" s="5">
        <v>116.34</v>
      </c>
      <c r="E35" s="5">
        <v>116.42</v>
      </c>
      <c r="F35" s="6">
        <v>3476401</v>
      </c>
    </row>
    <row r="36" spans="1:23" x14ac:dyDescent="0.2">
      <c r="A36" s="4">
        <v>44517</v>
      </c>
      <c r="B36" s="5">
        <v>116.6</v>
      </c>
      <c r="C36" s="5">
        <v>117.62</v>
      </c>
      <c r="D36" s="5">
        <v>116.25</v>
      </c>
      <c r="E36" s="5">
        <v>117.35</v>
      </c>
      <c r="F36" s="6">
        <v>4361522</v>
      </c>
    </row>
    <row r="37" spans="1:23" x14ac:dyDescent="0.2">
      <c r="A37" s="4">
        <v>44518</v>
      </c>
      <c r="B37" s="5">
        <v>117.41</v>
      </c>
      <c r="C37" s="5">
        <v>118.37</v>
      </c>
      <c r="D37" s="5">
        <v>116.64</v>
      </c>
      <c r="E37" s="5">
        <v>117.07</v>
      </c>
      <c r="F37" s="6">
        <v>3161016</v>
      </c>
    </row>
    <row r="38" spans="1:23" x14ac:dyDescent="0.2">
      <c r="A38" s="4">
        <v>44519</v>
      </c>
      <c r="B38" s="5">
        <v>117.63</v>
      </c>
      <c r="C38" s="5">
        <v>117.8</v>
      </c>
      <c r="D38" s="5">
        <v>115.86</v>
      </c>
      <c r="E38" s="5">
        <v>116.24</v>
      </c>
      <c r="F38" s="6">
        <v>5885750</v>
      </c>
    </row>
    <row r="39" spans="1:23" x14ac:dyDescent="0.2">
      <c r="A39" s="4">
        <v>44522</v>
      </c>
      <c r="B39" s="5">
        <v>115.95</v>
      </c>
      <c r="C39" s="5">
        <v>117.34</v>
      </c>
      <c r="D39" s="5">
        <v>115.01</v>
      </c>
      <c r="E39" s="5">
        <v>115.65</v>
      </c>
      <c r="F39" s="6">
        <v>3976104</v>
      </c>
    </row>
    <row r="40" spans="1:23" x14ac:dyDescent="0.2">
      <c r="A40" s="4">
        <v>44523</v>
      </c>
      <c r="B40" s="5">
        <v>116.56</v>
      </c>
      <c r="C40" s="5">
        <v>119.33</v>
      </c>
      <c r="D40" s="5">
        <v>116.15</v>
      </c>
      <c r="E40" s="5">
        <v>118.88</v>
      </c>
      <c r="F40" s="6">
        <v>8948673</v>
      </c>
    </row>
    <row r="41" spans="1:23" x14ac:dyDescent="0.2">
      <c r="A41" s="4">
        <v>44524</v>
      </c>
      <c r="B41" s="5">
        <v>118.68</v>
      </c>
      <c r="C41" s="5">
        <v>119.24</v>
      </c>
      <c r="D41" s="5">
        <v>118.08</v>
      </c>
      <c r="E41" s="5">
        <v>118.66</v>
      </c>
      <c r="F41" s="6">
        <v>5792843</v>
      </c>
    </row>
    <row r="42" spans="1:23" x14ac:dyDescent="0.2">
      <c r="A42" s="4">
        <v>44526</v>
      </c>
      <c r="B42" s="5">
        <v>117.61</v>
      </c>
      <c r="C42" s="5">
        <v>118.11</v>
      </c>
      <c r="D42" s="5">
        <v>115.83</v>
      </c>
      <c r="E42" s="5">
        <v>116.51</v>
      </c>
      <c r="F42" s="6">
        <v>5016660</v>
      </c>
    </row>
    <row r="43" spans="1:23" x14ac:dyDescent="0.2">
      <c r="A43" s="4">
        <v>44529</v>
      </c>
      <c r="B43" s="5">
        <v>116.83</v>
      </c>
      <c r="C43" s="5">
        <v>117.92</v>
      </c>
      <c r="D43" s="5">
        <v>116.58</v>
      </c>
      <c r="E43" s="5">
        <v>116.89</v>
      </c>
      <c r="F43" s="6">
        <v>4372526</v>
      </c>
    </row>
    <row r="44" spans="1:23" x14ac:dyDescent="0.2">
      <c r="A44" s="4">
        <v>44530</v>
      </c>
      <c r="B44" s="5">
        <v>116.68</v>
      </c>
      <c r="C44" s="5">
        <v>116.79</v>
      </c>
      <c r="D44" s="5">
        <v>115.1</v>
      </c>
      <c r="E44" s="5">
        <v>115.28</v>
      </c>
      <c r="F44" s="6">
        <v>8172099</v>
      </c>
    </row>
    <row r="45" spans="1:23" x14ac:dyDescent="0.2">
      <c r="A45" s="4">
        <v>44531</v>
      </c>
      <c r="B45" s="5">
        <v>115.78</v>
      </c>
      <c r="C45" s="5">
        <v>118.98</v>
      </c>
      <c r="D45" s="5">
        <v>115.61</v>
      </c>
      <c r="E45" s="5">
        <v>115.91</v>
      </c>
      <c r="F45" s="6">
        <v>6293338</v>
      </c>
    </row>
    <row r="46" spans="1:23" ht="15.75" x14ac:dyDescent="0.25">
      <c r="A46" s="4">
        <v>44532</v>
      </c>
      <c r="B46" s="5">
        <v>116.245</v>
      </c>
      <c r="C46" s="5">
        <v>117.6</v>
      </c>
      <c r="D46" s="5">
        <v>115.6</v>
      </c>
      <c r="E46" s="5">
        <v>116.87</v>
      </c>
      <c r="F46" s="6">
        <v>4919820</v>
      </c>
      <c r="U46" s="1" t="s">
        <v>49</v>
      </c>
    </row>
    <row r="47" spans="1:23" x14ac:dyDescent="0.2">
      <c r="A47" s="4">
        <v>44533</v>
      </c>
      <c r="B47" s="5">
        <v>117.74</v>
      </c>
      <c r="C47" s="5">
        <v>119</v>
      </c>
      <c r="D47" s="5">
        <v>117</v>
      </c>
      <c r="E47" s="5">
        <v>118.85</v>
      </c>
      <c r="F47" s="6">
        <v>6428107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119.63</v>
      </c>
      <c r="C48" s="5">
        <v>122.45</v>
      </c>
      <c r="D48" s="5">
        <v>119.21</v>
      </c>
      <c r="E48" s="5">
        <v>121.35</v>
      </c>
      <c r="F48" s="6">
        <v>8939945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121.98</v>
      </c>
      <c r="C49" s="5">
        <v>122.14</v>
      </c>
      <c r="D49" s="5">
        <v>121</v>
      </c>
      <c r="E49" s="5">
        <v>121.51</v>
      </c>
      <c r="F49" s="6">
        <v>6123509</v>
      </c>
      <c r="U49" s="23" t="s">
        <v>52</v>
      </c>
      <c r="V49" s="24">
        <f ca="1">IF($I$11="OK",INDEX('Peer Data'!$O$5:$O$1258,$I$10),"")</f>
        <v>1.3999634736553737</v>
      </c>
      <c r="W49" s="25">
        <f ca="1">IF($I$11="OK",RANK(V49,$V$49:$V$60),"")</f>
        <v>2</v>
      </c>
    </row>
    <row r="50" spans="1:23" x14ac:dyDescent="0.2">
      <c r="A50" s="4">
        <v>44538</v>
      </c>
      <c r="B50" s="5">
        <v>121.96</v>
      </c>
      <c r="C50" s="5">
        <v>122.44</v>
      </c>
      <c r="D50" s="5">
        <v>120.75</v>
      </c>
      <c r="E50" s="5">
        <v>121.87</v>
      </c>
      <c r="F50" s="6">
        <v>5278113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122.21</v>
      </c>
      <c r="C51" s="5">
        <v>124.45910000000001</v>
      </c>
      <c r="D51" s="5">
        <v>122.1</v>
      </c>
      <c r="E51" s="5">
        <v>124.15</v>
      </c>
      <c r="F51" s="6">
        <v>8082307</v>
      </c>
      <c r="U51" s="26" t="s">
        <v>54</v>
      </c>
      <c r="V51" s="27">
        <f ca="1">IF($I$11="OK",INDEX('Peer Data'!$Q$5:$Q$1258,$I$10),"")</f>
        <v>0.2966942148760332</v>
      </c>
      <c r="W51" s="28">
        <f ca="1">IF($I$11="OK",RANK(V51,$V$49:$V$60),"")</f>
        <v>6</v>
      </c>
    </row>
    <row r="52" spans="1:23" x14ac:dyDescent="0.2">
      <c r="A52" s="4">
        <v>44540</v>
      </c>
      <c r="B52" s="5">
        <v>123.715</v>
      </c>
      <c r="C52" s="5">
        <v>126.01</v>
      </c>
      <c r="D52" s="5">
        <v>123.715</v>
      </c>
      <c r="E52" s="5">
        <v>125.47</v>
      </c>
      <c r="F52" s="6">
        <v>7059504</v>
      </c>
      <c r="U52" s="26" t="s">
        <v>55</v>
      </c>
      <c r="V52" s="27">
        <f ca="1">IF($I$11="OK",INDEX('Peer Data'!$R$5:$R$1258,$I$10),"")</f>
        <v>-1.5593929879644142E-2</v>
      </c>
      <c r="W52" s="28">
        <f ca="1">IF($I$11="OK",RANK(V52,$V$49:$V$60),"")</f>
        <v>9</v>
      </c>
    </row>
    <row r="53" spans="1:23" x14ac:dyDescent="0.2">
      <c r="A53" s="4">
        <v>44543</v>
      </c>
      <c r="B53" s="5">
        <v>125.2</v>
      </c>
      <c r="C53" s="5">
        <v>127.74</v>
      </c>
      <c r="D53" s="5">
        <v>125.2</v>
      </c>
      <c r="E53" s="5">
        <v>126.51</v>
      </c>
      <c r="F53" s="6">
        <v>7834198</v>
      </c>
      <c r="U53" s="26" t="s">
        <v>56</v>
      </c>
      <c r="V53" s="27">
        <f ca="1">IF($I$11="OK",INDEX('Peer Data'!$S$5:$S$1258,$I$10),"")</f>
        <v>0.11884368308351179</v>
      </c>
      <c r="W53" s="28">
        <f ca="1">IF($I$11="OK",RANK(V53,$V$49:$V$60),"")</f>
        <v>7</v>
      </c>
    </row>
    <row r="54" spans="1:23" x14ac:dyDescent="0.2">
      <c r="A54" s="4">
        <v>44544</v>
      </c>
      <c r="B54" s="5">
        <v>125.7</v>
      </c>
      <c r="C54" s="5">
        <v>127.85</v>
      </c>
      <c r="D54" s="5">
        <v>125.38</v>
      </c>
      <c r="E54" s="5">
        <v>127.29</v>
      </c>
      <c r="F54" s="6">
        <v>6381439</v>
      </c>
      <c r="U54" s="26" t="s">
        <v>57</v>
      </c>
      <c r="V54" s="27">
        <f ca="1">IF($I$11="OK",INDEX('Peer Data'!$T$5:$T$1258,$I$10),"")</f>
        <v>-0.17384105960264895</v>
      </c>
      <c r="W54" s="28">
        <f ca="1">IF($I$11="OK",RANK(V54,$V$49:$V$60),"")</f>
        <v>11</v>
      </c>
    </row>
    <row r="55" spans="1:23" x14ac:dyDescent="0.2">
      <c r="A55" s="4">
        <v>44545</v>
      </c>
      <c r="B55" s="5">
        <v>128.25</v>
      </c>
      <c r="C55" s="5">
        <v>130.78</v>
      </c>
      <c r="D55" s="5">
        <v>127.6</v>
      </c>
      <c r="E55" s="5">
        <v>130.22999999999999</v>
      </c>
      <c r="F55" s="6">
        <v>9585631</v>
      </c>
      <c r="U55" s="26" t="s">
        <v>58</v>
      </c>
      <c r="V55" s="27">
        <f ca="1">IF($I$11="OK",INDEX('Peer Data'!$U$5:$U$1258,$I$10),"")</f>
        <v>-2.6535253980288109E-2</v>
      </c>
      <c r="W55" s="28">
        <f ca="1">IF($I$11="OK",RANK(V55,$V$49:$V$60),"")</f>
        <v>10</v>
      </c>
    </row>
    <row r="56" spans="1:23" x14ac:dyDescent="0.2">
      <c r="A56" s="4">
        <v>44546</v>
      </c>
      <c r="B56" s="5">
        <v>130.1</v>
      </c>
      <c r="C56" s="5">
        <v>133.28</v>
      </c>
      <c r="D56" s="5">
        <v>129.90790000000001</v>
      </c>
      <c r="E56" s="5">
        <v>131.78</v>
      </c>
      <c r="F56" s="6">
        <v>9568975</v>
      </c>
      <c r="U56" s="26" t="s">
        <v>59</v>
      </c>
      <c r="V56" s="27">
        <f ca="1">IF($I$11="OK",INDEX('Peer Data'!$V$5:$V$1258,$I$10),"")</f>
        <v>0.76838235294117663</v>
      </c>
      <c r="W56" s="28">
        <f ca="1">IF($I$11="OK",RANK(V56,$V$49:$V$60),"")</f>
        <v>4</v>
      </c>
    </row>
    <row r="57" spans="1:23" x14ac:dyDescent="0.2">
      <c r="A57" s="4">
        <v>44547</v>
      </c>
      <c r="B57" s="5">
        <v>130.84</v>
      </c>
      <c r="C57" s="5">
        <v>131.02000000000001</v>
      </c>
      <c r="D57" s="5">
        <v>129.37</v>
      </c>
      <c r="E57" s="5">
        <v>129.53</v>
      </c>
      <c r="F57" s="6">
        <v>12631090</v>
      </c>
      <c r="U57" s="26" t="s">
        <v>60</v>
      </c>
      <c r="V57" s="27">
        <f ca="1">IF($I$11="OK",INDEX('Peer Data'!$W$5:$W$1258,$I$10),"")</f>
        <v>-0.34310018903591677</v>
      </c>
      <c r="W57" s="28">
        <f ca="1">IF($I$11="OK",RANK(V57,$V$49:$V$60),"")</f>
        <v>12</v>
      </c>
    </row>
    <row r="58" spans="1:23" x14ac:dyDescent="0.2">
      <c r="A58" s="4">
        <v>44550</v>
      </c>
      <c r="B58" s="5">
        <v>128.51</v>
      </c>
      <c r="C58" s="5">
        <v>131.38999999999999</v>
      </c>
      <c r="D58" s="5">
        <v>128.22999999999999</v>
      </c>
      <c r="E58" s="5">
        <v>130.86000000000001</v>
      </c>
      <c r="F58" s="6">
        <v>7119219</v>
      </c>
      <c r="U58" s="26" t="s">
        <v>61</v>
      </c>
      <c r="V58" s="27">
        <f ca="1">IF($I$11="OK",INDEX('Peer Data'!$X$5:$X$1258,$I$10),"")</f>
        <v>3.9489022647555529</v>
      </c>
      <c r="W58" s="28">
        <f ca="1">IF($I$11="OK",RANK(V58,$V$49:$V$60),"")</f>
        <v>1</v>
      </c>
    </row>
    <row r="59" spans="1:23" x14ac:dyDescent="0.2">
      <c r="A59" s="4">
        <v>44551</v>
      </c>
      <c r="B59" s="5">
        <v>131.22999999999999</v>
      </c>
      <c r="C59" s="5">
        <v>131.35</v>
      </c>
      <c r="D59" s="5">
        <v>129.14500000000001</v>
      </c>
      <c r="E59" s="5">
        <v>129.94999999999999</v>
      </c>
      <c r="F59" s="6">
        <v>6085915</v>
      </c>
      <c r="U59" s="26" t="s">
        <v>62</v>
      </c>
      <c r="V59" s="27">
        <f ca="1">IF($I$11="OK",INDEX('Peer Data'!$Y$5:$Y$1258,$I$10),"")</f>
        <v>3.3812341504649179E-2</v>
      </c>
      <c r="W59" s="28">
        <f ca="1">IF($I$11="OK",RANK(V59,$V$49:$V$60),"")</f>
        <v>8</v>
      </c>
    </row>
    <row r="60" spans="1:23" x14ac:dyDescent="0.2">
      <c r="A60" s="4">
        <v>44552</v>
      </c>
      <c r="B60" s="5">
        <v>129.91</v>
      </c>
      <c r="C60" s="5">
        <v>132.58000000000001</v>
      </c>
      <c r="D60" s="5">
        <v>129.78</v>
      </c>
      <c r="E60" s="5">
        <v>132.05000000000001</v>
      </c>
      <c r="F60" s="6">
        <v>7070941</v>
      </c>
      <c r="U60" s="29" t="s">
        <v>63</v>
      </c>
      <c r="V60" s="30">
        <f ca="1">IF($I$11="OK",INDEX('Peer Data'!$Z$5:$Z$1258,$I$10),"")</f>
        <v>0.60439904749968631</v>
      </c>
      <c r="W60" s="31">
        <f ca="1">IF($I$11="OK",RANK(V60,$V$49:$V$60),"")</f>
        <v>5</v>
      </c>
    </row>
    <row r="61" spans="1:23" x14ac:dyDescent="0.2">
      <c r="A61" s="4">
        <v>44553</v>
      </c>
      <c r="B61" s="5">
        <v>132.33000000000001</v>
      </c>
      <c r="C61" s="5">
        <v>133.77000000000001</v>
      </c>
      <c r="D61" s="5">
        <v>132.16999999999999</v>
      </c>
      <c r="E61" s="5">
        <v>133.09</v>
      </c>
      <c r="F61" s="6">
        <v>5702267</v>
      </c>
    </row>
    <row r="62" spans="1:23" x14ac:dyDescent="0.2">
      <c r="A62" s="4">
        <v>44557</v>
      </c>
      <c r="B62" s="5">
        <v>133.19</v>
      </c>
      <c r="C62" s="5">
        <v>134.47999999999999</v>
      </c>
      <c r="D62" s="5">
        <v>133.16</v>
      </c>
      <c r="E62" s="5">
        <v>134.41</v>
      </c>
      <c r="F62" s="6">
        <v>4437416</v>
      </c>
    </row>
    <row r="63" spans="1:23" x14ac:dyDescent="0.2">
      <c r="A63" s="4">
        <v>44558</v>
      </c>
      <c r="B63" s="5">
        <v>134.55000000000001</v>
      </c>
      <c r="C63" s="5">
        <v>135.26</v>
      </c>
      <c r="D63" s="5">
        <v>133.74</v>
      </c>
      <c r="E63" s="5">
        <v>134.38999999999999</v>
      </c>
      <c r="F63" s="6">
        <v>4237747</v>
      </c>
    </row>
    <row r="64" spans="1:23" x14ac:dyDescent="0.2">
      <c r="A64" s="4">
        <v>44559</v>
      </c>
      <c r="B64" s="5">
        <v>134.61000000000001</v>
      </c>
      <c r="C64" s="5">
        <v>135.87</v>
      </c>
      <c r="D64" s="5">
        <v>134.08000000000001</v>
      </c>
      <c r="E64" s="5">
        <v>135.36000000000001</v>
      </c>
      <c r="F64" s="6">
        <v>5594263</v>
      </c>
    </row>
    <row r="65" spans="1:6" x14ac:dyDescent="0.2">
      <c r="A65" s="4">
        <v>44560</v>
      </c>
      <c r="B65" s="5">
        <v>135.75</v>
      </c>
      <c r="C65" s="5">
        <v>136.83000000000001</v>
      </c>
      <c r="D65" s="5">
        <v>135.63</v>
      </c>
      <c r="E65" s="5">
        <v>135.93</v>
      </c>
      <c r="F65" s="6">
        <v>6354294</v>
      </c>
    </row>
    <row r="66" spans="1:6" x14ac:dyDescent="0.2">
      <c r="A66" s="4">
        <v>44561</v>
      </c>
      <c r="B66" s="5">
        <v>136.04</v>
      </c>
      <c r="C66" s="5">
        <v>136.20930000000001</v>
      </c>
      <c r="D66" s="5">
        <v>135.30000000000001</v>
      </c>
      <c r="E66" s="5">
        <v>135.4</v>
      </c>
      <c r="F66" s="6">
        <v>3963406</v>
      </c>
    </row>
    <row r="67" spans="1:6" x14ac:dyDescent="0.2">
      <c r="A67" s="4">
        <v>44564</v>
      </c>
      <c r="B67" s="5">
        <v>135.41</v>
      </c>
      <c r="C67" s="5">
        <v>135.69999999999999</v>
      </c>
      <c r="D67" s="5">
        <v>133.51</v>
      </c>
      <c r="E67" s="5">
        <v>135.41999999999999</v>
      </c>
      <c r="F67" s="6">
        <v>6842342</v>
      </c>
    </row>
    <row r="68" spans="1:6" x14ac:dyDescent="0.2">
      <c r="A68" s="4">
        <v>44565</v>
      </c>
      <c r="B68" s="5">
        <v>135.33000000000001</v>
      </c>
      <c r="C68" s="5">
        <v>136.22</v>
      </c>
      <c r="D68" s="5">
        <v>134.38050000000001</v>
      </c>
      <c r="E68" s="5">
        <v>135.16</v>
      </c>
      <c r="F68" s="6">
        <v>6298281</v>
      </c>
    </row>
    <row r="69" spans="1:6" x14ac:dyDescent="0.2">
      <c r="A69" s="4">
        <v>44566</v>
      </c>
      <c r="B69" s="5">
        <v>135</v>
      </c>
      <c r="C69" s="5">
        <v>138.15</v>
      </c>
      <c r="D69" s="5">
        <v>135</v>
      </c>
      <c r="E69" s="5">
        <v>135.87</v>
      </c>
      <c r="F69" s="6">
        <v>7724946</v>
      </c>
    </row>
    <row r="70" spans="1:6" x14ac:dyDescent="0.2">
      <c r="A70" s="4">
        <v>44567</v>
      </c>
      <c r="B70" s="5">
        <v>136.4</v>
      </c>
      <c r="C70" s="5">
        <v>136.66</v>
      </c>
      <c r="D70" s="5">
        <v>135.16</v>
      </c>
      <c r="E70" s="5">
        <v>135.22999999999999</v>
      </c>
      <c r="F70" s="6">
        <v>4667036</v>
      </c>
    </row>
    <row r="71" spans="1:6" x14ac:dyDescent="0.2">
      <c r="A71" s="4">
        <v>44568</v>
      </c>
      <c r="B71" s="5">
        <v>135.25</v>
      </c>
      <c r="C71" s="5">
        <v>135.83500000000001</v>
      </c>
      <c r="D71" s="5">
        <v>134.13</v>
      </c>
      <c r="E71" s="5">
        <v>134.88</v>
      </c>
      <c r="F71" s="6">
        <v>8630341</v>
      </c>
    </row>
    <row r="72" spans="1:6" x14ac:dyDescent="0.2">
      <c r="A72" s="4">
        <v>44571</v>
      </c>
      <c r="B72" s="5">
        <v>135.08000000000001</v>
      </c>
      <c r="C72" s="5">
        <v>136.89500000000001</v>
      </c>
      <c r="D72" s="5">
        <v>134.57</v>
      </c>
      <c r="E72" s="5">
        <v>136.38999999999999</v>
      </c>
      <c r="F72" s="6">
        <v>9794424</v>
      </c>
    </row>
    <row r="73" spans="1:6" x14ac:dyDescent="0.2">
      <c r="A73" s="4">
        <v>44572</v>
      </c>
      <c r="B73" s="5">
        <v>135.85</v>
      </c>
      <c r="C73" s="5">
        <v>137.09</v>
      </c>
      <c r="D73" s="5">
        <v>134.80000000000001</v>
      </c>
      <c r="E73" s="5">
        <v>136.97</v>
      </c>
      <c r="F73" s="6">
        <v>7159363</v>
      </c>
    </row>
    <row r="74" spans="1:6" x14ac:dyDescent="0.2">
      <c r="A74" s="4">
        <v>44573</v>
      </c>
      <c r="B74" s="5">
        <v>136.52000000000001</v>
      </c>
      <c r="C74" s="5">
        <v>137.38820000000001</v>
      </c>
      <c r="D74" s="5">
        <v>136.03</v>
      </c>
      <c r="E74" s="5">
        <v>137.29</v>
      </c>
      <c r="F74" s="6">
        <v>6589301</v>
      </c>
    </row>
    <row r="75" spans="1:6" x14ac:dyDescent="0.2">
      <c r="A75" s="4">
        <v>44574</v>
      </c>
      <c r="B75" s="5">
        <v>135</v>
      </c>
      <c r="C75" s="5">
        <v>135.12</v>
      </c>
      <c r="D75" s="5">
        <v>132.9</v>
      </c>
      <c r="E75" s="5">
        <v>133.52000000000001</v>
      </c>
      <c r="F75" s="6">
        <v>8386373</v>
      </c>
    </row>
    <row r="76" spans="1:6" x14ac:dyDescent="0.2">
      <c r="A76" s="4">
        <v>44575</v>
      </c>
      <c r="B76" s="5">
        <v>133.35</v>
      </c>
      <c r="C76" s="5">
        <v>136.05000000000001</v>
      </c>
      <c r="D76" s="5">
        <v>132.29060000000001</v>
      </c>
      <c r="E76" s="5">
        <v>135.87</v>
      </c>
      <c r="F76" s="6">
        <v>10484540</v>
      </c>
    </row>
    <row r="77" spans="1:6" x14ac:dyDescent="0.2">
      <c r="A77" s="4">
        <v>44579</v>
      </c>
      <c r="B77" s="5">
        <v>135.51</v>
      </c>
      <c r="C77" s="5">
        <v>137.97999999999999</v>
      </c>
      <c r="D77" s="5">
        <v>135.28</v>
      </c>
      <c r="E77" s="5">
        <v>136.78</v>
      </c>
      <c r="F77" s="6">
        <v>12342760</v>
      </c>
    </row>
    <row r="78" spans="1:6" x14ac:dyDescent="0.2">
      <c r="A78" s="4">
        <v>44580</v>
      </c>
      <c r="B78" s="5">
        <v>136.41</v>
      </c>
      <c r="C78" s="5">
        <v>137.5</v>
      </c>
      <c r="D78" s="5">
        <v>134.84</v>
      </c>
      <c r="E78" s="5">
        <v>135.21</v>
      </c>
      <c r="F78" s="6">
        <v>6196740</v>
      </c>
    </row>
    <row r="79" spans="1:6" x14ac:dyDescent="0.2">
      <c r="A79" s="4">
        <v>44581</v>
      </c>
      <c r="B79" s="5">
        <v>134.5</v>
      </c>
      <c r="C79" s="5">
        <v>134.80000000000001</v>
      </c>
      <c r="D79" s="5">
        <v>132.75</v>
      </c>
      <c r="E79" s="5">
        <v>133.03</v>
      </c>
      <c r="F79" s="6">
        <v>6612799</v>
      </c>
    </row>
    <row r="80" spans="1:6" x14ac:dyDescent="0.2">
      <c r="A80" s="4">
        <v>44582</v>
      </c>
      <c r="B80" s="5">
        <v>133.06</v>
      </c>
      <c r="C80" s="5">
        <v>134.25</v>
      </c>
      <c r="D80" s="5">
        <v>131.66999999999999</v>
      </c>
      <c r="E80" s="5">
        <v>131.97999999999999</v>
      </c>
      <c r="F80" s="6">
        <v>7583037</v>
      </c>
    </row>
    <row r="81" spans="1:6" x14ac:dyDescent="0.2">
      <c r="A81" s="4">
        <v>44585</v>
      </c>
      <c r="B81" s="5">
        <v>132.82</v>
      </c>
      <c r="C81" s="5">
        <v>133.25</v>
      </c>
      <c r="D81" s="5">
        <v>128.26</v>
      </c>
      <c r="E81" s="5">
        <v>132.16</v>
      </c>
      <c r="F81" s="6">
        <v>13735590</v>
      </c>
    </row>
    <row r="82" spans="1:6" x14ac:dyDescent="0.2">
      <c r="A82" s="4">
        <v>44586</v>
      </c>
      <c r="B82" s="5">
        <v>131.49</v>
      </c>
      <c r="C82" s="5">
        <v>134.32</v>
      </c>
      <c r="D82" s="5">
        <v>130.79</v>
      </c>
      <c r="E82" s="5">
        <v>133.09</v>
      </c>
      <c r="F82" s="6">
        <v>10296520</v>
      </c>
    </row>
    <row r="83" spans="1:6" x14ac:dyDescent="0.2">
      <c r="A83" s="4">
        <v>44587</v>
      </c>
      <c r="B83" s="5">
        <v>133.29</v>
      </c>
      <c r="C83" s="5">
        <v>135.47999999999999</v>
      </c>
      <c r="D83" s="5">
        <v>132.83000000000001</v>
      </c>
      <c r="E83" s="5">
        <v>134.22999999999999</v>
      </c>
      <c r="F83" s="6">
        <v>8040271</v>
      </c>
    </row>
    <row r="84" spans="1:6" x14ac:dyDescent="0.2">
      <c r="A84" s="4">
        <v>44588</v>
      </c>
      <c r="B84" s="5">
        <v>135.5</v>
      </c>
      <c r="C84" s="5">
        <v>138.30000000000001</v>
      </c>
      <c r="D84" s="5">
        <v>135.36000000000001</v>
      </c>
      <c r="E84" s="5">
        <v>135.97</v>
      </c>
      <c r="F84" s="6">
        <v>8871192</v>
      </c>
    </row>
    <row r="85" spans="1:6" x14ac:dyDescent="0.2">
      <c r="A85" s="4">
        <v>44589</v>
      </c>
      <c r="B85" s="5">
        <v>135.99</v>
      </c>
      <c r="C85" s="5">
        <v>137.97999999999999</v>
      </c>
      <c r="D85" s="5">
        <v>134.60409999999999</v>
      </c>
      <c r="E85" s="5">
        <v>137.91999999999999</v>
      </c>
      <c r="F85" s="6">
        <v>8014359</v>
      </c>
    </row>
    <row r="86" spans="1:6" x14ac:dyDescent="0.2">
      <c r="A86" s="4">
        <v>44592</v>
      </c>
      <c r="B86" s="5">
        <v>136.82</v>
      </c>
      <c r="C86" s="5">
        <v>137.16999999999999</v>
      </c>
      <c r="D86" s="5">
        <v>135.62</v>
      </c>
      <c r="E86" s="5">
        <v>136.88999999999999</v>
      </c>
      <c r="F86" s="6">
        <v>10299970</v>
      </c>
    </row>
    <row r="87" spans="1:6" x14ac:dyDescent="0.2">
      <c r="A87" s="4">
        <v>44593</v>
      </c>
      <c r="B87" s="5">
        <v>137.37</v>
      </c>
      <c r="C87" s="5">
        <v>137.84</v>
      </c>
      <c r="D87" s="5">
        <v>136.04</v>
      </c>
      <c r="E87" s="5">
        <v>137</v>
      </c>
      <c r="F87" s="6">
        <v>7413881</v>
      </c>
    </row>
    <row r="88" spans="1:6" x14ac:dyDescent="0.2">
      <c r="A88" s="4">
        <v>44594</v>
      </c>
      <c r="B88" s="5">
        <v>135.41</v>
      </c>
      <c r="C88" s="5">
        <v>139.41</v>
      </c>
      <c r="D88" s="5">
        <v>133.05000000000001</v>
      </c>
      <c r="E88" s="5">
        <v>138.62</v>
      </c>
      <c r="F88" s="6">
        <v>11363050</v>
      </c>
    </row>
    <row r="89" spans="1:6" x14ac:dyDescent="0.2">
      <c r="A89" s="4">
        <v>44595</v>
      </c>
      <c r="B89" s="5">
        <v>139.5</v>
      </c>
      <c r="C89" s="5">
        <v>141.71</v>
      </c>
      <c r="D89" s="5">
        <v>139.04</v>
      </c>
      <c r="E89" s="5">
        <v>140.72999999999999</v>
      </c>
      <c r="F89" s="6">
        <v>10272730</v>
      </c>
    </row>
    <row r="90" spans="1:6" x14ac:dyDescent="0.2">
      <c r="A90" s="4">
        <v>44596</v>
      </c>
      <c r="B90" s="5">
        <v>140.15</v>
      </c>
      <c r="C90" s="5">
        <v>142.80000000000001</v>
      </c>
      <c r="D90" s="5">
        <v>139.22999999999999</v>
      </c>
      <c r="E90" s="5">
        <v>140.65</v>
      </c>
      <c r="F90" s="6">
        <v>6921536</v>
      </c>
    </row>
    <row r="91" spans="1:6" x14ac:dyDescent="0.2">
      <c r="A91" s="4">
        <v>44599</v>
      </c>
      <c r="B91" s="5">
        <v>141.16999999999999</v>
      </c>
      <c r="C91" s="5">
        <v>143.01499999999999</v>
      </c>
      <c r="D91" s="5">
        <v>140.33000000000001</v>
      </c>
      <c r="E91" s="5">
        <v>142.53</v>
      </c>
      <c r="F91" s="6">
        <v>9597817</v>
      </c>
    </row>
    <row r="92" spans="1:6" x14ac:dyDescent="0.2">
      <c r="A92" s="4">
        <v>44600</v>
      </c>
      <c r="B92" s="5">
        <v>142.03</v>
      </c>
      <c r="C92" s="5">
        <v>143.6</v>
      </c>
      <c r="D92" s="5">
        <v>141.25</v>
      </c>
      <c r="E92" s="5">
        <v>143.51</v>
      </c>
      <c r="F92" s="6">
        <v>7559548</v>
      </c>
    </row>
    <row r="93" spans="1:6" x14ac:dyDescent="0.2">
      <c r="A93" s="4">
        <v>44601</v>
      </c>
      <c r="B93" s="5">
        <v>143.97499999999999</v>
      </c>
      <c r="C93" s="5">
        <v>143.97999999999999</v>
      </c>
      <c r="D93" s="5">
        <v>142.84</v>
      </c>
      <c r="E93" s="5">
        <v>143.19999999999999</v>
      </c>
      <c r="F93" s="6">
        <v>5989143</v>
      </c>
    </row>
    <row r="94" spans="1:6" x14ac:dyDescent="0.2">
      <c r="A94" s="4">
        <v>44602</v>
      </c>
      <c r="B94" s="5">
        <v>143.15</v>
      </c>
      <c r="C94" s="5">
        <v>144.41999999999999</v>
      </c>
      <c r="D94" s="5">
        <v>142.31</v>
      </c>
      <c r="E94" s="5">
        <v>142.71</v>
      </c>
      <c r="F94" s="6">
        <v>7333409</v>
      </c>
    </row>
    <row r="95" spans="1:6" x14ac:dyDescent="0.2">
      <c r="A95" s="4">
        <v>44603</v>
      </c>
      <c r="B95" s="5">
        <v>142.86000000000001</v>
      </c>
      <c r="C95" s="5">
        <v>143.61000000000001</v>
      </c>
      <c r="D95" s="5">
        <v>141.54</v>
      </c>
      <c r="E95" s="5">
        <v>142.01</v>
      </c>
      <c r="F95" s="6">
        <v>6475182</v>
      </c>
    </row>
    <row r="96" spans="1:6" x14ac:dyDescent="0.2">
      <c r="A96" s="4">
        <v>44606</v>
      </c>
      <c r="B96" s="5">
        <v>141.78</v>
      </c>
      <c r="C96" s="5">
        <v>143.19</v>
      </c>
      <c r="D96" s="5">
        <v>139.44110000000001</v>
      </c>
      <c r="E96" s="5">
        <v>143</v>
      </c>
      <c r="F96" s="6">
        <v>9931861</v>
      </c>
    </row>
    <row r="97" spans="1:6" x14ac:dyDescent="0.2">
      <c r="A97" s="4">
        <v>44607</v>
      </c>
      <c r="B97" s="5">
        <v>143.35</v>
      </c>
      <c r="C97" s="5">
        <v>145.46</v>
      </c>
      <c r="D97" s="5">
        <v>143.19999999999999</v>
      </c>
      <c r="E97" s="5">
        <v>144.76</v>
      </c>
      <c r="F97" s="6">
        <v>9530138</v>
      </c>
    </row>
    <row r="98" spans="1:6" x14ac:dyDescent="0.2">
      <c r="A98" s="4">
        <v>44608</v>
      </c>
      <c r="B98" s="5">
        <v>144.74</v>
      </c>
      <c r="C98" s="5">
        <v>147.22</v>
      </c>
      <c r="D98" s="5">
        <v>144.16</v>
      </c>
      <c r="E98" s="5">
        <v>145.87</v>
      </c>
      <c r="F98" s="6">
        <v>8028898</v>
      </c>
    </row>
    <row r="99" spans="1:6" x14ac:dyDescent="0.2">
      <c r="A99" s="4">
        <v>44609</v>
      </c>
      <c r="B99" s="5">
        <v>144.80000000000001</v>
      </c>
      <c r="C99" s="5">
        <v>145.47</v>
      </c>
      <c r="D99" s="5">
        <v>143.58000000000001</v>
      </c>
      <c r="E99" s="5">
        <v>144.97</v>
      </c>
      <c r="F99" s="6">
        <v>5486620</v>
      </c>
    </row>
    <row r="100" spans="1:6" x14ac:dyDescent="0.2">
      <c r="A100" s="4">
        <v>44610</v>
      </c>
      <c r="B100" s="5">
        <v>144.69</v>
      </c>
      <c r="C100" s="5">
        <v>145.72999999999999</v>
      </c>
      <c r="D100" s="5">
        <v>143.37100000000001</v>
      </c>
      <c r="E100" s="5">
        <v>144.03</v>
      </c>
      <c r="F100" s="6">
        <v>7585916</v>
      </c>
    </row>
    <row r="101" spans="1:6" x14ac:dyDescent="0.2">
      <c r="A101" s="4">
        <v>44614</v>
      </c>
      <c r="B101" s="5">
        <v>141.25</v>
      </c>
      <c r="C101" s="5">
        <v>146.35</v>
      </c>
      <c r="D101" s="5">
        <v>141.25</v>
      </c>
      <c r="E101" s="5">
        <v>145.56</v>
      </c>
      <c r="F101" s="6">
        <v>11576760</v>
      </c>
    </row>
    <row r="102" spans="1:6" x14ac:dyDescent="0.2">
      <c r="A102" s="4">
        <v>44615</v>
      </c>
      <c r="B102" s="5">
        <v>146.22</v>
      </c>
      <c r="C102" s="5">
        <v>148.35</v>
      </c>
      <c r="D102" s="5">
        <v>145.36000000000001</v>
      </c>
      <c r="E102" s="5">
        <v>146.76</v>
      </c>
      <c r="F102" s="6">
        <v>9270988</v>
      </c>
    </row>
    <row r="103" spans="1:6" x14ac:dyDescent="0.2">
      <c r="A103" s="4">
        <v>44616</v>
      </c>
      <c r="B103" s="5">
        <v>143.61000000000001</v>
      </c>
      <c r="C103" s="5">
        <v>145.69999999999999</v>
      </c>
      <c r="D103" s="5">
        <v>143.47</v>
      </c>
      <c r="E103" s="5">
        <v>145.27000000000001</v>
      </c>
      <c r="F103" s="6">
        <v>12070210</v>
      </c>
    </row>
    <row r="104" spans="1:6" x14ac:dyDescent="0.2">
      <c r="A104" s="4">
        <v>44617</v>
      </c>
      <c r="B104" s="5">
        <v>146.13</v>
      </c>
      <c r="C104" s="5">
        <v>150.36000000000001</v>
      </c>
      <c r="D104" s="5">
        <v>146.05000000000001</v>
      </c>
      <c r="E104" s="5">
        <v>149.54</v>
      </c>
      <c r="F104" s="6">
        <v>8320709</v>
      </c>
    </row>
    <row r="105" spans="1:6" x14ac:dyDescent="0.2">
      <c r="A105" s="4">
        <v>44620</v>
      </c>
      <c r="B105" s="5">
        <v>146.65</v>
      </c>
      <c r="C105" s="5">
        <v>148.08000000000001</v>
      </c>
      <c r="D105" s="5">
        <v>145.76</v>
      </c>
      <c r="E105" s="5">
        <v>147.77000000000001</v>
      </c>
      <c r="F105" s="6">
        <v>11090650</v>
      </c>
    </row>
    <row r="106" spans="1:6" x14ac:dyDescent="0.2">
      <c r="A106" s="4">
        <v>44621</v>
      </c>
      <c r="B106" s="5">
        <v>147.66999999999999</v>
      </c>
      <c r="C106" s="5">
        <v>149.5</v>
      </c>
      <c r="D106" s="5">
        <v>146.21</v>
      </c>
      <c r="E106" s="5">
        <v>147.69</v>
      </c>
      <c r="F106" s="6">
        <v>7489868</v>
      </c>
    </row>
    <row r="107" spans="1:6" x14ac:dyDescent="0.2">
      <c r="A107" s="4">
        <v>44622</v>
      </c>
      <c r="B107" s="5">
        <v>147.69999999999999</v>
      </c>
      <c r="C107" s="5">
        <v>151.251</v>
      </c>
      <c r="D107" s="5">
        <v>147.22</v>
      </c>
      <c r="E107" s="5">
        <v>149.57</v>
      </c>
      <c r="F107" s="6">
        <v>8247223</v>
      </c>
    </row>
    <row r="108" spans="1:6" x14ac:dyDescent="0.2">
      <c r="A108" s="4">
        <v>44623</v>
      </c>
      <c r="B108" s="5">
        <v>149.81</v>
      </c>
      <c r="C108" s="5">
        <v>150.79</v>
      </c>
      <c r="D108" s="5">
        <v>148.845</v>
      </c>
      <c r="E108" s="5">
        <v>150.41</v>
      </c>
      <c r="F108" s="6">
        <v>5408390</v>
      </c>
    </row>
    <row r="109" spans="1:6" x14ac:dyDescent="0.2">
      <c r="A109" s="4">
        <v>44624</v>
      </c>
      <c r="B109" s="5">
        <v>148.6</v>
      </c>
      <c r="C109" s="5">
        <v>150.68</v>
      </c>
      <c r="D109" s="5">
        <v>148.10069999999999</v>
      </c>
      <c r="E109" s="5">
        <v>150.56</v>
      </c>
      <c r="F109" s="6">
        <v>5390340</v>
      </c>
    </row>
    <row r="110" spans="1:6" x14ac:dyDescent="0.2">
      <c r="A110" s="4">
        <v>44627</v>
      </c>
      <c r="B110" s="5">
        <v>149</v>
      </c>
      <c r="C110" s="5">
        <v>150.75</v>
      </c>
      <c r="D110" s="5">
        <v>148.19</v>
      </c>
      <c r="E110" s="5">
        <v>149.44999999999999</v>
      </c>
      <c r="F110" s="6">
        <v>7137687</v>
      </c>
    </row>
    <row r="111" spans="1:6" x14ac:dyDescent="0.2">
      <c r="A111" s="4">
        <v>44628</v>
      </c>
      <c r="B111" s="5">
        <v>149</v>
      </c>
      <c r="C111" s="5">
        <v>149.88999999999999</v>
      </c>
      <c r="D111" s="5">
        <v>146.36000000000001</v>
      </c>
      <c r="E111" s="5">
        <v>147.15</v>
      </c>
      <c r="F111" s="6">
        <v>8817502</v>
      </c>
    </row>
    <row r="112" spans="1:6" x14ac:dyDescent="0.2">
      <c r="A112" s="4">
        <v>44629</v>
      </c>
      <c r="B112" s="5">
        <v>148.26</v>
      </c>
      <c r="C112" s="5">
        <v>150.11000000000001</v>
      </c>
      <c r="D112" s="5">
        <v>147.76</v>
      </c>
      <c r="E112" s="5">
        <v>148.84</v>
      </c>
      <c r="F112" s="6">
        <v>5368890</v>
      </c>
    </row>
    <row r="113" spans="1:6" x14ac:dyDescent="0.2">
      <c r="A113" s="4">
        <v>44630</v>
      </c>
      <c r="B113" s="5">
        <v>148.07</v>
      </c>
      <c r="C113" s="5">
        <v>149.75</v>
      </c>
      <c r="D113" s="5">
        <v>147.69999999999999</v>
      </c>
      <c r="E113" s="5">
        <v>149.16999999999999</v>
      </c>
      <c r="F113" s="6">
        <v>4635711</v>
      </c>
    </row>
    <row r="114" spans="1:6" x14ac:dyDescent="0.2">
      <c r="A114" s="4">
        <v>44631</v>
      </c>
      <c r="B114" s="5">
        <v>149.34</v>
      </c>
      <c r="C114" s="5">
        <v>150.4</v>
      </c>
      <c r="D114" s="5">
        <v>148.97999999999999</v>
      </c>
      <c r="E114" s="5">
        <v>149.06</v>
      </c>
      <c r="F114" s="6">
        <v>5171515</v>
      </c>
    </row>
    <row r="115" spans="1:6" x14ac:dyDescent="0.2">
      <c r="A115" s="4">
        <v>44634</v>
      </c>
      <c r="B115" s="5">
        <v>150.72999999999999</v>
      </c>
      <c r="C115" s="5">
        <v>152.97</v>
      </c>
      <c r="D115" s="5">
        <v>149.02000000000001</v>
      </c>
      <c r="E115" s="5">
        <v>152.1</v>
      </c>
      <c r="F115" s="6">
        <v>8647186</v>
      </c>
    </row>
    <row r="116" spans="1:6" x14ac:dyDescent="0.2">
      <c r="A116" s="4">
        <v>44635</v>
      </c>
      <c r="B116" s="5">
        <v>152.26</v>
      </c>
      <c r="C116" s="5">
        <v>156.42500000000001</v>
      </c>
      <c r="D116" s="5">
        <v>152.16</v>
      </c>
      <c r="E116" s="5">
        <v>155.88</v>
      </c>
      <c r="F116" s="6">
        <v>8384311</v>
      </c>
    </row>
    <row r="117" spans="1:6" x14ac:dyDescent="0.2">
      <c r="A117" s="4">
        <v>44636</v>
      </c>
      <c r="B117" s="5">
        <v>156.5</v>
      </c>
      <c r="C117" s="5">
        <v>156.82</v>
      </c>
      <c r="D117" s="5">
        <v>153.52000000000001</v>
      </c>
      <c r="E117" s="5">
        <v>156.05000000000001</v>
      </c>
      <c r="F117" s="6">
        <v>7178920</v>
      </c>
    </row>
    <row r="118" spans="1:6" x14ac:dyDescent="0.2">
      <c r="A118" s="4">
        <v>44637</v>
      </c>
      <c r="B118" s="5">
        <v>157.16999999999999</v>
      </c>
      <c r="C118" s="5">
        <v>158.61000000000001</v>
      </c>
      <c r="D118" s="5">
        <v>156.21</v>
      </c>
      <c r="E118" s="5">
        <v>158.59</v>
      </c>
      <c r="F118" s="6">
        <v>7227874</v>
      </c>
    </row>
    <row r="119" spans="1:6" x14ac:dyDescent="0.2">
      <c r="A119" s="4">
        <v>44638</v>
      </c>
      <c r="B119" s="5">
        <v>158</v>
      </c>
      <c r="C119" s="5">
        <v>159.44</v>
      </c>
      <c r="D119" s="5">
        <v>157.13999999999999</v>
      </c>
      <c r="E119" s="5">
        <v>159.19999999999999</v>
      </c>
      <c r="F119" s="6">
        <v>9912801</v>
      </c>
    </row>
    <row r="120" spans="1:6" x14ac:dyDescent="0.2">
      <c r="A120" s="4">
        <v>44641</v>
      </c>
      <c r="B120" s="5">
        <v>159.94999999999999</v>
      </c>
      <c r="C120" s="5">
        <v>160.94999999999999</v>
      </c>
      <c r="D120" s="5">
        <v>158.99</v>
      </c>
      <c r="E120" s="5">
        <v>160.05000000000001</v>
      </c>
      <c r="F120" s="6">
        <v>5825007</v>
      </c>
    </row>
    <row r="121" spans="1:6" x14ac:dyDescent="0.2">
      <c r="A121" s="4">
        <v>44642</v>
      </c>
      <c r="B121" s="5">
        <v>160.05000000000001</v>
      </c>
      <c r="C121" s="5">
        <v>160.30000000000001</v>
      </c>
      <c r="D121" s="5">
        <v>158.02000000000001</v>
      </c>
      <c r="E121" s="5">
        <v>160.01</v>
      </c>
      <c r="F121" s="6">
        <v>5756607</v>
      </c>
    </row>
    <row r="122" spans="1:6" x14ac:dyDescent="0.2">
      <c r="A122" s="4">
        <v>44643</v>
      </c>
      <c r="B122" s="5">
        <v>160.01</v>
      </c>
      <c r="C122" s="5">
        <v>161.18</v>
      </c>
      <c r="D122" s="5">
        <v>158.36000000000001</v>
      </c>
      <c r="E122" s="5">
        <v>158.41999999999999</v>
      </c>
      <c r="F122" s="6">
        <v>6300611</v>
      </c>
    </row>
    <row r="123" spans="1:6" x14ac:dyDescent="0.2">
      <c r="A123" s="4">
        <v>44644</v>
      </c>
      <c r="B123" s="5">
        <v>159.22</v>
      </c>
      <c r="C123" s="5">
        <v>160.72999999999999</v>
      </c>
      <c r="D123" s="5">
        <v>158.85</v>
      </c>
      <c r="E123" s="5">
        <v>160.28</v>
      </c>
      <c r="F123" s="6">
        <v>4638125</v>
      </c>
    </row>
    <row r="124" spans="1:6" x14ac:dyDescent="0.2">
      <c r="A124" s="4">
        <v>44645</v>
      </c>
      <c r="B124" s="5">
        <v>160.55000000000001</v>
      </c>
      <c r="C124" s="5">
        <v>161.97999999999999</v>
      </c>
      <c r="D124" s="5">
        <v>160.22999999999999</v>
      </c>
      <c r="E124" s="5">
        <v>161.33000000000001</v>
      </c>
      <c r="F124" s="6">
        <v>5129839</v>
      </c>
    </row>
    <row r="125" spans="1:6" x14ac:dyDescent="0.2">
      <c r="A125" s="4">
        <v>44648</v>
      </c>
      <c r="B125" s="5">
        <v>160.61000000000001</v>
      </c>
      <c r="C125" s="5">
        <v>162.03</v>
      </c>
      <c r="D125" s="5">
        <v>159.53</v>
      </c>
      <c r="E125" s="5">
        <v>161.97</v>
      </c>
      <c r="F125" s="6">
        <v>4516453</v>
      </c>
    </row>
    <row r="126" spans="1:6" x14ac:dyDescent="0.2">
      <c r="A126" s="4">
        <v>44649</v>
      </c>
      <c r="B126" s="5">
        <v>162.99</v>
      </c>
      <c r="C126" s="5">
        <v>163.28</v>
      </c>
      <c r="D126" s="5">
        <v>161.29</v>
      </c>
      <c r="E126" s="5">
        <v>162.18</v>
      </c>
      <c r="F126" s="6">
        <v>6154068</v>
      </c>
    </row>
    <row r="127" spans="1:6" x14ac:dyDescent="0.2">
      <c r="A127" s="4">
        <v>44650</v>
      </c>
      <c r="B127" s="5">
        <v>161.72</v>
      </c>
      <c r="C127" s="5">
        <v>164.35</v>
      </c>
      <c r="D127" s="5">
        <v>161.72</v>
      </c>
      <c r="E127" s="5">
        <v>163.75</v>
      </c>
      <c r="F127" s="6">
        <v>5151769</v>
      </c>
    </row>
    <row r="128" spans="1:6" x14ac:dyDescent="0.2">
      <c r="A128" s="4">
        <v>44651</v>
      </c>
      <c r="B128" s="5">
        <v>162.93</v>
      </c>
      <c r="C128" s="5">
        <v>164.65899999999999</v>
      </c>
      <c r="D128" s="5">
        <v>162.095</v>
      </c>
      <c r="E128" s="5">
        <v>162.11000000000001</v>
      </c>
      <c r="F128" s="6">
        <v>8670050</v>
      </c>
    </row>
    <row r="129" spans="1:6" x14ac:dyDescent="0.2">
      <c r="A129" s="4">
        <v>44652</v>
      </c>
      <c r="B129" s="5">
        <v>162.15</v>
      </c>
      <c r="C129" s="5">
        <v>163.07</v>
      </c>
      <c r="D129" s="5">
        <v>160.1</v>
      </c>
      <c r="E129" s="5">
        <v>162.68</v>
      </c>
      <c r="F129" s="6">
        <v>5703304</v>
      </c>
    </row>
    <row r="130" spans="1:6" x14ac:dyDescent="0.2">
      <c r="A130" s="4">
        <v>44655</v>
      </c>
      <c r="B130" s="5">
        <v>162.5</v>
      </c>
      <c r="C130" s="5">
        <v>163.83500000000001</v>
      </c>
      <c r="D130" s="5">
        <v>161.46029999999999</v>
      </c>
      <c r="E130" s="5">
        <v>161.88999999999999</v>
      </c>
      <c r="F130" s="6">
        <v>6893388</v>
      </c>
    </row>
    <row r="131" spans="1:6" x14ac:dyDescent="0.2">
      <c r="A131" s="4">
        <v>44656</v>
      </c>
      <c r="B131" s="5">
        <v>161.88999999999999</v>
      </c>
      <c r="C131" s="5">
        <v>165.96</v>
      </c>
      <c r="D131" s="5">
        <v>161.84</v>
      </c>
      <c r="E131" s="5">
        <v>163.43</v>
      </c>
      <c r="F131" s="6">
        <v>6683278</v>
      </c>
    </row>
    <row r="132" spans="1:6" x14ac:dyDescent="0.2">
      <c r="A132" s="4">
        <v>44657</v>
      </c>
      <c r="B132" s="5">
        <v>164.49</v>
      </c>
      <c r="C132" s="5">
        <v>169.27</v>
      </c>
      <c r="D132" s="5">
        <v>163.80000000000001</v>
      </c>
      <c r="E132" s="5">
        <v>168.91</v>
      </c>
      <c r="F132" s="6">
        <v>8810799</v>
      </c>
    </row>
    <row r="133" spans="1:6" x14ac:dyDescent="0.2">
      <c r="A133" s="4">
        <v>44658</v>
      </c>
      <c r="B133" s="5">
        <v>167.67</v>
      </c>
      <c r="C133" s="5">
        <v>174.59</v>
      </c>
      <c r="D133" s="5">
        <v>167.54</v>
      </c>
      <c r="E133" s="5">
        <v>173.28</v>
      </c>
      <c r="F133" s="6">
        <v>7468993</v>
      </c>
    </row>
    <row r="134" spans="1:6" x14ac:dyDescent="0.2">
      <c r="A134" s="4">
        <v>44659</v>
      </c>
      <c r="B134" s="5">
        <v>173</v>
      </c>
      <c r="C134" s="5">
        <v>175.91</v>
      </c>
      <c r="D134" s="5">
        <v>172.50239999999999</v>
      </c>
      <c r="E134" s="5">
        <v>174.96</v>
      </c>
      <c r="F134" s="6">
        <v>7204244</v>
      </c>
    </row>
    <row r="135" spans="1:6" x14ac:dyDescent="0.2">
      <c r="A135" s="4">
        <v>44662</v>
      </c>
      <c r="B135" s="5">
        <v>174.9</v>
      </c>
      <c r="C135" s="5">
        <v>175.04</v>
      </c>
      <c r="D135" s="5">
        <v>169.32</v>
      </c>
      <c r="E135" s="5">
        <v>169.83</v>
      </c>
      <c r="F135" s="6">
        <v>8163215</v>
      </c>
    </row>
    <row r="136" spans="1:6" x14ac:dyDescent="0.2">
      <c r="A136" s="4">
        <v>44663</v>
      </c>
      <c r="B136" s="5">
        <v>169.31</v>
      </c>
      <c r="C136" s="5">
        <v>170.5599</v>
      </c>
      <c r="D136" s="5">
        <v>166.21</v>
      </c>
      <c r="E136" s="5">
        <v>167.31</v>
      </c>
      <c r="F136" s="6">
        <v>8279674</v>
      </c>
    </row>
    <row r="137" spans="1:6" x14ac:dyDescent="0.2">
      <c r="A137" s="4">
        <v>44664</v>
      </c>
      <c r="B137" s="5">
        <v>165</v>
      </c>
      <c r="C137" s="5">
        <v>165</v>
      </c>
      <c r="D137" s="5">
        <v>156.44499999999999</v>
      </c>
      <c r="E137" s="5">
        <v>158.94999999999999</v>
      </c>
      <c r="F137" s="6">
        <v>18312610</v>
      </c>
    </row>
    <row r="138" spans="1:6" x14ac:dyDescent="0.2">
      <c r="A138" s="4">
        <v>44665</v>
      </c>
      <c r="B138" s="5">
        <v>157.85</v>
      </c>
      <c r="C138" s="5">
        <v>163.87</v>
      </c>
      <c r="D138" s="5">
        <v>156.82</v>
      </c>
      <c r="E138" s="5">
        <v>162.31</v>
      </c>
      <c r="F138" s="6">
        <v>11074800</v>
      </c>
    </row>
    <row r="139" spans="1:6" x14ac:dyDescent="0.2">
      <c r="A139" s="4">
        <v>44669</v>
      </c>
      <c r="B139" s="5">
        <v>161.96</v>
      </c>
      <c r="C139" s="5">
        <v>162.79</v>
      </c>
      <c r="D139" s="5">
        <v>158.75</v>
      </c>
      <c r="E139" s="5">
        <v>159.36000000000001</v>
      </c>
      <c r="F139" s="6">
        <v>6500188</v>
      </c>
    </row>
    <row r="140" spans="1:6" x14ac:dyDescent="0.2">
      <c r="A140" s="4">
        <v>44670</v>
      </c>
      <c r="B140" s="5">
        <v>160.4</v>
      </c>
      <c r="C140" s="5">
        <v>160.5</v>
      </c>
      <c r="D140" s="5">
        <v>153.71</v>
      </c>
      <c r="E140" s="5">
        <v>156.35</v>
      </c>
      <c r="F140" s="6">
        <v>9359942</v>
      </c>
    </row>
    <row r="141" spans="1:6" x14ac:dyDescent="0.2">
      <c r="A141" s="4">
        <v>44671</v>
      </c>
      <c r="B141" s="5">
        <v>156.36000000000001</v>
      </c>
      <c r="C141" s="5">
        <v>158.1</v>
      </c>
      <c r="D141" s="5">
        <v>155.52000000000001</v>
      </c>
      <c r="E141" s="5">
        <v>156.69999999999999</v>
      </c>
      <c r="F141" s="6">
        <v>6250030</v>
      </c>
    </row>
    <row r="142" spans="1:6" x14ac:dyDescent="0.2">
      <c r="A142" s="4">
        <v>44672</v>
      </c>
      <c r="B142" s="5">
        <v>157</v>
      </c>
      <c r="C142" s="5">
        <v>160.38</v>
      </c>
      <c r="D142" s="5">
        <v>155.35</v>
      </c>
      <c r="E142" s="5">
        <v>158.52000000000001</v>
      </c>
      <c r="F142" s="6">
        <v>7903316</v>
      </c>
    </row>
    <row r="143" spans="1:6" x14ac:dyDescent="0.2">
      <c r="A143" s="4">
        <v>44673</v>
      </c>
      <c r="B143" s="5">
        <v>157.28</v>
      </c>
      <c r="C143" s="5">
        <v>158.32</v>
      </c>
      <c r="D143" s="5">
        <v>154.34</v>
      </c>
      <c r="E143" s="5">
        <v>154.99</v>
      </c>
      <c r="F143" s="6">
        <v>7938279</v>
      </c>
    </row>
    <row r="144" spans="1:6" x14ac:dyDescent="0.2">
      <c r="A144" s="4">
        <v>44676</v>
      </c>
      <c r="B144" s="5">
        <v>154.84</v>
      </c>
      <c r="C144" s="5">
        <v>156.63999999999999</v>
      </c>
      <c r="D144" s="5">
        <v>152.84</v>
      </c>
      <c r="E144" s="5">
        <v>156.30000000000001</v>
      </c>
      <c r="F144" s="6">
        <v>6932604</v>
      </c>
    </row>
    <row r="145" spans="1:6" x14ac:dyDescent="0.2">
      <c r="A145" s="4">
        <v>44677</v>
      </c>
      <c r="B145" s="5">
        <v>156.44</v>
      </c>
      <c r="C145" s="5">
        <v>159.69</v>
      </c>
      <c r="D145" s="5">
        <v>155.82</v>
      </c>
      <c r="E145" s="5">
        <v>156.18</v>
      </c>
      <c r="F145" s="6">
        <v>6787783</v>
      </c>
    </row>
    <row r="146" spans="1:6" x14ac:dyDescent="0.2">
      <c r="A146" s="4">
        <v>44678</v>
      </c>
      <c r="B146" s="5">
        <v>156.56</v>
      </c>
      <c r="C146" s="5">
        <v>159.5</v>
      </c>
      <c r="D146" s="5">
        <v>154.56020000000001</v>
      </c>
      <c r="E146" s="5">
        <v>157.62</v>
      </c>
      <c r="F146" s="6">
        <v>6039054</v>
      </c>
    </row>
    <row r="147" spans="1:6" x14ac:dyDescent="0.2">
      <c r="A147" s="4">
        <v>44679</v>
      </c>
      <c r="B147" s="5">
        <v>158.36000000000001</v>
      </c>
      <c r="C147" s="5">
        <v>158.44</v>
      </c>
      <c r="D147" s="5">
        <v>154.33500000000001</v>
      </c>
      <c r="E147" s="5">
        <v>156.31</v>
      </c>
      <c r="F147" s="6">
        <v>7466852</v>
      </c>
    </row>
    <row r="148" spans="1:6" x14ac:dyDescent="0.2">
      <c r="A148" s="4">
        <v>44680</v>
      </c>
      <c r="B148" s="5">
        <v>149.56</v>
      </c>
      <c r="C148" s="5">
        <v>149.86000000000001</v>
      </c>
      <c r="D148" s="5">
        <v>139.93</v>
      </c>
      <c r="E148" s="5">
        <v>146.88</v>
      </c>
      <c r="F148" s="6">
        <v>25155900</v>
      </c>
    </row>
    <row r="149" spans="1:6" x14ac:dyDescent="0.2">
      <c r="A149" s="4">
        <v>44683</v>
      </c>
      <c r="B149" s="5">
        <v>146.65</v>
      </c>
      <c r="C149" s="5">
        <v>148.9</v>
      </c>
      <c r="D149" s="5">
        <v>143.44</v>
      </c>
      <c r="E149" s="5">
        <v>147.87</v>
      </c>
      <c r="F149" s="6">
        <v>9690811</v>
      </c>
    </row>
    <row r="150" spans="1:6" x14ac:dyDescent="0.2">
      <c r="A150" s="4">
        <v>44684</v>
      </c>
      <c r="B150" s="5">
        <v>148.05000000000001</v>
      </c>
      <c r="C150" s="5">
        <v>150.74</v>
      </c>
      <c r="D150" s="5">
        <v>147.94999999999999</v>
      </c>
      <c r="E150" s="5">
        <v>149.6</v>
      </c>
      <c r="F150" s="6">
        <v>6163420</v>
      </c>
    </row>
    <row r="151" spans="1:6" x14ac:dyDescent="0.2">
      <c r="A151" s="4">
        <v>44685</v>
      </c>
      <c r="B151" s="5">
        <v>148.18</v>
      </c>
      <c r="C151" s="5">
        <v>152.37</v>
      </c>
      <c r="D151" s="5">
        <v>147.59</v>
      </c>
      <c r="E151" s="5">
        <v>151.59</v>
      </c>
      <c r="F151" s="6">
        <v>5791459</v>
      </c>
    </row>
    <row r="152" spans="1:6" x14ac:dyDescent="0.2">
      <c r="A152" s="4">
        <v>44686</v>
      </c>
      <c r="B152" s="5">
        <v>152.77000000000001</v>
      </c>
      <c r="C152" s="5">
        <v>153.32</v>
      </c>
      <c r="D152" s="5">
        <v>150.04</v>
      </c>
      <c r="E152" s="5">
        <v>152.18</v>
      </c>
      <c r="F152" s="6">
        <v>6869281</v>
      </c>
    </row>
    <row r="153" spans="1:6" x14ac:dyDescent="0.2">
      <c r="A153" s="4">
        <v>44687</v>
      </c>
      <c r="B153" s="5">
        <v>149.68</v>
      </c>
      <c r="C153" s="5">
        <v>153.52000000000001</v>
      </c>
      <c r="D153" s="5">
        <v>149.01499999999999</v>
      </c>
      <c r="E153" s="5">
        <v>152.83000000000001</v>
      </c>
      <c r="F153" s="6">
        <v>6145590</v>
      </c>
    </row>
    <row r="154" spans="1:6" x14ac:dyDescent="0.2">
      <c r="A154" s="4">
        <v>44690</v>
      </c>
      <c r="B154" s="5">
        <v>151.62</v>
      </c>
      <c r="C154" s="5">
        <v>153.53620000000001</v>
      </c>
      <c r="D154" s="5">
        <v>148.93379999999999</v>
      </c>
      <c r="E154" s="5">
        <v>150.96</v>
      </c>
      <c r="F154" s="6">
        <v>6968994</v>
      </c>
    </row>
    <row r="155" spans="1:6" x14ac:dyDescent="0.2">
      <c r="A155" s="4">
        <v>44691</v>
      </c>
      <c r="B155" s="5">
        <v>151.27000000000001</v>
      </c>
      <c r="C155" s="5">
        <v>154.53</v>
      </c>
      <c r="D155" s="5">
        <v>150.51</v>
      </c>
      <c r="E155" s="5">
        <v>152.09</v>
      </c>
      <c r="F155" s="6">
        <v>6525184</v>
      </c>
    </row>
    <row r="156" spans="1:6" x14ac:dyDescent="0.2">
      <c r="A156" s="4">
        <v>44692</v>
      </c>
      <c r="B156" s="5">
        <v>151.02000000000001</v>
      </c>
      <c r="C156" s="5">
        <v>154.76</v>
      </c>
      <c r="D156" s="5">
        <v>150.94</v>
      </c>
      <c r="E156" s="5">
        <v>151.96</v>
      </c>
      <c r="F156" s="6">
        <v>5630020</v>
      </c>
    </row>
    <row r="157" spans="1:6" x14ac:dyDescent="0.2">
      <c r="A157" s="4">
        <v>44693</v>
      </c>
      <c r="B157" s="5">
        <v>153.38</v>
      </c>
      <c r="C157" s="5">
        <v>154.35</v>
      </c>
      <c r="D157" s="5">
        <v>150.15</v>
      </c>
      <c r="E157" s="5">
        <v>154.29</v>
      </c>
      <c r="F157" s="6">
        <v>6914812</v>
      </c>
    </row>
    <row r="158" spans="1:6" x14ac:dyDescent="0.2">
      <c r="A158" s="4">
        <v>44694</v>
      </c>
      <c r="B158" s="5">
        <v>153.41999999999999</v>
      </c>
      <c r="C158" s="5">
        <v>154.38999999999999</v>
      </c>
      <c r="D158" s="5">
        <v>151.89500000000001</v>
      </c>
      <c r="E158" s="5">
        <v>153.5</v>
      </c>
      <c r="F158" s="6">
        <v>6398527</v>
      </c>
    </row>
    <row r="159" spans="1:6" x14ac:dyDescent="0.2">
      <c r="A159" s="4">
        <v>44697</v>
      </c>
      <c r="B159" s="5">
        <v>153.93</v>
      </c>
      <c r="C159" s="5">
        <v>156.88999999999999</v>
      </c>
      <c r="D159" s="5">
        <v>153.27000000000001</v>
      </c>
      <c r="E159" s="5">
        <v>155.47</v>
      </c>
      <c r="F159" s="6">
        <v>6565644</v>
      </c>
    </row>
    <row r="160" spans="1:6" x14ac:dyDescent="0.2">
      <c r="A160" s="4">
        <v>44698</v>
      </c>
      <c r="B160" s="5">
        <v>155.38</v>
      </c>
      <c r="C160" s="5">
        <v>155.79</v>
      </c>
      <c r="D160" s="5">
        <v>152.85</v>
      </c>
      <c r="E160" s="5">
        <v>154.78</v>
      </c>
      <c r="F160" s="6">
        <v>6032338</v>
      </c>
    </row>
    <row r="161" spans="1:6" x14ac:dyDescent="0.2">
      <c r="A161" s="4">
        <v>44699</v>
      </c>
      <c r="B161" s="5">
        <v>154.79</v>
      </c>
      <c r="C161" s="5">
        <v>155.69999999999999</v>
      </c>
      <c r="D161" s="5">
        <v>151.75</v>
      </c>
      <c r="E161" s="5">
        <v>152.43</v>
      </c>
      <c r="F161" s="6">
        <v>6498124</v>
      </c>
    </row>
    <row r="162" spans="1:6" x14ac:dyDescent="0.2">
      <c r="A162" s="4">
        <v>44700</v>
      </c>
      <c r="B162" s="5">
        <v>151.19999999999999</v>
      </c>
      <c r="C162" s="5">
        <v>152.4</v>
      </c>
      <c r="D162" s="5">
        <v>149.28</v>
      </c>
      <c r="E162" s="5">
        <v>151.72</v>
      </c>
      <c r="F162" s="6">
        <v>5994936</v>
      </c>
    </row>
    <row r="163" spans="1:6" x14ac:dyDescent="0.2">
      <c r="A163" s="4">
        <v>44701</v>
      </c>
      <c r="B163" s="5">
        <v>152.33000000000001</v>
      </c>
      <c r="C163" s="5">
        <v>153.52000000000001</v>
      </c>
      <c r="D163" s="5">
        <v>147.81</v>
      </c>
      <c r="E163" s="5">
        <v>151.01</v>
      </c>
      <c r="F163" s="6">
        <v>6746396</v>
      </c>
    </row>
    <row r="164" spans="1:6" x14ac:dyDescent="0.2">
      <c r="A164" s="4">
        <v>44704</v>
      </c>
      <c r="B164" s="5">
        <v>151.65</v>
      </c>
      <c r="C164" s="5">
        <v>152</v>
      </c>
      <c r="D164" s="5">
        <v>147.19</v>
      </c>
      <c r="E164" s="5">
        <v>148.03</v>
      </c>
      <c r="F164" s="6">
        <v>6886431</v>
      </c>
    </row>
    <row r="165" spans="1:6" x14ac:dyDescent="0.2">
      <c r="A165" s="4">
        <v>44705</v>
      </c>
      <c r="B165" s="5">
        <v>147.03</v>
      </c>
      <c r="C165" s="5">
        <v>151.35</v>
      </c>
      <c r="D165" s="5">
        <v>146.61000000000001</v>
      </c>
      <c r="E165" s="5">
        <v>149.11000000000001</v>
      </c>
      <c r="F165" s="6">
        <v>6367369</v>
      </c>
    </row>
    <row r="166" spans="1:6" x14ac:dyDescent="0.2">
      <c r="A166" s="4">
        <v>44706</v>
      </c>
      <c r="B166" s="5">
        <v>150.36000000000001</v>
      </c>
      <c r="C166" s="5">
        <v>152.99</v>
      </c>
      <c r="D166" s="5">
        <v>149.79</v>
      </c>
      <c r="E166" s="5">
        <v>151.96</v>
      </c>
      <c r="F166" s="6">
        <v>5042646</v>
      </c>
    </row>
    <row r="167" spans="1:6" x14ac:dyDescent="0.2">
      <c r="A167" s="4">
        <v>44707</v>
      </c>
      <c r="B167" s="5">
        <v>151.63</v>
      </c>
      <c r="C167" s="5">
        <v>153.065</v>
      </c>
      <c r="D167" s="5">
        <v>150.38999999999999</v>
      </c>
      <c r="E167" s="5">
        <v>150.57</v>
      </c>
      <c r="F167" s="6">
        <v>6659284</v>
      </c>
    </row>
    <row r="168" spans="1:6" x14ac:dyDescent="0.2">
      <c r="A168" s="4">
        <v>44708</v>
      </c>
      <c r="B168" s="5">
        <v>149.52000000000001</v>
      </c>
      <c r="C168" s="5">
        <v>150.05000000000001</v>
      </c>
      <c r="D168" s="5">
        <v>147.75</v>
      </c>
      <c r="E168" s="5">
        <v>150</v>
      </c>
      <c r="F168" s="6">
        <v>8404961</v>
      </c>
    </row>
    <row r="169" spans="1:6" x14ac:dyDescent="0.2">
      <c r="A169" s="4">
        <v>44712</v>
      </c>
      <c r="B169" s="5">
        <v>148.63999999999999</v>
      </c>
      <c r="C169" s="5">
        <v>148.88</v>
      </c>
      <c r="D169" s="5">
        <v>146.66499999999999</v>
      </c>
      <c r="E169" s="5">
        <v>147.37</v>
      </c>
      <c r="F169" s="6">
        <v>11227810</v>
      </c>
    </row>
    <row r="170" spans="1:6" x14ac:dyDescent="0.2">
      <c r="A170" s="4">
        <v>44713</v>
      </c>
      <c r="B170" s="5">
        <v>147.79</v>
      </c>
      <c r="C170" s="5">
        <v>147.88999999999999</v>
      </c>
      <c r="D170" s="5">
        <v>144.32</v>
      </c>
      <c r="E170" s="5">
        <v>146.02000000000001</v>
      </c>
      <c r="F170" s="6">
        <v>5598079</v>
      </c>
    </row>
    <row r="171" spans="1:6" x14ac:dyDescent="0.2">
      <c r="A171" s="4">
        <v>44714</v>
      </c>
      <c r="B171" s="5">
        <v>146.65</v>
      </c>
      <c r="C171" s="5">
        <v>147.07</v>
      </c>
      <c r="D171" s="5">
        <v>142.9</v>
      </c>
      <c r="E171" s="5">
        <v>146.75</v>
      </c>
      <c r="F171" s="6">
        <v>5999151</v>
      </c>
    </row>
    <row r="172" spans="1:6" x14ac:dyDescent="0.2">
      <c r="A172" s="4">
        <v>44715</v>
      </c>
      <c r="B172" s="5">
        <v>146.75</v>
      </c>
      <c r="C172" s="5">
        <v>148.21</v>
      </c>
      <c r="D172" s="5">
        <v>146.75</v>
      </c>
      <c r="E172" s="5">
        <v>147.16999999999999</v>
      </c>
      <c r="F172" s="6">
        <v>4891769</v>
      </c>
    </row>
    <row r="173" spans="1:6" x14ac:dyDescent="0.2">
      <c r="A173" s="4">
        <v>44718</v>
      </c>
      <c r="B173" s="5">
        <v>147</v>
      </c>
      <c r="C173" s="5">
        <v>147.82</v>
      </c>
      <c r="D173" s="5">
        <v>145.66</v>
      </c>
      <c r="E173" s="5">
        <v>146.53</v>
      </c>
      <c r="F173" s="6">
        <v>3912363</v>
      </c>
    </row>
    <row r="174" spans="1:6" x14ac:dyDescent="0.2">
      <c r="A174" s="4">
        <v>44719</v>
      </c>
      <c r="B174" s="5">
        <v>146.91999999999999</v>
      </c>
      <c r="C174" s="5">
        <v>149.345</v>
      </c>
      <c r="D174" s="5">
        <v>145.86500000000001</v>
      </c>
      <c r="E174" s="5">
        <v>149.13999999999999</v>
      </c>
      <c r="F174" s="6">
        <v>4991336</v>
      </c>
    </row>
    <row r="175" spans="1:6" x14ac:dyDescent="0.2">
      <c r="A175" s="4">
        <v>44720</v>
      </c>
      <c r="B175" s="5">
        <v>148.9</v>
      </c>
      <c r="C175" s="5">
        <v>149.85</v>
      </c>
      <c r="D175" s="5">
        <v>148.245</v>
      </c>
      <c r="E175" s="5">
        <v>149.25</v>
      </c>
      <c r="F175" s="6">
        <v>4835297</v>
      </c>
    </row>
    <row r="176" spans="1:6" x14ac:dyDescent="0.2">
      <c r="A176" s="4">
        <v>44721</v>
      </c>
      <c r="B176" s="5">
        <v>149.72</v>
      </c>
      <c r="C176" s="5">
        <v>150.52000000000001</v>
      </c>
      <c r="D176" s="5">
        <v>145.30000000000001</v>
      </c>
      <c r="E176" s="5">
        <v>145.43</v>
      </c>
      <c r="F176" s="6">
        <v>5644278</v>
      </c>
    </row>
    <row r="177" spans="1:6" x14ac:dyDescent="0.2">
      <c r="A177" s="4">
        <v>44722</v>
      </c>
      <c r="B177" s="5">
        <v>144.34</v>
      </c>
      <c r="C177" s="5">
        <v>144.63310000000001</v>
      </c>
      <c r="D177" s="5">
        <v>142.15</v>
      </c>
      <c r="E177" s="5">
        <v>143.19999999999999</v>
      </c>
      <c r="F177" s="6">
        <v>5465177</v>
      </c>
    </row>
    <row r="178" spans="1:6" x14ac:dyDescent="0.2">
      <c r="A178" s="4">
        <v>44725</v>
      </c>
      <c r="B178" s="5">
        <v>140.86000000000001</v>
      </c>
      <c r="C178" s="5">
        <v>142.065</v>
      </c>
      <c r="D178" s="5">
        <v>138.78</v>
      </c>
      <c r="E178" s="5">
        <v>139.41999999999999</v>
      </c>
      <c r="F178" s="6">
        <v>5996965</v>
      </c>
    </row>
    <row r="179" spans="1:6" x14ac:dyDescent="0.2">
      <c r="A179" s="4">
        <v>44726</v>
      </c>
      <c r="B179" s="5">
        <v>139.44</v>
      </c>
      <c r="C179" s="5">
        <v>140.66</v>
      </c>
      <c r="D179" s="5">
        <v>136.31800000000001</v>
      </c>
      <c r="E179" s="5">
        <v>137.62</v>
      </c>
      <c r="F179" s="6">
        <v>5861797</v>
      </c>
    </row>
    <row r="180" spans="1:6" x14ac:dyDescent="0.2">
      <c r="A180" s="4">
        <v>44727</v>
      </c>
      <c r="B180" s="5">
        <v>136.57</v>
      </c>
      <c r="C180" s="5">
        <v>139.09</v>
      </c>
      <c r="D180" s="5">
        <v>136.22999999999999</v>
      </c>
      <c r="E180" s="5">
        <v>138.09</v>
      </c>
      <c r="F180" s="6">
        <v>5981766</v>
      </c>
    </row>
    <row r="181" spans="1:6" x14ac:dyDescent="0.2">
      <c r="A181" s="4">
        <v>44728</v>
      </c>
      <c r="B181" s="5">
        <v>136.54</v>
      </c>
      <c r="C181" s="5">
        <v>139.29</v>
      </c>
      <c r="D181" s="5">
        <v>135.76</v>
      </c>
      <c r="E181" s="5">
        <v>139.15</v>
      </c>
      <c r="F181" s="6">
        <v>6963350</v>
      </c>
    </row>
    <row r="182" spans="1:6" x14ac:dyDescent="0.2">
      <c r="A182" s="4">
        <v>44729</v>
      </c>
      <c r="B182" s="5">
        <v>137.6</v>
      </c>
      <c r="C182" s="5">
        <v>139.53</v>
      </c>
      <c r="D182" s="5">
        <v>137.185</v>
      </c>
      <c r="E182" s="5">
        <v>138.28</v>
      </c>
      <c r="F182" s="6">
        <v>10429910</v>
      </c>
    </row>
    <row r="183" spans="1:6" x14ac:dyDescent="0.2">
      <c r="A183" s="4">
        <v>44733</v>
      </c>
      <c r="B183" s="5">
        <v>139.94999999999999</v>
      </c>
      <c r="C183" s="5">
        <v>143.965</v>
      </c>
      <c r="D183" s="5">
        <v>139.69999999999999</v>
      </c>
      <c r="E183" s="5">
        <v>143.47</v>
      </c>
      <c r="F183" s="6">
        <v>7160529</v>
      </c>
    </row>
    <row r="184" spans="1:6" x14ac:dyDescent="0.2">
      <c r="A184" s="4">
        <v>44734</v>
      </c>
      <c r="B184" s="5">
        <v>143.72</v>
      </c>
      <c r="C184" s="5">
        <v>150.1</v>
      </c>
      <c r="D184" s="5">
        <v>143.61000000000001</v>
      </c>
      <c r="E184" s="5">
        <v>147.56</v>
      </c>
      <c r="F184" s="6">
        <v>7996281</v>
      </c>
    </row>
    <row r="185" spans="1:6" x14ac:dyDescent="0.2">
      <c r="A185" s="4">
        <v>44735</v>
      </c>
      <c r="B185" s="5">
        <v>148.72</v>
      </c>
      <c r="C185" s="5">
        <v>150.80000000000001</v>
      </c>
      <c r="D185" s="5">
        <v>147.54</v>
      </c>
      <c r="E185" s="5">
        <v>149.44999999999999</v>
      </c>
      <c r="F185" s="6">
        <v>7794996</v>
      </c>
    </row>
    <row r="186" spans="1:6" x14ac:dyDescent="0.2">
      <c r="A186" s="4">
        <v>44736</v>
      </c>
      <c r="B186" s="5">
        <v>150.88999999999999</v>
      </c>
      <c r="C186" s="5">
        <v>152.74</v>
      </c>
      <c r="D186" s="5">
        <v>149.62</v>
      </c>
      <c r="E186" s="5">
        <v>152.34</v>
      </c>
      <c r="F186" s="6">
        <v>8527824</v>
      </c>
    </row>
    <row r="187" spans="1:6" x14ac:dyDescent="0.2">
      <c r="A187" s="4">
        <v>44739</v>
      </c>
      <c r="B187" s="5">
        <v>153</v>
      </c>
      <c r="C187" s="5">
        <v>155.44999999999999</v>
      </c>
      <c r="D187" s="5">
        <v>152.75</v>
      </c>
      <c r="E187" s="5">
        <v>153.13999999999999</v>
      </c>
      <c r="F187" s="6">
        <v>5377329</v>
      </c>
    </row>
    <row r="188" spans="1:6" x14ac:dyDescent="0.2">
      <c r="A188" s="4">
        <v>44740</v>
      </c>
      <c r="B188" s="5">
        <v>153.16999999999999</v>
      </c>
      <c r="C188" s="5">
        <v>155.11500000000001</v>
      </c>
      <c r="D188" s="5">
        <v>151.38999999999999</v>
      </c>
      <c r="E188" s="5">
        <v>152.49</v>
      </c>
      <c r="F188" s="6">
        <v>5735763</v>
      </c>
    </row>
    <row r="189" spans="1:6" x14ac:dyDescent="0.2">
      <c r="A189" s="4">
        <v>44741</v>
      </c>
      <c r="B189" s="5">
        <v>153.9</v>
      </c>
      <c r="C189" s="5">
        <v>156.62</v>
      </c>
      <c r="D189" s="5">
        <v>153.35</v>
      </c>
      <c r="E189" s="5">
        <v>154.13999999999999</v>
      </c>
      <c r="F189" s="6">
        <v>6140869</v>
      </c>
    </row>
    <row r="190" spans="1:6" x14ac:dyDescent="0.2">
      <c r="A190" s="4">
        <v>44742</v>
      </c>
      <c r="B190" s="5">
        <v>153.16999999999999</v>
      </c>
      <c r="C190" s="5">
        <v>154.04</v>
      </c>
      <c r="D190" s="5">
        <v>150.87</v>
      </c>
      <c r="E190" s="5">
        <v>153.16</v>
      </c>
      <c r="F190" s="6">
        <v>7289474</v>
      </c>
    </row>
    <row r="191" spans="1:6" x14ac:dyDescent="0.2">
      <c r="A191" s="4">
        <v>44743</v>
      </c>
      <c r="B191" s="5">
        <v>153.08000000000001</v>
      </c>
      <c r="C191" s="5">
        <v>153.86000000000001</v>
      </c>
      <c r="D191" s="5">
        <v>151.4588</v>
      </c>
      <c r="E191" s="5">
        <v>153.80000000000001</v>
      </c>
      <c r="F191" s="6">
        <v>4619958</v>
      </c>
    </row>
    <row r="192" spans="1:6" x14ac:dyDescent="0.2">
      <c r="A192" s="4">
        <v>44747</v>
      </c>
      <c r="B192" s="5">
        <v>151.9</v>
      </c>
      <c r="C192" s="5">
        <v>154.05000000000001</v>
      </c>
      <c r="D192" s="5">
        <v>149.66</v>
      </c>
      <c r="E192" s="5">
        <v>153.93</v>
      </c>
      <c r="F192" s="6">
        <v>5479930</v>
      </c>
    </row>
    <row r="193" spans="1:6" x14ac:dyDescent="0.2">
      <c r="A193" s="4">
        <v>44748</v>
      </c>
      <c r="B193" s="5">
        <v>154.61000000000001</v>
      </c>
      <c r="C193" s="5">
        <v>154.99</v>
      </c>
      <c r="D193" s="5">
        <v>151.685</v>
      </c>
      <c r="E193" s="5">
        <v>152.53</v>
      </c>
      <c r="F193" s="6">
        <v>5113557</v>
      </c>
    </row>
    <row r="194" spans="1:6" x14ac:dyDescent="0.2">
      <c r="A194" s="4">
        <v>44749</v>
      </c>
      <c r="B194" s="5">
        <v>150.19999999999999</v>
      </c>
      <c r="C194" s="5">
        <v>152.58000000000001</v>
      </c>
      <c r="D194" s="5">
        <v>150.012</v>
      </c>
      <c r="E194" s="5">
        <v>152</v>
      </c>
      <c r="F194" s="6">
        <v>6516294</v>
      </c>
    </row>
    <row r="195" spans="1:6" x14ac:dyDescent="0.2">
      <c r="A195" s="4">
        <v>44750</v>
      </c>
      <c r="B195" s="5">
        <v>152</v>
      </c>
      <c r="C195" s="5">
        <v>155.25</v>
      </c>
      <c r="D195" s="5">
        <v>151.79</v>
      </c>
      <c r="E195" s="5">
        <v>152.85</v>
      </c>
      <c r="F195" s="6">
        <v>4078438</v>
      </c>
    </row>
    <row r="196" spans="1:6" x14ac:dyDescent="0.2">
      <c r="A196" s="4">
        <v>44753</v>
      </c>
      <c r="B196" s="5">
        <v>152.28</v>
      </c>
      <c r="C196" s="5">
        <v>154.5</v>
      </c>
      <c r="D196" s="5">
        <v>152.28</v>
      </c>
      <c r="E196" s="5">
        <v>153.22999999999999</v>
      </c>
      <c r="F196" s="6">
        <v>4492189</v>
      </c>
    </row>
    <row r="197" spans="1:6" x14ac:dyDescent="0.2">
      <c r="A197" s="4">
        <v>44754</v>
      </c>
      <c r="B197" s="5">
        <v>153</v>
      </c>
      <c r="C197" s="5">
        <v>154.57</v>
      </c>
      <c r="D197" s="5">
        <v>152.06</v>
      </c>
      <c r="E197" s="5">
        <v>152.46</v>
      </c>
      <c r="F197" s="6">
        <v>5319521</v>
      </c>
    </row>
    <row r="198" spans="1:6" x14ac:dyDescent="0.2">
      <c r="A198" s="4">
        <v>44755</v>
      </c>
      <c r="B198" s="5">
        <v>152</v>
      </c>
      <c r="C198" s="5">
        <v>153.83000000000001</v>
      </c>
      <c r="D198" s="5">
        <v>151.30000000000001</v>
      </c>
      <c r="E198" s="5">
        <v>152.15</v>
      </c>
      <c r="F198" s="6">
        <v>5221159</v>
      </c>
    </row>
    <row r="199" spans="1:6" x14ac:dyDescent="0.2">
      <c r="A199" s="4">
        <v>44756</v>
      </c>
      <c r="B199" s="5">
        <v>148.88999999999999</v>
      </c>
      <c r="C199" s="5">
        <v>151.01</v>
      </c>
      <c r="D199" s="5">
        <v>148.49</v>
      </c>
      <c r="E199" s="5">
        <v>150.44</v>
      </c>
      <c r="F199" s="6">
        <v>7576966</v>
      </c>
    </row>
    <row r="200" spans="1:6" x14ac:dyDescent="0.2">
      <c r="A200" s="4">
        <v>44757</v>
      </c>
      <c r="B200" s="5">
        <v>151.84</v>
      </c>
      <c r="C200" s="5">
        <v>153.86529999999999</v>
      </c>
      <c r="D200" s="5">
        <v>151.42500000000001</v>
      </c>
      <c r="E200" s="5">
        <v>153.62</v>
      </c>
      <c r="F200" s="6">
        <v>4872998</v>
      </c>
    </row>
    <row r="201" spans="1:6" x14ac:dyDescent="0.2">
      <c r="A201" s="4">
        <v>44760</v>
      </c>
      <c r="B201" s="5">
        <v>153.80000000000001</v>
      </c>
      <c r="C201" s="5">
        <v>154.47059999999999</v>
      </c>
      <c r="D201" s="5">
        <v>148.88999999999999</v>
      </c>
      <c r="E201" s="5">
        <v>149.57</v>
      </c>
      <c r="F201" s="6">
        <v>6838632</v>
      </c>
    </row>
    <row r="202" spans="1:6" x14ac:dyDescent="0.2">
      <c r="A202" s="4">
        <v>44761</v>
      </c>
      <c r="B202" s="5">
        <v>150</v>
      </c>
      <c r="C202" s="5">
        <v>150.22999999999999</v>
      </c>
      <c r="D202" s="5">
        <v>148.80000000000001</v>
      </c>
      <c r="E202" s="5">
        <v>149.74</v>
      </c>
      <c r="F202" s="6">
        <v>5647075</v>
      </c>
    </row>
    <row r="203" spans="1:6" x14ac:dyDescent="0.2">
      <c r="A203" s="4">
        <v>44762</v>
      </c>
      <c r="B203" s="5">
        <v>149.53</v>
      </c>
      <c r="C203" s="5">
        <v>150.44999999999999</v>
      </c>
      <c r="D203" s="5">
        <v>147.33500000000001</v>
      </c>
      <c r="E203" s="5">
        <v>147.69</v>
      </c>
      <c r="F203" s="6">
        <v>5315701</v>
      </c>
    </row>
    <row r="204" spans="1:6" x14ac:dyDescent="0.2">
      <c r="A204" s="4">
        <v>44763</v>
      </c>
      <c r="B204" s="5">
        <v>147.24</v>
      </c>
      <c r="C204" s="5">
        <v>147.84</v>
      </c>
      <c r="D204" s="5">
        <v>146.02000000000001</v>
      </c>
      <c r="E204" s="5">
        <v>147.75</v>
      </c>
      <c r="F204" s="6">
        <v>4066839</v>
      </c>
    </row>
    <row r="205" spans="1:6" x14ac:dyDescent="0.2">
      <c r="A205" s="4">
        <v>44764</v>
      </c>
      <c r="B205" s="5">
        <v>148.47</v>
      </c>
      <c r="C205" s="5">
        <v>149.29</v>
      </c>
      <c r="D205" s="5">
        <v>147.58000000000001</v>
      </c>
      <c r="E205" s="5">
        <v>148.47</v>
      </c>
      <c r="F205" s="6">
        <v>3639742</v>
      </c>
    </row>
    <row r="206" spans="1:6" x14ac:dyDescent="0.2">
      <c r="A206" s="4">
        <v>44767</v>
      </c>
      <c r="B206" s="5">
        <v>148.54</v>
      </c>
      <c r="C206" s="5">
        <v>150.94</v>
      </c>
      <c r="D206" s="5">
        <v>148.51</v>
      </c>
      <c r="E206" s="5">
        <v>150.22</v>
      </c>
      <c r="F206" s="6">
        <v>4347064</v>
      </c>
    </row>
    <row r="207" spans="1:6" x14ac:dyDescent="0.2">
      <c r="A207" s="4">
        <v>44768</v>
      </c>
      <c r="B207" s="5">
        <v>151.15</v>
      </c>
      <c r="C207" s="5">
        <v>153.56379999999999</v>
      </c>
      <c r="D207" s="5">
        <v>150.33000000000001</v>
      </c>
      <c r="E207" s="5">
        <v>150.87</v>
      </c>
      <c r="F207" s="6">
        <v>4900782</v>
      </c>
    </row>
    <row r="208" spans="1:6" x14ac:dyDescent="0.2">
      <c r="A208" s="4">
        <v>44769</v>
      </c>
      <c r="B208" s="5">
        <v>149.5</v>
      </c>
      <c r="C208" s="5">
        <v>151.5</v>
      </c>
      <c r="D208" s="5">
        <v>148.93</v>
      </c>
      <c r="E208" s="5">
        <v>151.15</v>
      </c>
      <c r="F208" s="6">
        <v>4145779</v>
      </c>
    </row>
    <row r="209" spans="1:6" x14ac:dyDescent="0.2">
      <c r="A209" s="4">
        <v>44770</v>
      </c>
      <c r="B209" s="5">
        <v>151.44</v>
      </c>
      <c r="C209" s="5">
        <v>152.41</v>
      </c>
      <c r="D209" s="5">
        <v>146.62</v>
      </c>
      <c r="E209" s="5">
        <v>149.75</v>
      </c>
      <c r="F209" s="6">
        <v>6572286</v>
      </c>
    </row>
    <row r="210" spans="1:6" x14ac:dyDescent="0.2">
      <c r="A210" s="4">
        <v>44771</v>
      </c>
      <c r="B210" s="5">
        <v>145.44</v>
      </c>
      <c r="C210" s="5">
        <v>146.30000000000001</v>
      </c>
      <c r="D210" s="5">
        <v>139.05000000000001</v>
      </c>
      <c r="E210" s="5">
        <v>143.51</v>
      </c>
      <c r="F210" s="6">
        <v>17754730</v>
      </c>
    </row>
    <row r="211" spans="1:6" x14ac:dyDescent="0.2">
      <c r="A211" s="4">
        <v>44774</v>
      </c>
      <c r="B211" s="5">
        <v>141.51</v>
      </c>
      <c r="C211" s="5">
        <v>142.84</v>
      </c>
      <c r="D211" s="5">
        <v>139.15</v>
      </c>
      <c r="E211" s="5">
        <v>140.22</v>
      </c>
      <c r="F211" s="6">
        <v>8523926</v>
      </c>
    </row>
    <row r="212" spans="1:6" x14ac:dyDescent="0.2">
      <c r="A212" s="4">
        <v>44775</v>
      </c>
      <c r="B212" s="5">
        <v>141.18</v>
      </c>
      <c r="C212" s="5">
        <v>142.84</v>
      </c>
      <c r="D212" s="5">
        <v>140.1</v>
      </c>
      <c r="E212" s="5">
        <v>140.38999999999999</v>
      </c>
      <c r="F212" s="6">
        <v>5197280</v>
      </c>
    </row>
    <row r="213" spans="1:6" x14ac:dyDescent="0.2">
      <c r="A213" s="4">
        <v>44776</v>
      </c>
      <c r="B213" s="5">
        <v>141.72</v>
      </c>
      <c r="C213" s="5">
        <v>143.02000000000001</v>
      </c>
      <c r="D213" s="5">
        <v>140.64500000000001</v>
      </c>
      <c r="E213" s="5">
        <v>141.19999999999999</v>
      </c>
      <c r="F213" s="6">
        <v>5474235</v>
      </c>
    </row>
    <row r="214" spans="1:6" x14ac:dyDescent="0.2">
      <c r="A214" s="4">
        <v>44777</v>
      </c>
      <c r="B214" s="5">
        <v>142.09</v>
      </c>
      <c r="C214" s="5">
        <v>142.58000000000001</v>
      </c>
      <c r="D214" s="5">
        <v>138.69</v>
      </c>
      <c r="E214" s="5">
        <v>138.91999999999999</v>
      </c>
      <c r="F214" s="6">
        <v>7071686</v>
      </c>
    </row>
    <row r="215" spans="1:6" x14ac:dyDescent="0.2">
      <c r="A215" s="4">
        <v>44778</v>
      </c>
      <c r="B215" s="5">
        <v>139.05000000000001</v>
      </c>
      <c r="C215" s="5">
        <v>139.91</v>
      </c>
      <c r="D215" s="5">
        <v>137.94999999999999</v>
      </c>
      <c r="E215" s="5">
        <v>138.04</v>
      </c>
      <c r="F215" s="6">
        <v>5371137</v>
      </c>
    </row>
    <row r="216" spans="1:6" x14ac:dyDescent="0.2">
      <c r="A216" s="4">
        <v>44781</v>
      </c>
      <c r="B216" s="5">
        <v>138.04</v>
      </c>
      <c r="C216" s="5">
        <v>140.80000000000001</v>
      </c>
      <c r="D216" s="5">
        <v>137.77000000000001</v>
      </c>
      <c r="E216" s="5">
        <v>140.34</v>
      </c>
      <c r="F216" s="6">
        <v>4854572</v>
      </c>
    </row>
    <row r="217" spans="1:6" x14ac:dyDescent="0.2">
      <c r="A217" s="4">
        <v>44782</v>
      </c>
      <c r="B217" s="5">
        <v>140.68</v>
      </c>
      <c r="C217" s="5">
        <v>142.24</v>
      </c>
      <c r="D217" s="5">
        <v>139.875</v>
      </c>
      <c r="E217" s="5">
        <v>140.25</v>
      </c>
      <c r="F217" s="6">
        <v>3819828</v>
      </c>
    </row>
    <row r="218" spans="1:6" x14ac:dyDescent="0.2">
      <c r="A218" s="4">
        <v>44783</v>
      </c>
      <c r="B218" s="5">
        <v>140.91</v>
      </c>
      <c r="C218" s="5">
        <v>141.06</v>
      </c>
      <c r="D218" s="5">
        <v>139</v>
      </c>
      <c r="E218" s="5">
        <v>140.94</v>
      </c>
      <c r="F218" s="6">
        <v>4075303</v>
      </c>
    </row>
    <row r="219" spans="1:6" x14ac:dyDescent="0.2">
      <c r="A219" s="4">
        <v>44784</v>
      </c>
      <c r="B219" s="5">
        <v>140.22999999999999</v>
      </c>
      <c r="C219" s="5">
        <v>142.87</v>
      </c>
      <c r="D219" s="5">
        <v>139.66</v>
      </c>
      <c r="E219" s="5">
        <v>142.08000000000001</v>
      </c>
      <c r="F219" s="6">
        <v>5972801</v>
      </c>
    </row>
    <row r="220" spans="1:6" x14ac:dyDescent="0.2">
      <c r="A220" s="4">
        <v>44785</v>
      </c>
      <c r="B220" s="5">
        <v>141.88999999999999</v>
      </c>
      <c r="C220" s="5">
        <v>143.09</v>
      </c>
      <c r="D220" s="5">
        <v>140.27000000000001</v>
      </c>
      <c r="E220" s="5">
        <v>142.6</v>
      </c>
      <c r="F220" s="6">
        <v>5208659</v>
      </c>
    </row>
    <row r="221" spans="1:6" x14ac:dyDescent="0.2">
      <c r="A221" s="4">
        <v>44788</v>
      </c>
      <c r="B221" s="5">
        <v>143.11000000000001</v>
      </c>
      <c r="C221" s="5">
        <v>143.28</v>
      </c>
      <c r="D221" s="5">
        <v>140.41999999999999</v>
      </c>
      <c r="E221" s="5">
        <v>142.29</v>
      </c>
      <c r="F221" s="6">
        <v>4513165</v>
      </c>
    </row>
    <row r="222" spans="1:6" x14ac:dyDescent="0.2">
      <c r="A222" s="4">
        <v>44789</v>
      </c>
      <c r="B222" s="5">
        <v>142.11000000000001</v>
      </c>
      <c r="C222" s="5">
        <v>143.97999999999999</v>
      </c>
      <c r="D222" s="5">
        <v>142.08000000000001</v>
      </c>
      <c r="E222" s="5">
        <v>142.55000000000001</v>
      </c>
      <c r="F222" s="6">
        <v>3852310</v>
      </c>
    </row>
    <row r="223" spans="1:6" x14ac:dyDescent="0.2">
      <c r="A223" s="4">
        <v>44790</v>
      </c>
      <c r="B223" s="5">
        <v>141.41999999999999</v>
      </c>
      <c r="C223" s="5">
        <v>142.76499999999999</v>
      </c>
      <c r="D223" s="5">
        <v>140.55359999999999</v>
      </c>
      <c r="E223" s="5">
        <v>141.44</v>
      </c>
      <c r="F223" s="6">
        <v>3605241</v>
      </c>
    </row>
    <row r="224" spans="1:6" x14ac:dyDescent="0.2">
      <c r="A224" s="4">
        <v>44791</v>
      </c>
      <c r="B224" s="5">
        <v>141.49</v>
      </c>
      <c r="C224" s="5">
        <v>141.58000000000001</v>
      </c>
      <c r="D224" s="5">
        <v>139.82</v>
      </c>
      <c r="E224" s="5">
        <v>141.29</v>
      </c>
      <c r="F224" s="6">
        <v>3525304</v>
      </c>
    </row>
    <row r="225" spans="1:6" x14ac:dyDescent="0.2">
      <c r="A225" s="4">
        <v>44792</v>
      </c>
      <c r="B225" s="5">
        <v>141.78</v>
      </c>
      <c r="C225" s="5">
        <v>143.36000000000001</v>
      </c>
      <c r="D225" s="5">
        <v>141.45500000000001</v>
      </c>
      <c r="E225" s="5">
        <v>141.85</v>
      </c>
      <c r="F225" s="6">
        <v>4530905</v>
      </c>
    </row>
    <row r="226" spans="1:6" x14ac:dyDescent="0.2">
      <c r="A226" s="4">
        <v>44795</v>
      </c>
      <c r="B226" s="5">
        <v>141.97</v>
      </c>
      <c r="C226" s="5">
        <v>142.66</v>
      </c>
      <c r="D226" s="5">
        <v>139.96</v>
      </c>
      <c r="E226" s="5">
        <v>140.34</v>
      </c>
      <c r="F226" s="6">
        <v>4023503</v>
      </c>
    </row>
    <row r="227" spans="1:6" x14ac:dyDescent="0.2">
      <c r="A227" s="4">
        <v>44796</v>
      </c>
      <c r="B227" s="5">
        <v>139.65</v>
      </c>
      <c r="C227" s="5">
        <v>140.85</v>
      </c>
      <c r="D227" s="5">
        <v>138.44999999999999</v>
      </c>
      <c r="E227" s="5">
        <v>139.02000000000001</v>
      </c>
      <c r="F227" s="6">
        <v>3768140</v>
      </c>
    </row>
    <row r="228" spans="1:6" x14ac:dyDescent="0.2">
      <c r="A228" s="4">
        <v>44797</v>
      </c>
      <c r="B228" s="5">
        <v>139.05000000000001</v>
      </c>
      <c r="C228" s="5">
        <v>139.46</v>
      </c>
      <c r="D228" s="5">
        <v>137.69999999999999</v>
      </c>
      <c r="E228" s="5">
        <v>137.91</v>
      </c>
      <c r="F228" s="6">
        <v>5018913</v>
      </c>
    </row>
    <row r="229" spans="1:6" x14ac:dyDescent="0.2">
      <c r="A229" s="4">
        <v>44798</v>
      </c>
      <c r="B229" s="5">
        <v>138.77000000000001</v>
      </c>
      <c r="C229" s="5">
        <v>139.56100000000001</v>
      </c>
      <c r="D229" s="5">
        <v>137.66999999999999</v>
      </c>
      <c r="E229" s="5">
        <v>139.33000000000001</v>
      </c>
      <c r="F229" s="6">
        <v>3301213</v>
      </c>
    </row>
    <row r="230" spans="1:6" x14ac:dyDescent="0.2">
      <c r="A230" s="4">
        <v>44799</v>
      </c>
      <c r="B230" s="5">
        <v>138.88999999999999</v>
      </c>
      <c r="C230" s="5">
        <v>139.85</v>
      </c>
      <c r="D230" s="5">
        <v>136.25</v>
      </c>
      <c r="E230" s="5">
        <v>136.35</v>
      </c>
      <c r="F230" s="6">
        <v>3838778</v>
      </c>
    </row>
    <row r="231" spans="1:6" x14ac:dyDescent="0.2">
      <c r="A231" s="4">
        <v>44802</v>
      </c>
      <c r="B231" s="5">
        <v>136.19999999999999</v>
      </c>
      <c r="C231" s="5">
        <v>136.7201</v>
      </c>
      <c r="D231" s="5">
        <v>134.76</v>
      </c>
      <c r="E231" s="5">
        <v>135.71</v>
      </c>
      <c r="F231" s="6">
        <v>3835815</v>
      </c>
    </row>
    <row r="232" spans="1:6" x14ac:dyDescent="0.2">
      <c r="A232" s="4">
        <v>44803</v>
      </c>
      <c r="B232" s="5">
        <v>135.13999999999999</v>
      </c>
      <c r="C232" s="5">
        <v>136.48500000000001</v>
      </c>
      <c r="D232" s="5">
        <v>134.88999999999999</v>
      </c>
      <c r="E232" s="5">
        <v>135.55000000000001</v>
      </c>
      <c r="F232" s="6">
        <v>4337138</v>
      </c>
    </row>
    <row r="233" spans="1:6" x14ac:dyDescent="0.2">
      <c r="A233" s="4">
        <v>44804</v>
      </c>
      <c r="B233" s="5">
        <v>135.69</v>
      </c>
      <c r="C233" s="5">
        <v>136.04179999999999</v>
      </c>
      <c r="D233" s="5">
        <v>134.16999999999999</v>
      </c>
      <c r="E233" s="5">
        <v>134.46</v>
      </c>
      <c r="F233" s="6">
        <v>5789572</v>
      </c>
    </row>
    <row r="234" spans="1:6" x14ac:dyDescent="0.2">
      <c r="A234" s="4">
        <v>44805</v>
      </c>
      <c r="B234" s="5">
        <v>134.63999999999999</v>
      </c>
      <c r="C234" s="5">
        <v>138.59</v>
      </c>
      <c r="D234" s="5">
        <v>134.1</v>
      </c>
      <c r="E234" s="5">
        <v>138.44999999999999</v>
      </c>
      <c r="F234" s="6">
        <v>4521000</v>
      </c>
    </row>
    <row r="235" spans="1:6" x14ac:dyDescent="0.2">
      <c r="A235" s="4">
        <v>44806</v>
      </c>
      <c r="B235" s="5">
        <v>138.66</v>
      </c>
      <c r="C235" s="5">
        <v>139.4</v>
      </c>
      <c r="D235" s="5">
        <v>135.81</v>
      </c>
      <c r="E235" s="5">
        <v>136.28</v>
      </c>
      <c r="F235" s="6">
        <v>3601571</v>
      </c>
    </row>
    <row r="236" spans="1:6" x14ac:dyDescent="0.2">
      <c r="A236" s="4">
        <v>44810</v>
      </c>
      <c r="B236" s="5">
        <v>137.30000000000001</v>
      </c>
      <c r="C236" s="5">
        <v>139.35</v>
      </c>
      <c r="D236" s="5">
        <v>136.24</v>
      </c>
      <c r="E236" s="5">
        <v>137.59</v>
      </c>
      <c r="F236" s="6">
        <v>4810638</v>
      </c>
    </row>
    <row r="237" spans="1:6" x14ac:dyDescent="0.2">
      <c r="A237" s="4">
        <v>44811</v>
      </c>
      <c r="B237" s="5">
        <v>137.55000000000001</v>
      </c>
      <c r="C237" s="5">
        <v>139.04</v>
      </c>
      <c r="D237" s="5">
        <v>135.34</v>
      </c>
      <c r="E237" s="5">
        <v>138.71</v>
      </c>
      <c r="F237" s="6">
        <v>4141659</v>
      </c>
    </row>
    <row r="238" spans="1:6" x14ac:dyDescent="0.2">
      <c r="A238" s="4">
        <v>44812</v>
      </c>
      <c r="B238" s="5">
        <v>139.63999999999999</v>
      </c>
      <c r="C238" s="5">
        <v>140.57</v>
      </c>
      <c r="D238" s="5">
        <v>138.65</v>
      </c>
      <c r="E238" s="5">
        <v>140.52000000000001</v>
      </c>
      <c r="F238" s="6">
        <v>3988381</v>
      </c>
    </row>
    <row r="239" spans="1:6" x14ac:dyDescent="0.2">
      <c r="A239" s="4">
        <v>44813</v>
      </c>
      <c r="B239" s="5">
        <v>140.4</v>
      </c>
      <c r="C239" s="5">
        <v>142.16990000000001</v>
      </c>
      <c r="D239" s="5">
        <v>140.1</v>
      </c>
      <c r="E239" s="5">
        <v>141.41999999999999</v>
      </c>
      <c r="F239" s="6">
        <v>4427619</v>
      </c>
    </row>
    <row r="240" spans="1:6" x14ac:dyDescent="0.2">
      <c r="A240" s="4">
        <v>44816</v>
      </c>
      <c r="B240" s="5">
        <v>141.01</v>
      </c>
      <c r="C240" s="5">
        <v>142.87</v>
      </c>
      <c r="D240" s="5">
        <v>140.32</v>
      </c>
      <c r="E240" s="5">
        <v>142.24</v>
      </c>
      <c r="F240" s="6">
        <v>4938378</v>
      </c>
    </row>
    <row r="241" spans="1:6" x14ac:dyDescent="0.2">
      <c r="A241" s="4">
        <v>44817</v>
      </c>
      <c r="B241" s="5">
        <v>140.55000000000001</v>
      </c>
      <c r="C241" s="5">
        <v>141.93</v>
      </c>
      <c r="D241" s="5">
        <v>137.49</v>
      </c>
      <c r="E241" s="5">
        <v>138.53</v>
      </c>
      <c r="F241" s="6">
        <v>6195920</v>
      </c>
    </row>
    <row r="242" spans="1:6" x14ac:dyDescent="0.2">
      <c r="A242" s="4">
        <v>44818</v>
      </c>
      <c r="B242" s="5">
        <v>139.16999999999999</v>
      </c>
      <c r="C242" s="5">
        <v>140.4391</v>
      </c>
      <c r="D242" s="5">
        <v>138.27000000000001</v>
      </c>
      <c r="E242" s="5">
        <v>139.55000000000001</v>
      </c>
      <c r="F242" s="6">
        <v>4673843</v>
      </c>
    </row>
    <row r="243" spans="1:6" x14ac:dyDescent="0.2">
      <c r="A243" s="4">
        <v>44819</v>
      </c>
      <c r="B243" s="5">
        <v>139.99</v>
      </c>
      <c r="C243" s="5">
        <v>143.9</v>
      </c>
      <c r="D243" s="5">
        <v>139.38999999999999</v>
      </c>
      <c r="E243" s="5">
        <v>142.51</v>
      </c>
      <c r="F243" s="6">
        <v>6416933</v>
      </c>
    </row>
    <row r="244" spans="1:6" x14ac:dyDescent="0.2">
      <c r="A244" s="4">
        <v>44820</v>
      </c>
      <c r="B244" s="5">
        <v>143.4</v>
      </c>
      <c r="C244" s="5">
        <v>144.85</v>
      </c>
      <c r="D244" s="5">
        <v>141.36000000000001</v>
      </c>
      <c r="E244" s="5">
        <v>144.06</v>
      </c>
      <c r="F244" s="6">
        <v>13887530</v>
      </c>
    </row>
    <row r="245" spans="1:6" x14ac:dyDescent="0.2">
      <c r="A245" s="4">
        <v>44823</v>
      </c>
      <c r="B245" s="5">
        <v>143.63999999999999</v>
      </c>
      <c r="C245" s="5">
        <v>143.86000000000001</v>
      </c>
      <c r="D245" s="5">
        <v>141.43</v>
      </c>
      <c r="E245" s="5">
        <v>142.66</v>
      </c>
      <c r="F245" s="6">
        <v>5042468</v>
      </c>
    </row>
    <row r="246" spans="1:6" x14ac:dyDescent="0.2">
      <c r="A246" s="4">
        <v>44824</v>
      </c>
      <c r="B246" s="5">
        <v>141.82</v>
      </c>
      <c r="C246" s="5">
        <v>142.49</v>
      </c>
      <c r="D246" s="5">
        <v>140.37</v>
      </c>
      <c r="E246" s="5">
        <v>141.77000000000001</v>
      </c>
      <c r="F246" s="6">
        <v>4532904</v>
      </c>
    </row>
    <row r="247" spans="1:6" x14ac:dyDescent="0.2">
      <c r="A247" s="4">
        <v>44825</v>
      </c>
      <c r="B247" s="5">
        <v>142.15</v>
      </c>
      <c r="C247" s="5">
        <v>143.62819999999999</v>
      </c>
      <c r="D247" s="5">
        <v>140.29</v>
      </c>
      <c r="E247" s="5">
        <v>140.31</v>
      </c>
      <c r="F247" s="6">
        <v>5076059</v>
      </c>
    </row>
    <row r="248" spans="1:6" x14ac:dyDescent="0.2">
      <c r="A248" s="4">
        <v>44826</v>
      </c>
      <c r="B248" s="5">
        <v>140.21</v>
      </c>
      <c r="C248" s="5">
        <v>144.46</v>
      </c>
      <c r="D248" s="5">
        <v>140</v>
      </c>
      <c r="E248" s="5">
        <v>143.01</v>
      </c>
      <c r="F248" s="6">
        <v>6160998</v>
      </c>
    </row>
    <row r="249" spans="1:6" x14ac:dyDescent="0.2">
      <c r="A249" s="4">
        <v>44827</v>
      </c>
      <c r="B249" s="5">
        <v>142.07</v>
      </c>
      <c r="C249" s="5">
        <v>143.41990000000001</v>
      </c>
      <c r="D249" s="5">
        <v>140.95339999999999</v>
      </c>
      <c r="E249" s="5">
        <v>143.06</v>
      </c>
      <c r="F249" s="6">
        <v>5751553</v>
      </c>
    </row>
    <row r="250" spans="1:6" x14ac:dyDescent="0.2">
      <c r="A250" s="4">
        <v>44830</v>
      </c>
      <c r="B250" s="5">
        <v>142.08000000000001</v>
      </c>
      <c r="C250" s="5">
        <v>142.80000000000001</v>
      </c>
      <c r="D250" s="5">
        <v>140.11000000000001</v>
      </c>
      <c r="E250" s="5">
        <v>141.21</v>
      </c>
      <c r="F250" s="6">
        <v>5697755</v>
      </c>
    </row>
    <row r="251" spans="1:6" x14ac:dyDescent="0.2">
      <c r="A251" s="4">
        <v>44831</v>
      </c>
      <c r="B251" s="5">
        <v>142.59</v>
      </c>
      <c r="C251" s="5">
        <v>145.54</v>
      </c>
      <c r="D251" s="5">
        <v>141.29</v>
      </c>
      <c r="E251" s="5">
        <v>141.72</v>
      </c>
      <c r="F251" s="6">
        <v>5598162</v>
      </c>
    </row>
    <row r="252" spans="1:6" x14ac:dyDescent="0.2">
      <c r="A252" s="4">
        <v>44832</v>
      </c>
      <c r="B252" s="5">
        <v>144.22</v>
      </c>
      <c r="C252" s="5">
        <v>145.31700000000001</v>
      </c>
      <c r="D252" s="5">
        <v>142.62219999999999</v>
      </c>
      <c r="E252" s="5">
        <v>144.6</v>
      </c>
      <c r="F252" s="6">
        <v>5226665</v>
      </c>
    </row>
    <row r="253" spans="1:6" x14ac:dyDescent="0.2">
      <c r="A253" s="4">
        <v>44833</v>
      </c>
      <c r="B253" s="5">
        <v>144.85</v>
      </c>
      <c r="C253" s="5">
        <v>145.25</v>
      </c>
      <c r="D253" s="5">
        <v>141.83000000000001</v>
      </c>
      <c r="E253" s="5">
        <v>142.72</v>
      </c>
      <c r="F253" s="6">
        <v>5509430</v>
      </c>
    </row>
    <row r="254" spans="1:6" x14ac:dyDescent="0.2">
      <c r="A254" s="4">
        <v>44834</v>
      </c>
      <c r="B254" s="5">
        <v>142.19999999999999</v>
      </c>
      <c r="C254" s="5">
        <v>142.32499999999999</v>
      </c>
      <c r="D254" s="5">
        <v>134.09</v>
      </c>
      <c r="E254" s="5">
        <v>134.21</v>
      </c>
      <c r="F254" s="6">
        <v>15358990</v>
      </c>
    </row>
    <row r="255" spans="1:6" x14ac:dyDescent="0.2">
      <c r="A255" s="4">
        <v>44837</v>
      </c>
      <c r="B255" s="5">
        <v>135.88</v>
      </c>
      <c r="C255" s="5">
        <v>138.80000000000001</v>
      </c>
      <c r="D255" s="5">
        <v>135.3058</v>
      </c>
      <c r="E255" s="5">
        <v>138.32</v>
      </c>
      <c r="F255" s="6">
        <v>7437506</v>
      </c>
    </row>
    <row r="256" spans="1:6" x14ac:dyDescent="0.2">
      <c r="A256" s="4">
        <v>44838</v>
      </c>
      <c r="B256" s="5">
        <v>139.21</v>
      </c>
      <c r="C256" s="5">
        <v>142.72</v>
      </c>
      <c r="D256" s="5">
        <v>137.7585</v>
      </c>
      <c r="E256" s="5">
        <v>141.99</v>
      </c>
      <c r="F256" s="6">
        <v>6612386</v>
      </c>
    </row>
    <row r="257" spans="1:6" x14ac:dyDescent="0.2">
      <c r="A257" s="4">
        <v>44839</v>
      </c>
      <c r="B257" s="5">
        <v>141.47</v>
      </c>
      <c r="C257" s="5">
        <v>144.47</v>
      </c>
      <c r="D257" s="5">
        <v>141.11009999999999</v>
      </c>
      <c r="E257" s="5">
        <v>143.33000000000001</v>
      </c>
      <c r="F257" s="6">
        <v>4777913</v>
      </c>
    </row>
    <row r="258" spans="1:6" x14ac:dyDescent="0.2">
      <c r="A258" s="4">
        <v>44840</v>
      </c>
      <c r="B258" s="5">
        <v>142.79</v>
      </c>
      <c r="C258" s="5">
        <v>142.99</v>
      </c>
      <c r="D258" s="5">
        <v>139.9</v>
      </c>
      <c r="E258" s="5">
        <v>140.29</v>
      </c>
      <c r="F258" s="6">
        <v>5124994</v>
      </c>
    </row>
    <row r="259" spans="1:6" x14ac:dyDescent="0.2">
      <c r="A259" s="4">
        <v>44841</v>
      </c>
      <c r="B259" s="5">
        <v>139.01</v>
      </c>
      <c r="C259" s="5">
        <v>140.05000000000001</v>
      </c>
      <c r="D259" s="5">
        <v>137.55000000000001</v>
      </c>
      <c r="E259" s="5">
        <v>138.76</v>
      </c>
      <c r="F259" s="6">
        <v>4648839</v>
      </c>
    </row>
    <row r="260" spans="1:6" x14ac:dyDescent="0.2">
      <c r="A260" s="4">
        <v>44844</v>
      </c>
      <c r="B260" s="5">
        <v>139.03</v>
      </c>
      <c r="C260" s="5">
        <v>139.58500000000001</v>
      </c>
      <c r="D260" s="5">
        <v>136.87</v>
      </c>
      <c r="E260" s="5">
        <v>138.31</v>
      </c>
      <c r="F260" s="6">
        <v>3830982</v>
      </c>
    </row>
    <row r="261" spans="1:6" x14ac:dyDescent="0.2">
      <c r="A261" s="4">
        <v>44845</v>
      </c>
      <c r="B261" s="5">
        <v>138.02000000000001</v>
      </c>
      <c r="C261" s="5">
        <v>143.68</v>
      </c>
      <c r="D261" s="5">
        <v>138.02000000000001</v>
      </c>
      <c r="E261" s="5">
        <v>141.51</v>
      </c>
      <c r="F261" s="6">
        <v>5675053</v>
      </c>
    </row>
    <row r="262" spans="1:6" x14ac:dyDescent="0.2">
      <c r="A262" s="4">
        <v>44846</v>
      </c>
      <c r="B262" s="5">
        <v>141.63999999999999</v>
      </c>
      <c r="C262" s="5">
        <v>143.06</v>
      </c>
      <c r="D262" s="5">
        <v>139.93</v>
      </c>
      <c r="E262" s="5">
        <v>139.97999999999999</v>
      </c>
      <c r="F262" s="6">
        <v>4527978</v>
      </c>
    </row>
    <row r="263" spans="1:6" x14ac:dyDescent="0.2">
      <c r="A263" s="4">
        <v>44847</v>
      </c>
      <c r="B263" s="5">
        <v>136.69999999999999</v>
      </c>
      <c r="C263" s="5">
        <v>143.18</v>
      </c>
      <c r="D263" s="5">
        <v>136.27000000000001</v>
      </c>
      <c r="E263" s="5">
        <v>142.91999999999999</v>
      </c>
      <c r="F263" s="6">
        <v>5066422</v>
      </c>
    </row>
    <row r="264" spans="1:6" x14ac:dyDescent="0.2">
      <c r="A264" s="4">
        <v>44848</v>
      </c>
      <c r="B264" s="5">
        <v>142.6</v>
      </c>
      <c r="C264" s="5">
        <v>144.47999999999999</v>
      </c>
      <c r="D264" s="5">
        <v>142.21</v>
      </c>
      <c r="E264" s="5">
        <v>142.94</v>
      </c>
      <c r="F264" s="6">
        <v>5290634</v>
      </c>
    </row>
    <row r="265" spans="1:6" x14ac:dyDescent="0.2">
      <c r="A265" s="4">
        <v>44851</v>
      </c>
      <c r="B265" s="5">
        <v>142.65</v>
      </c>
      <c r="C265" s="5">
        <v>144.93</v>
      </c>
      <c r="D265" s="5">
        <v>142.1</v>
      </c>
      <c r="E265" s="5">
        <v>144.41</v>
      </c>
      <c r="F265" s="6">
        <v>4016197</v>
      </c>
    </row>
    <row r="266" spans="1:6" x14ac:dyDescent="0.2">
      <c r="A266" s="4">
        <v>44852</v>
      </c>
      <c r="B266" s="5">
        <v>145.22999999999999</v>
      </c>
      <c r="C266" s="5">
        <v>145.86940000000001</v>
      </c>
      <c r="D266" s="5">
        <v>143.53</v>
      </c>
      <c r="E266" s="5">
        <v>144.6</v>
      </c>
      <c r="F266" s="6">
        <v>3540393</v>
      </c>
    </row>
    <row r="267" spans="1:6" x14ac:dyDescent="0.2">
      <c r="A267" s="4">
        <v>44853</v>
      </c>
      <c r="B267" s="5">
        <v>144.80000000000001</v>
      </c>
      <c r="C267" s="5">
        <v>145.44999999999999</v>
      </c>
      <c r="D267" s="5">
        <v>142.31</v>
      </c>
      <c r="E267" s="5">
        <v>143.13</v>
      </c>
      <c r="F267" s="6">
        <v>3333531</v>
      </c>
    </row>
    <row r="268" spans="1:6" x14ac:dyDescent="0.2">
      <c r="A268" s="4">
        <v>44854</v>
      </c>
      <c r="B268" s="5">
        <v>143.16</v>
      </c>
      <c r="C268" s="5">
        <v>144.0367</v>
      </c>
      <c r="D268" s="5">
        <v>142.43</v>
      </c>
      <c r="E268" s="5">
        <v>142.93</v>
      </c>
      <c r="F268" s="6">
        <v>3880102</v>
      </c>
    </row>
    <row r="269" spans="1:6" x14ac:dyDescent="0.2">
      <c r="A269" s="4">
        <v>44855</v>
      </c>
      <c r="B269" s="5">
        <v>143.34</v>
      </c>
      <c r="C269" s="5">
        <v>147.755</v>
      </c>
      <c r="D269" s="5">
        <v>142.42500000000001</v>
      </c>
      <c r="E269" s="5">
        <v>147.06</v>
      </c>
      <c r="F269" s="6">
        <v>5419447</v>
      </c>
    </row>
    <row r="270" spans="1:6" x14ac:dyDescent="0.2">
      <c r="A270" s="4">
        <v>44858</v>
      </c>
      <c r="B270" s="5">
        <v>148.71</v>
      </c>
      <c r="C270" s="5">
        <v>151.53</v>
      </c>
      <c r="D270" s="5">
        <v>148.69999999999999</v>
      </c>
      <c r="E270" s="5">
        <v>150.88999999999999</v>
      </c>
      <c r="F270" s="6">
        <v>5139685</v>
      </c>
    </row>
    <row r="271" spans="1:6" x14ac:dyDescent="0.2">
      <c r="A271" s="4">
        <v>44859</v>
      </c>
      <c r="B271" s="5">
        <v>148.03</v>
      </c>
      <c r="C271" s="5">
        <v>150.6</v>
      </c>
      <c r="D271" s="5">
        <v>147.285</v>
      </c>
      <c r="E271" s="5">
        <v>149.82</v>
      </c>
      <c r="F271" s="6">
        <v>5229382</v>
      </c>
    </row>
    <row r="272" spans="1:6" x14ac:dyDescent="0.2">
      <c r="A272" s="4">
        <v>44860</v>
      </c>
      <c r="B272" s="5">
        <v>151.01</v>
      </c>
      <c r="C272" s="5">
        <v>152.88999999999999</v>
      </c>
      <c r="D272" s="5">
        <v>150.69999999999999</v>
      </c>
      <c r="E272" s="5">
        <v>152.51</v>
      </c>
      <c r="F272" s="6">
        <v>4728270</v>
      </c>
    </row>
    <row r="273" spans="1:6" x14ac:dyDescent="0.2">
      <c r="A273" s="4">
        <v>44861</v>
      </c>
      <c r="B273" s="5">
        <v>153.76</v>
      </c>
      <c r="C273" s="5">
        <v>153.99</v>
      </c>
      <c r="D273" s="5">
        <v>152.06</v>
      </c>
      <c r="E273" s="5">
        <v>153.5</v>
      </c>
      <c r="F273" s="6">
        <v>6850415</v>
      </c>
    </row>
    <row r="274" spans="1:6" x14ac:dyDescent="0.2">
      <c r="A274" s="4">
        <v>44862</v>
      </c>
      <c r="B274" s="5">
        <v>145.93</v>
      </c>
      <c r="C274" s="5">
        <v>148.97999999999999</v>
      </c>
      <c r="D274" s="5">
        <v>142.34</v>
      </c>
      <c r="E274" s="5">
        <v>147.61000000000001</v>
      </c>
      <c r="F274" s="6">
        <v>10812160</v>
      </c>
    </row>
    <row r="275" spans="1:6" x14ac:dyDescent="0.2">
      <c r="A275" s="4">
        <v>44865</v>
      </c>
      <c r="B275" s="5">
        <v>145.16999999999999</v>
      </c>
      <c r="C275" s="5">
        <v>146.78</v>
      </c>
      <c r="D275" s="5">
        <v>144.08000000000001</v>
      </c>
      <c r="E275" s="5">
        <v>146.4</v>
      </c>
      <c r="F275" s="6">
        <v>8604836</v>
      </c>
    </row>
    <row r="276" spans="1:6" x14ac:dyDescent="0.2">
      <c r="A276" s="4">
        <v>44866</v>
      </c>
      <c r="B276" s="5">
        <v>146.66</v>
      </c>
      <c r="C276" s="5">
        <v>147.69999999999999</v>
      </c>
      <c r="D276" s="5">
        <v>144.55000000000001</v>
      </c>
      <c r="E276" s="5">
        <v>146.91</v>
      </c>
      <c r="F276" s="6">
        <v>6351399</v>
      </c>
    </row>
    <row r="277" spans="1:6" x14ac:dyDescent="0.2">
      <c r="A277" s="4">
        <v>44867</v>
      </c>
      <c r="B277" s="5">
        <v>147.03</v>
      </c>
      <c r="C277" s="5">
        <v>148.08000000000001</v>
      </c>
      <c r="D277" s="5">
        <v>144.47999999999999</v>
      </c>
      <c r="E277" s="5">
        <v>144.52000000000001</v>
      </c>
      <c r="F277" s="6">
        <v>5345330</v>
      </c>
    </row>
    <row r="278" spans="1:6" x14ac:dyDescent="0.2">
      <c r="A278" s="4">
        <v>44868</v>
      </c>
      <c r="B278" s="5">
        <v>144</v>
      </c>
      <c r="C278" s="5">
        <v>145.41999999999999</v>
      </c>
      <c r="D278" s="5">
        <v>143.03</v>
      </c>
      <c r="E278" s="5">
        <v>144.41999999999999</v>
      </c>
      <c r="F278" s="6">
        <v>3850854</v>
      </c>
    </row>
    <row r="279" spans="1:6" x14ac:dyDescent="0.2">
      <c r="A279" s="4">
        <v>44869</v>
      </c>
      <c r="B279" s="5">
        <v>145.35</v>
      </c>
      <c r="C279" s="5">
        <v>145.58000000000001</v>
      </c>
      <c r="D279" s="5">
        <v>143.08000000000001</v>
      </c>
      <c r="E279" s="5">
        <v>145.28</v>
      </c>
      <c r="F279" s="6">
        <v>4623813</v>
      </c>
    </row>
    <row r="280" spans="1:6" x14ac:dyDescent="0.2">
      <c r="A280" s="4">
        <v>44872</v>
      </c>
      <c r="B280" s="5">
        <v>145.28</v>
      </c>
      <c r="C280" s="5">
        <v>148.80000000000001</v>
      </c>
      <c r="D280" s="5">
        <v>144.69999999999999</v>
      </c>
      <c r="E280" s="5">
        <v>148.1</v>
      </c>
      <c r="F280" s="6">
        <v>4304139</v>
      </c>
    </row>
    <row r="281" spans="1:6" x14ac:dyDescent="0.2">
      <c r="A281" s="4">
        <v>44873</v>
      </c>
      <c r="B281" s="5">
        <v>148.83000000000001</v>
      </c>
      <c r="C281" s="5">
        <v>151.63</v>
      </c>
      <c r="D281" s="5">
        <v>147.96</v>
      </c>
      <c r="E281" s="5">
        <v>148.53</v>
      </c>
      <c r="F281" s="6">
        <v>4637534</v>
      </c>
    </row>
    <row r="282" spans="1:6" x14ac:dyDescent="0.2">
      <c r="A282" s="4">
        <v>44874</v>
      </c>
      <c r="B282" s="5">
        <v>148.59</v>
      </c>
      <c r="C282" s="5">
        <v>150.57</v>
      </c>
      <c r="D282" s="5">
        <v>147.04</v>
      </c>
      <c r="E282" s="5">
        <v>147.62</v>
      </c>
      <c r="F282" s="6">
        <v>4573740</v>
      </c>
    </row>
    <row r="283" spans="1:6" x14ac:dyDescent="0.2">
      <c r="A283" s="4">
        <v>44875</v>
      </c>
      <c r="B283" s="5">
        <v>150.66</v>
      </c>
      <c r="C283" s="5">
        <v>150.66</v>
      </c>
      <c r="D283" s="5">
        <v>147.75</v>
      </c>
      <c r="E283" s="5">
        <v>149.72</v>
      </c>
      <c r="F283" s="6">
        <v>5607668</v>
      </c>
    </row>
    <row r="284" spans="1:6" x14ac:dyDescent="0.2">
      <c r="A284" s="4">
        <v>44876</v>
      </c>
      <c r="B284" s="5">
        <v>149.54</v>
      </c>
      <c r="C284" s="5">
        <v>150.52000000000001</v>
      </c>
      <c r="D284" s="5">
        <v>145.745</v>
      </c>
      <c r="E284" s="5">
        <v>150.16</v>
      </c>
      <c r="F284" s="6">
        <v>6786445</v>
      </c>
    </row>
    <row r="285" spans="1:6" x14ac:dyDescent="0.2">
      <c r="A285" s="4">
        <v>44879</v>
      </c>
      <c r="B285" s="5">
        <v>150.97999999999999</v>
      </c>
      <c r="C285" s="5">
        <v>154.535</v>
      </c>
      <c r="D285" s="5">
        <v>150.97999999999999</v>
      </c>
      <c r="E285" s="5">
        <v>151.74</v>
      </c>
      <c r="F285" s="6">
        <v>7077092</v>
      </c>
    </row>
    <row r="286" spans="1:6" x14ac:dyDescent="0.2">
      <c r="A286" s="4">
        <v>44880</v>
      </c>
      <c r="B286" s="5">
        <v>153.38999999999999</v>
      </c>
      <c r="C286" s="5">
        <v>153.41999999999999</v>
      </c>
      <c r="D286" s="5">
        <v>149.9614</v>
      </c>
      <c r="E286" s="5">
        <v>153.04</v>
      </c>
      <c r="F286" s="6">
        <v>5909485</v>
      </c>
    </row>
    <row r="287" spans="1:6" x14ac:dyDescent="0.2">
      <c r="A287" s="4">
        <v>44881</v>
      </c>
      <c r="B287" s="5">
        <v>153.44</v>
      </c>
      <c r="C287" s="5">
        <v>156.69</v>
      </c>
      <c r="D287" s="5">
        <v>151.22999999999999</v>
      </c>
      <c r="E287" s="5">
        <v>151.87</v>
      </c>
      <c r="F287" s="6">
        <v>7358683</v>
      </c>
    </row>
    <row r="288" spans="1:6" x14ac:dyDescent="0.2">
      <c r="A288" s="4">
        <v>44882</v>
      </c>
      <c r="B288" s="5">
        <v>150.97</v>
      </c>
      <c r="C288" s="5">
        <v>153.07400000000001</v>
      </c>
      <c r="D288" s="5">
        <v>149.97</v>
      </c>
      <c r="E288" s="5">
        <v>152.16</v>
      </c>
      <c r="F288" s="6">
        <v>5069501</v>
      </c>
    </row>
    <row r="289" spans="1:6" x14ac:dyDescent="0.2">
      <c r="A289" s="4">
        <v>44883</v>
      </c>
      <c r="B289" s="5">
        <v>153.66999999999999</v>
      </c>
      <c r="C289" s="5">
        <v>155.63999999999999</v>
      </c>
      <c r="D289" s="5">
        <v>153.66999999999999</v>
      </c>
      <c r="E289" s="5">
        <v>154.97999999999999</v>
      </c>
      <c r="F289" s="6">
        <v>5691126</v>
      </c>
    </row>
    <row r="290" spans="1:6" x14ac:dyDescent="0.2">
      <c r="A290" s="4">
        <v>44886</v>
      </c>
      <c r="B290" s="5">
        <v>155.39500000000001</v>
      </c>
      <c r="C290" s="5">
        <v>158.62860000000001</v>
      </c>
      <c r="D290" s="5">
        <v>154.43</v>
      </c>
      <c r="E290" s="5">
        <v>157.11000000000001</v>
      </c>
      <c r="F290" s="6">
        <v>6492325</v>
      </c>
    </row>
    <row r="291" spans="1:6" x14ac:dyDescent="0.2">
      <c r="A291" s="4">
        <v>44887</v>
      </c>
      <c r="B291" s="5">
        <v>157.69</v>
      </c>
      <c r="C291" s="5">
        <v>159.88</v>
      </c>
      <c r="D291" s="5">
        <v>157.56010000000001</v>
      </c>
      <c r="E291" s="5">
        <v>159.79</v>
      </c>
      <c r="F291" s="6">
        <v>5351192</v>
      </c>
    </row>
    <row r="292" spans="1:6" x14ac:dyDescent="0.2">
      <c r="A292" s="4">
        <v>44888</v>
      </c>
      <c r="B292" s="5">
        <v>159.94999999999999</v>
      </c>
      <c r="C292" s="5">
        <v>160.94</v>
      </c>
      <c r="D292" s="5">
        <v>158.82</v>
      </c>
      <c r="E292" s="5">
        <v>159.38999999999999</v>
      </c>
      <c r="F292" s="6">
        <v>3221178</v>
      </c>
    </row>
    <row r="293" spans="1:6" x14ac:dyDescent="0.2">
      <c r="A293" s="4">
        <v>44890</v>
      </c>
      <c r="B293" s="5">
        <v>159.59</v>
      </c>
      <c r="C293" s="5">
        <v>160.75</v>
      </c>
      <c r="D293" s="5">
        <v>159.24109999999999</v>
      </c>
      <c r="E293" s="5">
        <v>159.62</v>
      </c>
      <c r="F293" s="6">
        <v>1661909</v>
      </c>
    </row>
    <row r="294" spans="1:6" x14ac:dyDescent="0.2">
      <c r="A294" s="4">
        <v>44893</v>
      </c>
      <c r="B294" s="5">
        <v>160</v>
      </c>
      <c r="C294" s="5">
        <v>160.72999999999999</v>
      </c>
      <c r="D294" s="5">
        <v>157.83000000000001</v>
      </c>
      <c r="E294" s="5">
        <v>158.43</v>
      </c>
      <c r="F294" s="6">
        <v>3902961</v>
      </c>
    </row>
    <row r="295" spans="1:6" x14ac:dyDescent="0.2">
      <c r="A295" s="4">
        <v>44894</v>
      </c>
      <c r="B295" s="5">
        <v>158.31</v>
      </c>
      <c r="C295" s="5">
        <v>159.4299</v>
      </c>
      <c r="D295" s="5">
        <v>157.21</v>
      </c>
      <c r="E295" s="5">
        <v>158.19999999999999</v>
      </c>
      <c r="F295" s="6">
        <v>3688967</v>
      </c>
    </row>
    <row r="296" spans="1:6" x14ac:dyDescent="0.2">
      <c r="A296" s="4">
        <v>44895</v>
      </c>
      <c r="B296" s="5">
        <v>158.79</v>
      </c>
      <c r="C296" s="5">
        <v>161.18</v>
      </c>
      <c r="D296" s="5">
        <v>156.46</v>
      </c>
      <c r="E296" s="5">
        <v>161.18</v>
      </c>
      <c r="F296" s="6">
        <v>12342540</v>
      </c>
    </row>
    <row r="297" spans="1:6" x14ac:dyDescent="0.2">
      <c r="A297" s="4">
        <v>44896</v>
      </c>
      <c r="B297" s="5">
        <v>161</v>
      </c>
      <c r="C297" s="5">
        <v>163.19999999999999</v>
      </c>
      <c r="D297" s="5">
        <v>159.97999999999999</v>
      </c>
      <c r="E297" s="5">
        <v>161.63</v>
      </c>
      <c r="F297" s="6">
        <v>5827897</v>
      </c>
    </row>
    <row r="298" spans="1:6" x14ac:dyDescent="0.2">
      <c r="A298" s="4">
        <v>44897</v>
      </c>
      <c r="B298" s="5">
        <v>160.72</v>
      </c>
      <c r="C298" s="5">
        <v>163.76</v>
      </c>
      <c r="D298" s="5">
        <v>160.51249999999999</v>
      </c>
      <c r="E298" s="5">
        <v>163.66</v>
      </c>
      <c r="F298" s="6">
        <v>4305089</v>
      </c>
    </row>
    <row r="299" spans="1:6" x14ac:dyDescent="0.2">
      <c r="A299" s="4">
        <v>44900</v>
      </c>
      <c r="B299" s="5">
        <v>162.88999999999999</v>
      </c>
      <c r="C299" s="5">
        <v>165.19</v>
      </c>
      <c r="D299" s="5">
        <v>162.88999999999999</v>
      </c>
      <c r="E299" s="5">
        <v>163.94</v>
      </c>
      <c r="F299" s="6">
        <v>4859547</v>
      </c>
    </row>
    <row r="300" spans="1:6" x14ac:dyDescent="0.2">
      <c r="A300" s="4">
        <v>44901</v>
      </c>
      <c r="B300" s="5">
        <v>164.03</v>
      </c>
      <c r="C300" s="5">
        <v>164.38499999999999</v>
      </c>
      <c r="D300" s="5">
        <v>161.55000000000001</v>
      </c>
      <c r="E300" s="5">
        <v>163.72</v>
      </c>
      <c r="F300" s="6">
        <v>5480495</v>
      </c>
    </row>
    <row r="301" spans="1:6" x14ac:dyDescent="0.2">
      <c r="A301" s="4">
        <v>44902</v>
      </c>
      <c r="B301" s="5">
        <v>163.69</v>
      </c>
      <c r="C301" s="5">
        <v>165.53</v>
      </c>
      <c r="D301" s="5">
        <v>163.26</v>
      </c>
      <c r="E301" s="5">
        <v>165.4</v>
      </c>
      <c r="F301" s="6">
        <v>4637777</v>
      </c>
    </row>
    <row r="302" spans="1:6" x14ac:dyDescent="0.2">
      <c r="A302" s="4">
        <v>44903</v>
      </c>
      <c r="B302" s="5">
        <v>165.4</v>
      </c>
      <c r="C302" s="5">
        <v>166.23</v>
      </c>
      <c r="D302" s="5">
        <v>164.28</v>
      </c>
      <c r="E302" s="5">
        <v>165.99</v>
      </c>
      <c r="F302" s="6">
        <v>4274507</v>
      </c>
    </row>
    <row r="303" spans="1:6" x14ac:dyDescent="0.2">
      <c r="A303" s="4">
        <v>44904</v>
      </c>
      <c r="B303" s="5">
        <v>166.76</v>
      </c>
      <c r="C303" s="5">
        <v>167.75</v>
      </c>
      <c r="D303" s="5">
        <v>162.81</v>
      </c>
      <c r="E303" s="5">
        <v>163.06</v>
      </c>
      <c r="F303" s="6">
        <v>4644814</v>
      </c>
    </row>
    <row r="304" spans="1:6" x14ac:dyDescent="0.2">
      <c r="A304" s="4">
        <v>44907</v>
      </c>
      <c r="B304" s="5">
        <v>163.21</v>
      </c>
      <c r="C304" s="5">
        <v>165.49</v>
      </c>
      <c r="D304" s="5">
        <v>162.75</v>
      </c>
      <c r="E304" s="5">
        <v>165.32</v>
      </c>
      <c r="F304" s="6">
        <v>4109432</v>
      </c>
    </row>
    <row r="305" spans="1:6" x14ac:dyDescent="0.2">
      <c r="A305" s="4">
        <v>44908</v>
      </c>
      <c r="B305" s="5">
        <v>166.95</v>
      </c>
      <c r="C305" s="5">
        <v>167.5</v>
      </c>
      <c r="D305" s="5">
        <v>164.67</v>
      </c>
      <c r="E305" s="5">
        <v>164.79</v>
      </c>
      <c r="F305" s="6">
        <v>5050473</v>
      </c>
    </row>
    <row r="306" spans="1:6" x14ac:dyDescent="0.2">
      <c r="A306" s="4">
        <v>44909</v>
      </c>
      <c r="B306" s="5">
        <v>164.6</v>
      </c>
      <c r="C306" s="5">
        <v>165.98</v>
      </c>
      <c r="D306" s="5">
        <v>162.83000000000001</v>
      </c>
      <c r="E306" s="5">
        <v>164.86</v>
      </c>
      <c r="F306" s="6">
        <v>4485377</v>
      </c>
    </row>
    <row r="307" spans="1:6" x14ac:dyDescent="0.2">
      <c r="A307" s="4">
        <v>44910</v>
      </c>
      <c r="B307" s="5">
        <v>163.89</v>
      </c>
      <c r="C307" s="5">
        <v>164.61</v>
      </c>
      <c r="D307" s="5">
        <v>161.94999999999999</v>
      </c>
      <c r="E307" s="5">
        <v>163.1</v>
      </c>
      <c r="F307" s="6">
        <v>5268477</v>
      </c>
    </row>
    <row r="308" spans="1:6" x14ac:dyDescent="0.2">
      <c r="A308" s="4">
        <v>44911</v>
      </c>
      <c r="B308" s="5">
        <v>162.05000000000001</v>
      </c>
      <c r="C308" s="5">
        <v>163.32</v>
      </c>
      <c r="D308" s="5">
        <v>160.47999999999999</v>
      </c>
      <c r="E308" s="5">
        <v>160.47999999999999</v>
      </c>
      <c r="F308" s="6">
        <v>18905520</v>
      </c>
    </row>
    <row r="309" spans="1:6" x14ac:dyDescent="0.2">
      <c r="A309" s="4">
        <v>44914</v>
      </c>
      <c r="B309" s="5">
        <v>160.78</v>
      </c>
      <c r="C309" s="5">
        <v>162.22999999999999</v>
      </c>
      <c r="D309" s="5">
        <v>160.06</v>
      </c>
      <c r="E309" s="5">
        <v>161.49</v>
      </c>
      <c r="F309" s="6">
        <v>4033361</v>
      </c>
    </row>
    <row r="310" spans="1:6" x14ac:dyDescent="0.2">
      <c r="A310" s="4">
        <v>44915</v>
      </c>
      <c r="B310" s="5">
        <v>161.61000000000001</v>
      </c>
      <c r="C310" s="5">
        <v>161.85</v>
      </c>
      <c r="D310" s="5">
        <v>160.07</v>
      </c>
      <c r="E310" s="5">
        <v>160.58000000000001</v>
      </c>
      <c r="F310" s="6">
        <v>4221227</v>
      </c>
    </row>
    <row r="311" spans="1:6" x14ac:dyDescent="0.2">
      <c r="A311" s="4">
        <v>44916</v>
      </c>
      <c r="B311" s="5">
        <v>161.44999999999999</v>
      </c>
      <c r="C311" s="5">
        <v>162.72999999999999</v>
      </c>
      <c r="D311" s="5">
        <v>160.36000000000001</v>
      </c>
      <c r="E311" s="5">
        <v>162.21</v>
      </c>
      <c r="F311" s="6">
        <v>3707199</v>
      </c>
    </row>
    <row r="312" spans="1:6" x14ac:dyDescent="0.2">
      <c r="A312" s="4">
        <v>44917</v>
      </c>
      <c r="B312" s="5">
        <v>161.87</v>
      </c>
      <c r="C312" s="5">
        <v>163.38999999999999</v>
      </c>
      <c r="D312" s="5">
        <v>161.53</v>
      </c>
      <c r="E312" s="5">
        <v>163.27000000000001</v>
      </c>
      <c r="F312" s="6">
        <v>3606176</v>
      </c>
    </row>
    <row r="313" spans="1:6" x14ac:dyDescent="0.2">
      <c r="A313" s="4">
        <v>44918</v>
      </c>
      <c r="B313" s="5">
        <v>163.38999999999999</v>
      </c>
      <c r="C313" s="5">
        <v>163.82</v>
      </c>
      <c r="D313" s="5">
        <v>162.33000000000001</v>
      </c>
      <c r="E313" s="5">
        <v>163.1</v>
      </c>
      <c r="F313" s="6">
        <v>2685137</v>
      </c>
    </row>
    <row r="314" spans="1:6" x14ac:dyDescent="0.2">
      <c r="A314" s="4">
        <v>44922</v>
      </c>
      <c r="B314" s="5">
        <v>163.49</v>
      </c>
      <c r="C314" s="5">
        <v>163.81</v>
      </c>
      <c r="D314" s="5">
        <v>161.77969999999999</v>
      </c>
      <c r="E314" s="5">
        <v>162.99</v>
      </c>
      <c r="F314" s="6">
        <v>2669310</v>
      </c>
    </row>
    <row r="315" spans="1:6" x14ac:dyDescent="0.2">
      <c r="A315" s="4">
        <v>44923</v>
      </c>
      <c r="B315" s="5">
        <v>163.69999999999999</v>
      </c>
      <c r="C315" s="5">
        <v>164.69</v>
      </c>
      <c r="D315" s="5">
        <v>162.11000000000001</v>
      </c>
      <c r="E315" s="5">
        <v>162.22999999999999</v>
      </c>
      <c r="F315" s="6">
        <v>2944692</v>
      </c>
    </row>
    <row r="316" spans="1:6" x14ac:dyDescent="0.2">
      <c r="A316" s="4">
        <v>44924</v>
      </c>
      <c r="B316" s="5">
        <v>162.96</v>
      </c>
      <c r="C316" s="5">
        <v>163.88</v>
      </c>
      <c r="D316" s="5">
        <v>162.19</v>
      </c>
      <c r="E316" s="5">
        <v>162.56</v>
      </c>
      <c r="F316" s="6">
        <v>3112642</v>
      </c>
    </row>
    <row r="317" spans="1:6" x14ac:dyDescent="0.2">
      <c r="A317" s="4">
        <v>44925</v>
      </c>
      <c r="B317" s="5">
        <v>162.22999999999999</v>
      </c>
      <c r="C317" s="5">
        <v>162.845</v>
      </c>
      <c r="D317" s="5">
        <v>159.82</v>
      </c>
      <c r="E317" s="5">
        <v>161.61000000000001</v>
      </c>
      <c r="F317" s="6">
        <v>3680370</v>
      </c>
    </row>
    <row r="318" spans="1:6" x14ac:dyDescent="0.2">
      <c r="A318" s="4">
        <v>44929</v>
      </c>
      <c r="B318" s="5">
        <v>162.04</v>
      </c>
      <c r="C318" s="5">
        <v>163.02000000000001</v>
      </c>
      <c r="D318" s="5">
        <v>160.81</v>
      </c>
      <c r="E318" s="5">
        <v>162.38</v>
      </c>
      <c r="F318" s="6">
        <v>4937722</v>
      </c>
    </row>
    <row r="319" spans="1:6" x14ac:dyDescent="0.2">
      <c r="A319" s="4">
        <v>44930</v>
      </c>
      <c r="B319" s="5">
        <v>162.4</v>
      </c>
      <c r="C319" s="5">
        <v>164.28</v>
      </c>
      <c r="D319" s="5">
        <v>161.51</v>
      </c>
      <c r="E319" s="5">
        <v>163.69</v>
      </c>
      <c r="F319" s="6">
        <v>4440480</v>
      </c>
    </row>
    <row r="320" spans="1:6" x14ac:dyDescent="0.2">
      <c r="A320" s="4">
        <v>44931</v>
      </c>
      <c r="B320" s="5">
        <v>163.09</v>
      </c>
      <c r="C320" s="5">
        <v>164.49</v>
      </c>
      <c r="D320" s="5">
        <v>162.34</v>
      </c>
      <c r="E320" s="5">
        <v>163.49</v>
      </c>
      <c r="F320" s="6">
        <v>3516002</v>
      </c>
    </row>
    <row r="321" spans="1:6" x14ac:dyDescent="0.2">
      <c r="A321" s="4">
        <v>44932</v>
      </c>
      <c r="B321" s="5">
        <v>164.84</v>
      </c>
      <c r="C321" s="5">
        <v>168.11</v>
      </c>
      <c r="D321" s="5">
        <v>164.12</v>
      </c>
      <c r="E321" s="5">
        <v>166.55</v>
      </c>
      <c r="F321" s="6">
        <v>5099112</v>
      </c>
    </row>
    <row r="322" spans="1:6" x14ac:dyDescent="0.2">
      <c r="A322" s="4">
        <v>44935</v>
      </c>
      <c r="B322" s="5">
        <v>165.9</v>
      </c>
      <c r="C322" s="5">
        <v>166.28</v>
      </c>
      <c r="D322" s="5">
        <v>160.88</v>
      </c>
      <c r="E322" s="5">
        <v>161.66</v>
      </c>
      <c r="F322" s="6">
        <v>7832955</v>
      </c>
    </row>
    <row r="323" spans="1:6" x14ac:dyDescent="0.2">
      <c r="A323" s="4">
        <v>44936</v>
      </c>
      <c r="B323" s="5">
        <v>162.22999999999999</v>
      </c>
      <c r="C323" s="5">
        <v>162.41999999999999</v>
      </c>
      <c r="D323" s="5">
        <v>158.30000000000001</v>
      </c>
      <c r="E323" s="5">
        <v>159.63999999999999</v>
      </c>
      <c r="F323" s="6">
        <v>5936187</v>
      </c>
    </row>
    <row r="324" spans="1:6" x14ac:dyDescent="0.2">
      <c r="A324" s="4">
        <v>44937</v>
      </c>
      <c r="B324" s="5">
        <v>159.22</v>
      </c>
      <c r="C324" s="5">
        <v>159.34</v>
      </c>
      <c r="D324" s="5">
        <v>155.06</v>
      </c>
      <c r="E324" s="5">
        <v>157.16999999999999</v>
      </c>
      <c r="F324" s="6">
        <v>7492023</v>
      </c>
    </row>
    <row r="325" spans="1:6" x14ac:dyDescent="0.2">
      <c r="A325" s="4">
        <v>44938</v>
      </c>
      <c r="B325" s="5">
        <v>155</v>
      </c>
      <c r="C325" s="5">
        <v>155.26</v>
      </c>
      <c r="D325" s="5">
        <v>151.72</v>
      </c>
      <c r="E325" s="5">
        <v>152.22</v>
      </c>
      <c r="F325" s="6">
        <v>7665110</v>
      </c>
    </row>
    <row r="326" spans="1:6" x14ac:dyDescent="0.2">
      <c r="A326" s="4">
        <v>44939</v>
      </c>
      <c r="B326" s="5">
        <v>152.09</v>
      </c>
      <c r="C326" s="5">
        <v>153.81</v>
      </c>
      <c r="D326" s="5">
        <v>151.34</v>
      </c>
      <c r="E326" s="5">
        <v>153.6</v>
      </c>
      <c r="F326" s="6">
        <v>6019501</v>
      </c>
    </row>
    <row r="327" spans="1:6" x14ac:dyDescent="0.2">
      <c r="A327" s="4">
        <v>44943</v>
      </c>
      <c r="B327" s="5">
        <v>153.80000000000001</v>
      </c>
      <c r="C327" s="5">
        <v>155.1</v>
      </c>
      <c r="D327" s="5">
        <v>152.58000000000001</v>
      </c>
      <c r="E327" s="5">
        <v>152.83000000000001</v>
      </c>
      <c r="F327" s="6">
        <v>8507159</v>
      </c>
    </row>
    <row r="328" spans="1:6" x14ac:dyDescent="0.2">
      <c r="A328" s="4">
        <v>44944</v>
      </c>
      <c r="B328" s="5">
        <v>152.12</v>
      </c>
      <c r="C328" s="5">
        <v>152.41999999999999</v>
      </c>
      <c r="D328" s="5">
        <v>149.07</v>
      </c>
      <c r="E328" s="5">
        <v>149.19999999999999</v>
      </c>
      <c r="F328" s="6">
        <v>6190824</v>
      </c>
    </row>
    <row r="329" spans="1:6" x14ac:dyDescent="0.2">
      <c r="A329" s="4">
        <v>44945</v>
      </c>
      <c r="B329" s="5">
        <v>148.94999999999999</v>
      </c>
      <c r="C329" s="5">
        <v>150.54</v>
      </c>
      <c r="D329" s="5">
        <v>147.33170000000001</v>
      </c>
      <c r="E329" s="5">
        <v>148.71</v>
      </c>
      <c r="F329" s="6">
        <v>7170148</v>
      </c>
    </row>
    <row r="330" spans="1:6" x14ac:dyDescent="0.2">
      <c r="A330" s="4">
        <v>44946</v>
      </c>
      <c r="B330" s="5">
        <v>149.43</v>
      </c>
      <c r="C330" s="5">
        <v>149.71</v>
      </c>
      <c r="D330" s="5">
        <v>147.15</v>
      </c>
      <c r="E330" s="5">
        <v>149.59</v>
      </c>
      <c r="F330" s="6">
        <v>7059012</v>
      </c>
    </row>
    <row r="331" spans="1:6" x14ac:dyDescent="0.2">
      <c r="A331" s="4">
        <v>44949</v>
      </c>
      <c r="B331" s="5">
        <v>149.86000000000001</v>
      </c>
      <c r="C331" s="5">
        <v>150.43</v>
      </c>
      <c r="D331" s="5">
        <v>148.05420000000001</v>
      </c>
      <c r="E331" s="5">
        <v>148.55000000000001</v>
      </c>
      <c r="F331" s="6">
        <v>7616363</v>
      </c>
    </row>
    <row r="332" spans="1:6" x14ac:dyDescent="0.2">
      <c r="A332" s="4">
        <v>44950</v>
      </c>
      <c r="B332" s="5">
        <v>148.08000000000001</v>
      </c>
      <c r="C332" s="5">
        <v>148.86500000000001</v>
      </c>
      <c r="D332" s="5">
        <v>146.44</v>
      </c>
      <c r="E332" s="5">
        <v>147.69</v>
      </c>
      <c r="F332" s="6">
        <v>5171361</v>
      </c>
    </row>
    <row r="333" spans="1:6" x14ac:dyDescent="0.2">
      <c r="A333" s="4">
        <v>44951</v>
      </c>
      <c r="B333" s="5">
        <v>147.38</v>
      </c>
      <c r="C333" s="5">
        <v>147.97999999999999</v>
      </c>
      <c r="D333" s="5">
        <v>146.5</v>
      </c>
      <c r="E333" s="5">
        <v>147.79</v>
      </c>
      <c r="F333" s="6">
        <v>5744293</v>
      </c>
    </row>
    <row r="334" spans="1:6" x14ac:dyDescent="0.2">
      <c r="A334" s="4">
        <v>44952</v>
      </c>
      <c r="B334" s="5">
        <v>147.91999999999999</v>
      </c>
      <c r="C334" s="5">
        <v>148.69999999999999</v>
      </c>
      <c r="D334" s="5">
        <v>147.11000000000001</v>
      </c>
      <c r="E334" s="5">
        <v>147.4</v>
      </c>
      <c r="F334" s="6">
        <v>4577825</v>
      </c>
    </row>
    <row r="335" spans="1:6" x14ac:dyDescent="0.2">
      <c r="A335" s="4">
        <v>44953</v>
      </c>
      <c r="B335" s="5">
        <v>147.31</v>
      </c>
      <c r="C335" s="5">
        <v>147.6799</v>
      </c>
      <c r="D335" s="5">
        <v>146.01499999999999</v>
      </c>
      <c r="E335" s="5">
        <v>146.28</v>
      </c>
      <c r="F335" s="6">
        <v>4591481</v>
      </c>
    </row>
    <row r="336" spans="1:6" x14ac:dyDescent="0.2">
      <c r="A336" s="4">
        <v>44956</v>
      </c>
      <c r="B336" s="5">
        <v>145.87</v>
      </c>
      <c r="C336" s="5">
        <v>147.12</v>
      </c>
      <c r="D336" s="5">
        <v>145.26</v>
      </c>
      <c r="E336" s="5">
        <v>145.65</v>
      </c>
      <c r="F336" s="6">
        <v>4573369</v>
      </c>
    </row>
    <row r="337" spans="1:6" x14ac:dyDescent="0.2">
      <c r="A337" s="4">
        <v>44957</v>
      </c>
      <c r="B337" s="5">
        <v>145.63</v>
      </c>
      <c r="C337" s="5">
        <v>147.85</v>
      </c>
      <c r="D337" s="5">
        <v>144.41</v>
      </c>
      <c r="E337" s="5">
        <v>147.75</v>
      </c>
      <c r="F337" s="6">
        <v>5628869</v>
      </c>
    </row>
    <row r="338" spans="1:6" x14ac:dyDescent="0.2">
      <c r="A338" s="4">
        <v>44958</v>
      </c>
      <c r="B338" s="5">
        <v>146.63</v>
      </c>
      <c r="C338" s="5">
        <v>147.44</v>
      </c>
      <c r="D338" s="5">
        <v>145.25</v>
      </c>
      <c r="E338" s="5">
        <v>146.6</v>
      </c>
      <c r="F338" s="6">
        <v>5439922</v>
      </c>
    </row>
    <row r="339" spans="1:6" x14ac:dyDescent="0.2">
      <c r="A339" s="4">
        <v>44959</v>
      </c>
      <c r="B339" s="5">
        <v>145.93</v>
      </c>
      <c r="C339" s="5">
        <v>145.93</v>
      </c>
      <c r="D339" s="5">
        <v>143.44</v>
      </c>
      <c r="E339" s="5">
        <v>144.84</v>
      </c>
      <c r="F339" s="6">
        <v>6160758</v>
      </c>
    </row>
    <row r="340" spans="1:6" x14ac:dyDescent="0.2">
      <c r="A340" s="4">
        <v>44960</v>
      </c>
      <c r="B340" s="5">
        <v>145.91999999999999</v>
      </c>
      <c r="C340" s="5">
        <v>146.80000000000001</v>
      </c>
      <c r="D340" s="5">
        <v>144.69999999999999</v>
      </c>
      <c r="E340" s="5">
        <v>145.19999999999999</v>
      </c>
      <c r="F340" s="6">
        <v>6552966</v>
      </c>
    </row>
    <row r="341" spans="1:6" x14ac:dyDescent="0.2">
      <c r="A341" s="4">
        <v>44963</v>
      </c>
      <c r="B341" s="5">
        <v>145.74</v>
      </c>
      <c r="C341" s="5">
        <v>146.33000000000001</v>
      </c>
      <c r="D341" s="5">
        <v>144.80500000000001</v>
      </c>
      <c r="E341" s="5">
        <v>145.02000000000001</v>
      </c>
      <c r="F341" s="6">
        <v>4296963</v>
      </c>
    </row>
    <row r="342" spans="1:6" x14ac:dyDescent="0.2">
      <c r="A342" s="4">
        <v>44964</v>
      </c>
      <c r="B342" s="5">
        <v>144.58000000000001</v>
      </c>
      <c r="C342" s="5">
        <v>145.46199999999999</v>
      </c>
      <c r="D342" s="5">
        <v>143.66</v>
      </c>
      <c r="E342" s="5">
        <v>145.13999999999999</v>
      </c>
      <c r="F342" s="6">
        <v>5401859</v>
      </c>
    </row>
    <row r="343" spans="1:6" x14ac:dyDescent="0.2">
      <c r="A343" s="4">
        <v>44965</v>
      </c>
      <c r="B343" s="5">
        <v>145.41</v>
      </c>
      <c r="C343" s="5">
        <v>146.35</v>
      </c>
      <c r="D343" s="5">
        <v>144.47</v>
      </c>
      <c r="E343" s="5">
        <v>144.61000000000001</v>
      </c>
      <c r="F343" s="6">
        <v>5753781</v>
      </c>
    </row>
    <row r="344" spans="1:6" x14ac:dyDescent="0.2">
      <c r="A344" s="4">
        <v>44966</v>
      </c>
      <c r="B344" s="5">
        <v>148.5</v>
      </c>
      <c r="C344" s="5">
        <v>153.69999999999999</v>
      </c>
      <c r="D344" s="5">
        <v>147.9</v>
      </c>
      <c r="E344" s="5">
        <v>148.69999999999999</v>
      </c>
      <c r="F344" s="6">
        <v>12216910</v>
      </c>
    </row>
    <row r="345" spans="1:6" x14ac:dyDescent="0.2">
      <c r="A345" s="4">
        <v>44967</v>
      </c>
      <c r="B345" s="5">
        <v>149.69</v>
      </c>
      <c r="C345" s="5">
        <v>153.18</v>
      </c>
      <c r="D345" s="5">
        <v>148.77000000000001</v>
      </c>
      <c r="E345" s="5">
        <v>152.05000000000001</v>
      </c>
      <c r="F345" s="6">
        <v>8956730</v>
      </c>
    </row>
    <row r="346" spans="1:6" x14ac:dyDescent="0.2">
      <c r="A346" s="4">
        <v>44970</v>
      </c>
      <c r="B346" s="5">
        <v>152.02000000000001</v>
      </c>
      <c r="C346" s="5">
        <v>153.78</v>
      </c>
      <c r="D346" s="5">
        <v>151.26</v>
      </c>
      <c r="E346" s="5">
        <v>153.72999999999999</v>
      </c>
      <c r="F346" s="6">
        <v>5602677</v>
      </c>
    </row>
    <row r="347" spans="1:6" x14ac:dyDescent="0.2">
      <c r="A347" s="4">
        <v>44971</v>
      </c>
      <c r="B347" s="5">
        <v>153.91999999999999</v>
      </c>
      <c r="C347" s="5">
        <v>154</v>
      </c>
      <c r="D347" s="5">
        <v>151.76</v>
      </c>
      <c r="E347" s="5">
        <v>152.59</v>
      </c>
      <c r="F347" s="6">
        <v>4662841</v>
      </c>
    </row>
    <row r="348" spans="1:6" x14ac:dyDescent="0.2">
      <c r="A348" s="4">
        <v>44972</v>
      </c>
      <c r="B348" s="5">
        <v>152.62</v>
      </c>
      <c r="C348" s="5">
        <v>153.49</v>
      </c>
      <c r="D348" s="5">
        <v>150.83000000000001</v>
      </c>
      <c r="E348" s="5">
        <v>151.06</v>
      </c>
      <c r="F348" s="6">
        <v>5648431</v>
      </c>
    </row>
    <row r="349" spans="1:6" x14ac:dyDescent="0.2">
      <c r="A349" s="4">
        <v>44973</v>
      </c>
      <c r="B349" s="5">
        <v>149.11000000000001</v>
      </c>
      <c r="C349" s="5">
        <v>150.5</v>
      </c>
      <c r="D349" s="5">
        <v>148.72999999999999</v>
      </c>
      <c r="E349" s="5">
        <v>149.53</v>
      </c>
      <c r="F349" s="6">
        <v>3757489</v>
      </c>
    </row>
    <row r="350" spans="1:6" x14ac:dyDescent="0.2">
      <c r="A350" s="4">
        <v>44974</v>
      </c>
      <c r="B350" s="5">
        <v>149.15</v>
      </c>
      <c r="C350" s="5">
        <v>151.38999999999999</v>
      </c>
      <c r="D350" s="5">
        <v>148.61000000000001</v>
      </c>
      <c r="E350" s="5">
        <v>151.31</v>
      </c>
      <c r="F350" s="6">
        <v>4562520</v>
      </c>
    </row>
    <row r="351" spans="1:6" x14ac:dyDescent="0.2">
      <c r="A351" s="4">
        <v>44978</v>
      </c>
      <c r="B351" s="5">
        <v>149.82</v>
      </c>
      <c r="C351" s="5">
        <v>153.02000000000001</v>
      </c>
      <c r="D351" s="5">
        <v>149.82</v>
      </c>
      <c r="E351" s="5">
        <v>152</v>
      </c>
      <c r="F351" s="6">
        <v>8466058</v>
      </c>
    </row>
    <row r="352" spans="1:6" x14ac:dyDescent="0.2">
      <c r="A352" s="4">
        <v>44979</v>
      </c>
      <c r="B352" s="5">
        <v>151</v>
      </c>
      <c r="C352" s="5">
        <v>152.15</v>
      </c>
      <c r="D352" s="5">
        <v>150.24</v>
      </c>
      <c r="E352" s="5">
        <v>150.66999999999999</v>
      </c>
      <c r="F352" s="6">
        <v>6041747</v>
      </c>
    </row>
    <row r="353" spans="1:6" x14ac:dyDescent="0.2">
      <c r="A353" s="4">
        <v>44980</v>
      </c>
      <c r="B353" s="5">
        <v>150.9</v>
      </c>
      <c r="C353" s="5">
        <v>153.57</v>
      </c>
      <c r="D353" s="5">
        <v>149.16999999999999</v>
      </c>
      <c r="E353" s="5">
        <v>152.07</v>
      </c>
      <c r="F353" s="6">
        <v>5993448</v>
      </c>
    </row>
    <row r="354" spans="1:6" x14ac:dyDescent="0.2">
      <c r="A354" s="4">
        <v>44981</v>
      </c>
      <c r="B354" s="5">
        <v>151.30000000000001</v>
      </c>
      <c r="C354" s="5">
        <v>152.97999999999999</v>
      </c>
      <c r="D354" s="5">
        <v>150.905</v>
      </c>
      <c r="E354" s="5">
        <v>152.71</v>
      </c>
      <c r="F354" s="6">
        <v>5621293</v>
      </c>
    </row>
    <row r="355" spans="1:6" x14ac:dyDescent="0.2">
      <c r="A355" s="4">
        <v>44984</v>
      </c>
      <c r="B355" s="5">
        <v>153.26</v>
      </c>
      <c r="C355" s="5">
        <v>154.745</v>
      </c>
      <c r="D355" s="5">
        <v>153.1</v>
      </c>
      <c r="E355" s="5">
        <v>154.28</v>
      </c>
      <c r="F355" s="6">
        <v>6828968</v>
      </c>
    </row>
    <row r="356" spans="1:6" x14ac:dyDescent="0.2">
      <c r="A356" s="4">
        <v>44985</v>
      </c>
      <c r="B356" s="5">
        <v>153.96</v>
      </c>
      <c r="C356" s="5">
        <v>154.37</v>
      </c>
      <c r="D356" s="5">
        <v>152.62</v>
      </c>
      <c r="E356" s="5">
        <v>153.9</v>
      </c>
      <c r="F356" s="6">
        <v>7561840</v>
      </c>
    </row>
    <row r="357" spans="1:6" x14ac:dyDescent="0.2">
      <c r="A357" s="4">
        <v>44986</v>
      </c>
      <c r="B357" s="5">
        <v>152.76</v>
      </c>
      <c r="C357" s="5">
        <v>155.58000000000001</v>
      </c>
      <c r="D357" s="5">
        <v>152.37</v>
      </c>
      <c r="E357" s="5">
        <v>155.27000000000001</v>
      </c>
      <c r="F357" s="6">
        <v>5485959</v>
      </c>
    </row>
    <row r="358" spans="1:6" x14ac:dyDescent="0.2">
      <c r="A358" s="4">
        <v>44987</v>
      </c>
      <c r="B358" s="5">
        <v>155.22999999999999</v>
      </c>
      <c r="C358" s="5">
        <v>155.77000000000001</v>
      </c>
      <c r="D358" s="5">
        <v>154.21</v>
      </c>
      <c r="E358" s="5">
        <v>154.38</v>
      </c>
      <c r="F358" s="6">
        <v>4569616</v>
      </c>
    </row>
    <row r="359" spans="1:6" x14ac:dyDescent="0.2">
      <c r="A359" s="4">
        <v>44988</v>
      </c>
      <c r="B359" s="5">
        <v>154.33000000000001</v>
      </c>
      <c r="C359" s="5">
        <v>156.16999999999999</v>
      </c>
      <c r="D359" s="5">
        <v>154.005</v>
      </c>
      <c r="E359" s="5">
        <v>156.06</v>
      </c>
      <c r="F359" s="6">
        <v>4851351</v>
      </c>
    </row>
    <row r="360" spans="1:6" x14ac:dyDescent="0.2">
      <c r="A360" s="4">
        <v>44991</v>
      </c>
      <c r="B360" s="5">
        <v>155.79</v>
      </c>
      <c r="C360" s="5">
        <v>156.46</v>
      </c>
      <c r="D360" s="5">
        <v>154.54499999999999</v>
      </c>
      <c r="E360" s="5">
        <v>155.28</v>
      </c>
      <c r="F360" s="6">
        <v>4051860</v>
      </c>
    </row>
    <row r="361" spans="1:6" x14ac:dyDescent="0.2">
      <c r="A361" s="4">
        <v>44992</v>
      </c>
      <c r="B361" s="5">
        <v>155.57</v>
      </c>
      <c r="C361" s="5">
        <v>155.66999999999999</v>
      </c>
      <c r="D361" s="5">
        <v>152.05000000000001</v>
      </c>
      <c r="E361" s="5">
        <v>152.93</v>
      </c>
      <c r="F361" s="6">
        <v>4606864</v>
      </c>
    </row>
    <row r="362" spans="1:6" x14ac:dyDescent="0.2">
      <c r="A362" s="4">
        <v>44993</v>
      </c>
      <c r="B362" s="5">
        <v>152.79</v>
      </c>
      <c r="C362" s="5">
        <v>153.74</v>
      </c>
      <c r="D362" s="5">
        <v>148.54</v>
      </c>
      <c r="E362" s="5">
        <v>149.6</v>
      </c>
      <c r="F362" s="6">
        <v>5860279</v>
      </c>
    </row>
    <row r="363" spans="1:6" x14ac:dyDescent="0.2">
      <c r="A363" s="4">
        <v>44994</v>
      </c>
      <c r="B363" s="5">
        <v>150.07</v>
      </c>
      <c r="C363" s="5">
        <v>150.91</v>
      </c>
      <c r="D363" s="5">
        <v>146.57499999999999</v>
      </c>
      <c r="E363" s="5">
        <v>147.35</v>
      </c>
      <c r="F363" s="6">
        <v>5350616</v>
      </c>
    </row>
    <row r="364" spans="1:6" x14ac:dyDescent="0.2">
      <c r="A364" s="4">
        <v>44995</v>
      </c>
      <c r="B364" s="5">
        <v>147.84</v>
      </c>
      <c r="C364" s="5">
        <v>150.63999999999999</v>
      </c>
      <c r="D364" s="5">
        <v>147.47</v>
      </c>
      <c r="E364" s="5">
        <v>149.71</v>
      </c>
      <c r="F364" s="6">
        <v>6825537</v>
      </c>
    </row>
    <row r="365" spans="1:6" x14ac:dyDescent="0.2">
      <c r="A365" s="4">
        <v>44998</v>
      </c>
      <c r="B365" s="5">
        <v>149</v>
      </c>
      <c r="C365" s="5">
        <v>153.32</v>
      </c>
      <c r="D365" s="5">
        <v>149</v>
      </c>
      <c r="E365" s="5">
        <v>151.94999999999999</v>
      </c>
      <c r="F365" s="6">
        <v>7653805</v>
      </c>
    </row>
    <row r="366" spans="1:6" x14ac:dyDescent="0.2">
      <c r="A366" s="4">
        <v>44999</v>
      </c>
      <c r="B366" s="5">
        <v>151.94999999999999</v>
      </c>
      <c r="C366" s="5">
        <v>153.99</v>
      </c>
      <c r="D366" s="5">
        <v>151.46</v>
      </c>
      <c r="E366" s="5">
        <v>153.85</v>
      </c>
      <c r="F366" s="6">
        <v>6644091</v>
      </c>
    </row>
    <row r="367" spans="1:6" x14ac:dyDescent="0.2">
      <c r="A367" s="4">
        <v>45000</v>
      </c>
      <c r="B367" s="5">
        <v>152.18</v>
      </c>
      <c r="C367" s="5">
        <v>154.38</v>
      </c>
      <c r="D367" s="5">
        <v>151.72499999999999</v>
      </c>
      <c r="E367" s="5">
        <v>154.06</v>
      </c>
      <c r="F367" s="6">
        <v>6304637</v>
      </c>
    </row>
    <row r="368" spans="1:6" x14ac:dyDescent="0.2">
      <c r="A368" s="4">
        <v>45001</v>
      </c>
      <c r="B368" s="5">
        <v>153.19999999999999</v>
      </c>
      <c r="C368" s="5">
        <v>155.91999999999999</v>
      </c>
      <c r="D368" s="5">
        <v>152.51</v>
      </c>
      <c r="E368" s="5">
        <v>155.30000000000001</v>
      </c>
      <c r="F368" s="6">
        <v>6331262</v>
      </c>
    </row>
    <row r="369" spans="1:6" x14ac:dyDescent="0.2">
      <c r="A369" s="4">
        <v>45002</v>
      </c>
      <c r="B369" s="5">
        <v>155.78</v>
      </c>
      <c r="C369" s="5">
        <v>156.07</v>
      </c>
      <c r="D369" s="5">
        <v>151.88</v>
      </c>
      <c r="E369" s="5">
        <v>154.22</v>
      </c>
      <c r="F369" s="6">
        <v>42756430</v>
      </c>
    </row>
    <row r="370" spans="1:6" x14ac:dyDescent="0.2">
      <c r="A370" s="4">
        <v>45005</v>
      </c>
      <c r="B370" s="5">
        <v>154.52000000000001</v>
      </c>
      <c r="C370" s="5">
        <v>156.34</v>
      </c>
      <c r="D370" s="5">
        <v>154.46</v>
      </c>
      <c r="E370" s="5">
        <v>156.12</v>
      </c>
      <c r="F370" s="6">
        <v>4408449</v>
      </c>
    </row>
    <row r="371" spans="1:6" x14ac:dyDescent="0.2">
      <c r="A371" s="4">
        <v>45006</v>
      </c>
      <c r="B371" s="5">
        <v>156.63999999999999</v>
      </c>
      <c r="C371" s="5">
        <v>157.05000000000001</v>
      </c>
      <c r="D371" s="5">
        <v>155.1</v>
      </c>
      <c r="E371" s="5">
        <v>156.77000000000001</v>
      </c>
      <c r="F371" s="6">
        <v>4675760</v>
      </c>
    </row>
    <row r="372" spans="1:6" x14ac:dyDescent="0.2">
      <c r="A372" s="4">
        <v>45007</v>
      </c>
      <c r="B372" s="5">
        <v>155.68</v>
      </c>
      <c r="C372" s="5">
        <v>156.88</v>
      </c>
      <c r="D372" s="5">
        <v>153.61000000000001</v>
      </c>
      <c r="E372" s="5">
        <v>153.66999999999999</v>
      </c>
      <c r="F372" s="6">
        <v>4376890</v>
      </c>
    </row>
    <row r="373" spans="1:6" x14ac:dyDescent="0.2">
      <c r="A373" s="4">
        <v>45008</v>
      </c>
      <c r="B373" s="5">
        <v>154.1</v>
      </c>
      <c r="C373" s="5">
        <v>156.5</v>
      </c>
      <c r="D373" s="5">
        <v>154.02000000000001</v>
      </c>
      <c r="E373" s="5">
        <v>155.30000000000001</v>
      </c>
      <c r="F373" s="6">
        <v>4584071</v>
      </c>
    </row>
    <row r="374" spans="1:6" x14ac:dyDescent="0.2">
      <c r="A374" s="4">
        <v>45009</v>
      </c>
      <c r="B374" s="5">
        <v>155.28</v>
      </c>
      <c r="C374" s="5">
        <v>158.47999999999999</v>
      </c>
      <c r="D374" s="5">
        <v>154.59</v>
      </c>
      <c r="E374" s="5">
        <v>158.02000000000001</v>
      </c>
      <c r="F374" s="6">
        <v>4678822</v>
      </c>
    </row>
    <row r="375" spans="1:6" x14ac:dyDescent="0.2">
      <c r="A375" s="4">
        <v>45012</v>
      </c>
      <c r="B375" s="5">
        <v>158.83000000000001</v>
      </c>
      <c r="C375" s="5">
        <v>159.13999999999999</v>
      </c>
      <c r="D375" s="5">
        <v>157.375</v>
      </c>
      <c r="E375" s="5">
        <v>157.54</v>
      </c>
      <c r="F375" s="6">
        <v>3887844</v>
      </c>
    </row>
    <row r="376" spans="1:6" x14ac:dyDescent="0.2">
      <c r="A376" s="4">
        <v>45013</v>
      </c>
      <c r="B376" s="5">
        <v>157.80000000000001</v>
      </c>
      <c r="C376" s="5">
        <v>158.59880000000001</v>
      </c>
      <c r="D376" s="5">
        <v>157.44999999999999</v>
      </c>
      <c r="E376" s="5">
        <v>158.25</v>
      </c>
      <c r="F376" s="6">
        <v>3532488</v>
      </c>
    </row>
    <row r="377" spans="1:6" x14ac:dyDescent="0.2">
      <c r="A377" s="4">
        <v>45014</v>
      </c>
      <c r="B377" s="5">
        <v>158.97999999999999</v>
      </c>
      <c r="C377" s="5">
        <v>159.69999999999999</v>
      </c>
      <c r="D377" s="5">
        <v>156.36000000000001</v>
      </c>
      <c r="E377" s="5">
        <v>158</v>
      </c>
      <c r="F377" s="6">
        <v>3959986</v>
      </c>
    </row>
    <row r="378" spans="1:6" x14ac:dyDescent="0.2">
      <c r="A378" s="4">
        <v>45015</v>
      </c>
      <c r="B378" s="5">
        <v>158.01</v>
      </c>
      <c r="C378" s="5">
        <v>158.53</v>
      </c>
      <c r="D378" s="5">
        <v>157.41999999999999</v>
      </c>
      <c r="E378" s="5">
        <v>157.91999999999999</v>
      </c>
      <c r="F378" s="6">
        <v>3635850</v>
      </c>
    </row>
    <row r="379" spans="1:6" x14ac:dyDescent="0.2">
      <c r="A379" s="4">
        <v>45016</v>
      </c>
      <c r="B379" s="5">
        <v>158.43</v>
      </c>
      <c r="C379" s="5">
        <v>159.57</v>
      </c>
      <c r="D379" s="5">
        <v>157.72999999999999</v>
      </c>
      <c r="E379" s="5">
        <v>159.37</v>
      </c>
      <c r="F379" s="6">
        <v>4957340</v>
      </c>
    </row>
    <row r="380" spans="1:6" x14ac:dyDescent="0.2">
      <c r="A380" s="4">
        <v>45019</v>
      </c>
      <c r="B380" s="5">
        <v>158.25</v>
      </c>
      <c r="C380" s="5">
        <v>160.47</v>
      </c>
      <c r="D380" s="5">
        <v>157.79150000000001</v>
      </c>
      <c r="E380" s="5">
        <v>160.41999999999999</v>
      </c>
      <c r="F380" s="6">
        <v>4389371</v>
      </c>
    </row>
    <row r="381" spans="1:6" x14ac:dyDescent="0.2">
      <c r="A381" s="4">
        <v>45020</v>
      </c>
      <c r="B381" s="5">
        <v>160.51</v>
      </c>
      <c r="C381" s="5">
        <v>161.72999999999999</v>
      </c>
      <c r="D381" s="5">
        <v>159.53</v>
      </c>
      <c r="E381" s="5">
        <v>159.78</v>
      </c>
      <c r="F381" s="6">
        <v>4224607</v>
      </c>
    </row>
    <row r="382" spans="1:6" x14ac:dyDescent="0.2">
      <c r="A382" s="4">
        <v>45021</v>
      </c>
      <c r="B382" s="5">
        <v>160</v>
      </c>
      <c r="C382" s="5">
        <v>161.66999999999999</v>
      </c>
      <c r="D382" s="5">
        <v>159.01</v>
      </c>
      <c r="E382" s="5">
        <v>160.80000000000001</v>
      </c>
      <c r="F382" s="6">
        <v>5743036</v>
      </c>
    </row>
    <row r="383" spans="1:6" x14ac:dyDescent="0.2">
      <c r="A383" s="4">
        <v>45022</v>
      </c>
      <c r="B383" s="5">
        <v>160.80000000000001</v>
      </c>
      <c r="C383" s="5">
        <v>162.19</v>
      </c>
      <c r="D383" s="5">
        <v>160.62</v>
      </c>
      <c r="E383" s="5">
        <v>161.55000000000001</v>
      </c>
      <c r="F383" s="6">
        <v>5498465</v>
      </c>
    </row>
    <row r="384" spans="1:6" x14ac:dyDescent="0.2">
      <c r="A384" s="4">
        <v>45026</v>
      </c>
      <c r="B384" s="5">
        <v>161.71</v>
      </c>
      <c r="C384" s="5">
        <v>162.06</v>
      </c>
      <c r="D384" s="5">
        <v>160.21</v>
      </c>
      <c r="E384" s="5">
        <v>161.28</v>
      </c>
      <c r="F384" s="6">
        <v>3309544</v>
      </c>
    </row>
    <row r="385" spans="1:6" x14ac:dyDescent="0.2">
      <c r="A385" s="4">
        <v>45027</v>
      </c>
      <c r="B385" s="5">
        <v>161.49</v>
      </c>
      <c r="C385" s="5">
        <v>162.59</v>
      </c>
      <c r="D385" s="5">
        <v>161.19</v>
      </c>
      <c r="E385" s="5">
        <v>161.38</v>
      </c>
      <c r="F385" s="6">
        <v>2875876</v>
      </c>
    </row>
    <row r="386" spans="1:6" x14ac:dyDescent="0.2">
      <c r="A386" s="4">
        <v>45028</v>
      </c>
      <c r="B386" s="5">
        <v>162.12</v>
      </c>
      <c r="C386" s="5">
        <v>163.47999999999999</v>
      </c>
      <c r="D386" s="5">
        <v>161.6</v>
      </c>
      <c r="E386" s="5">
        <v>162.36000000000001</v>
      </c>
      <c r="F386" s="6">
        <v>4005041</v>
      </c>
    </row>
    <row r="387" spans="1:6" x14ac:dyDescent="0.2">
      <c r="A387" s="4">
        <v>45029</v>
      </c>
      <c r="B387" s="5">
        <v>161</v>
      </c>
      <c r="C387" s="5">
        <v>162.86099999999999</v>
      </c>
      <c r="D387" s="5">
        <v>160.55000000000001</v>
      </c>
      <c r="E387" s="5">
        <v>162.69</v>
      </c>
      <c r="F387" s="6">
        <v>3868681</v>
      </c>
    </row>
    <row r="388" spans="1:6" x14ac:dyDescent="0.2">
      <c r="A388" s="4">
        <v>45030</v>
      </c>
      <c r="B388" s="5">
        <v>162.63999999999999</v>
      </c>
      <c r="C388" s="5">
        <v>163</v>
      </c>
      <c r="D388" s="5">
        <v>160.93</v>
      </c>
      <c r="E388" s="5">
        <v>161.59</v>
      </c>
      <c r="F388" s="6">
        <v>3473284</v>
      </c>
    </row>
    <row r="389" spans="1:6" x14ac:dyDescent="0.2">
      <c r="A389" s="4">
        <v>45033</v>
      </c>
      <c r="B389" s="5">
        <v>161.91999999999999</v>
      </c>
      <c r="C389" s="5">
        <v>162.19999999999999</v>
      </c>
      <c r="D389" s="5">
        <v>160.64500000000001</v>
      </c>
      <c r="E389" s="5">
        <v>161.18</v>
      </c>
      <c r="F389" s="6">
        <v>4354109</v>
      </c>
    </row>
    <row r="390" spans="1:6" x14ac:dyDescent="0.2">
      <c r="A390" s="4">
        <v>45034</v>
      </c>
      <c r="B390" s="5">
        <v>161</v>
      </c>
      <c r="C390" s="5">
        <v>161.22999999999999</v>
      </c>
      <c r="D390" s="5">
        <v>158.41</v>
      </c>
      <c r="E390" s="5">
        <v>159.59</v>
      </c>
      <c r="F390" s="6">
        <v>4996418</v>
      </c>
    </row>
    <row r="391" spans="1:6" x14ac:dyDescent="0.2">
      <c r="A391" s="4">
        <v>45035</v>
      </c>
      <c r="B391" s="5">
        <v>158.66999999999999</v>
      </c>
      <c r="C391" s="5">
        <v>161.44</v>
      </c>
      <c r="D391" s="5">
        <v>158.52000000000001</v>
      </c>
      <c r="E391" s="5">
        <v>161.21</v>
      </c>
      <c r="F391" s="6">
        <v>4826940</v>
      </c>
    </row>
    <row r="392" spans="1:6" x14ac:dyDescent="0.2">
      <c r="A392" s="4">
        <v>45036</v>
      </c>
      <c r="B392" s="5">
        <v>161.18</v>
      </c>
      <c r="C392" s="5">
        <v>161.77000000000001</v>
      </c>
      <c r="D392" s="5">
        <v>160.58000000000001</v>
      </c>
      <c r="E392" s="5">
        <v>161.74</v>
      </c>
      <c r="F392" s="6">
        <v>3808233</v>
      </c>
    </row>
    <row r="393" spans="1:6" x14ac:dyDescent="0.2">
      <c r="A393" s="4">
        <v>45037</v>
      </c>
      <c r="B393" s="5">
        <v>162.59</v>
      </c>
      <c r="C393" s="5">
        <v>163.19</v>
      </c>
      <c r="D393" s="5">
        <v>162.02000000000001</v>
      </c>
      <c r="E393" s="5">
        <v>162.41</v>
      </c>
      <c r="F393" s="6">
        <v>4812336</v>
      </c>
    </row>
    <row r="394" spans="1:6" x14ac:dyDescent="0.2">
      <c r="A394" s="4">
        <v>45040</v>
      </c>
      <c r="B394" s="5">
        <v>162.57</v>
      </c>
      <c r="C394" s="5">
        <v>164.36</v>
      </c>
      <c r="D394" s="5">
        <v>162.33000000000001</v>
      </c>
      <c r="E394" s="5">
        <v>164.08</v>
      </c>
      <c r="F394" s="6">
        <v>4729221</v>
      </c>
    </row>
    <row r="395" spans="1:6" x14ac:dyDescent="0.2">
      <c r="A395" s="4">
        <v>45041</v>
      </c>
      <c r="B395" s="5">
        <v>164.81</v>
      </c>
      <c r="C395" s="5">
        <v>166.2</v>
      </c>
      <c r="D395" s="5">
        <v>164.49</v>
      </c>
      <c r="E395" s="5">
        <v>164.9</v>
      </c>
      <c r="F395" s="6">
        <v>5506163</v>
      </c>
    </row>
    <row r="396" spans="1:6" x14ac:dyDescent="0.2">
      <c r="A396" s="4">
        <v>45042</v>
      </c>
      <c r="B396" s="5">
        <v>162.68</v>
      </c>
      <c r="C396" s="5">
        <v>163.26</v>
      </c>
      <c r="D396" s="5">
        <v>160.50149999999999</v>
      </c>
      <c r="E396" s="5">
        <v>161.80000000000001</v>
      </c>
      <c r="F396" s="6">
        <v>5191976</v>
      </c>
    </row>
    <row r="397" spans="1:6" x14ac:dyDescent="0.2">
      <c r="A397" s="4">
        <v>45043</v>
      </c>
      <c r="B397" s="5">
        <v>153.87</v>
      </c>
      <c r="C397" s="5">
        <v>153.87</v>
      </c>
      <c r="D397" s="5">
        <v>147.16</v>
      </c>
      <c r="E397" s="5">
        <v>148.87</v>
      </c>
      <c r="F397" s="6">
        <v>17063030</v>
      </c>
    </row>
    <row r="398" spans="1:6" x14ac:dyDescent="0.2">
      <c r="A398" s="4">
        <v>45044</v>
      </c>
      <c r="B398" s="5">
        <v>147.97</v>
      </c>
      <c r="C398" s="5">
        <v>151.38999999999999</v>
      </c>
      <c r="D398" s="5">
        <v>147.44</v>
      </c>
      <c r="E398" s="5">
        <v>151.12</v>
      </c>
      <c r="F398" s="6">
        <v>7123969</v>
      </c>
    </row>
    <row r="399" spans="1:6" x14ac:dyDescent="0.2">
      <c r="A399" s="4">
        <v>45047</v>
      </c>
      <c r="B399" s="5">
        <v>150.84</v>
      </c>
      <c r="C399" s="5">
        <v>154.71</v>
      </c>
      <c r="D399" s="5">
        <v>150.82</v>
      </c>
      <c r="E399" s="5">
        <v>153.71</v>
      </c>
      <c r="F399" s="6">
        <v>5601024</v>
      </c>
    </row>
    <row r="400" spans="1:6" x14ac:dyDescent="0.2">
      <c r="A400" s="4">
        <v>45048</v>
      </c>
      <c r="B400" s="5">
        <v>153.55000000000001</v>
      </c>
      <c r="C400" s="5">
        <v>155.02000000000001</v>
      </c>
      <c r="D400" s="5">
        <v>151.19999999999999</v>
      </c>
      <c r="E400" s="5">
        <v>151.62</v>
      </c>
      <c r="F400" s="6">
        <v>5135645</v>
      </c>
    </row>
    <row r="401" spans="1:6" x14ac:dyDescent="0.2">
      <c r="A401" s="4">
        <v>45049</v>
      </c>
      <c r="B401" s="5">
        <v>151.07</v>
      </c>
      <c r="C401" s="5">
        <v>151.51</v>
      </c>
      <c r="D401" s="5">
        <v>148.44999999999999</v>
      </c>
      <c r="E401" s="5">
        <v>149.25</v>
      </c>
      <c r="F401" s="6">
        <v>6815547</v>
      </c>
    </row>
    <row r="402" spans="1:6" x14ac:dyDescent="0.2">
      <c r="A402" s="4">
        <v>45050</v>
      </c>
      <c r="B402" s="5">
        <v>149</v>
      </c>
      <c r="C402" s="5">
        <v>149</v>
      </c>
      <c r="D402" s="5">
        <v>146.35</v>
      </c>
      <c r="E402" s="5">
        <v>147.36000000000001</v>
      </c>
      <c r="F402" s="6">
        <v>5694328</v>
      </c>
    </row>
    <row r="403" spans="1:6" x14ac:dyDescent="0.2">
      <c r="A403" s="4">
        <v>45051</v>
      </c>
      <c r="B403" s="5">
        <v>148.54</v>
      </c>
      <c r="C403" s="5">
        <v>149.38</v>
      </c>
      <c r="D403" s="5">
        <v>147.13999999999999</v>
      </c>
      <c r="E403" s="5">
        <v>148.03</v>
      </c>
      <c r="F403" s="6">
        <v>4447899</v>
      </c>
    </row>
    <row r="404" spans="1:6" x14ac:dyDescent="0.2">
      <c r="A404" s="4">
        <v>45054</v>
      </c>
      <c r="B404" s="5">
        <v>148.15</v>
      </c>
      <c r="C404" s="5">
        <v>148.19999999999999</v>
      </c>
      <c r="D404" s="5">
        <v>146.74</v>
      </c>
      <c r="E404" s="5">
        <v>147.44999999999999</v>
      </c>
      <c r="F404" s="6">
        <v>3689670</v>
      </c>
    </row>
    <row r="405" spans="1:6" x14ac:dyDescent="0.2">
      <c r="A405" s="4">
        <v>45055</v>
      </c>
      <c r="B405" s="5">
        <v>147.41</v>
      </c>
      <c r="C405" s="5">
        <v>148.46</v>
      </c>
      <c r="D405" s="5">
        <v>146.27000000000001</v>
      </c>
      <c r="E405" s="5">
        <v>146.83000000000001</v>
      </c>
      <c r="F405" s="6">
        <v>4201761</v>
      </c>
    </row>
    <row r="406" spans="1:6" x14ac:dyDescent="0.2">
      <c r="A406" s="4">
        <v>45056</v>
      </c>
      <c r="B406" s="5">
        <v>146.52000000000001</v>
      </c>
      <c r="C406" s="5">
        <v>146.98220000000001</v>
      </c>
      <c r="D406" s="5">
        <v>145.15309999999999</v>
      </c>
      <c r="E406" s="5">
        <v>146.41999999999999</v>
      </c>
      <c r="F406" s="6">
        <v>4127299</v>
      </c>
    </row>
    <row r="407" spans="1:6" x14ac:dyDescent="0.2">
      <c r="A407" s="4">
        <v>45057</v>
      </c>
      <c r="B407" s="5">
        <v>147.29</v>
      </c>
      <c r="C407" s="5">
        <v>147.57</v>
      </c>
      <c r="D407" s="5">
        <v>145.19</v>
      </c>
      <c r="E407" s="5">
        <v>146.59</v>
      </c>
      <c r="F407" s="6">
        <v>4300537</v>
      </c>
    </row>
    <row r="408" spans="1:6" x14ac:dyDescent="0.2">
      <c r="A408" s="4">
        <v>45058</v>
      </c>
      <c r="B408" s="5">
        <v>146.79</v>
      </c>
      <c r="C408" s="5">
        <v>147.6</v>
      </c>
      <c r="D408" s="5">
        <v>146.07</v>
      </c>
      <c r="E408" s="5">
        <v>147.15</v>
      </c>
      <c r="F408" s="6">
        <v>3526535</v>
      </c>
    </row>
    <row r="409" spans="1:6" x14ac:dyDescent="0.2">
      <c r="A409" s="4">
        <v>45061</v>
      </c>
      <c r="B409" s="5">
        <v>147.66999999999999</v>
      </c>
      <c r="C409" s="5">
        <v>148.9</v>
      </c>
      <c r="D409" s="5">
        <v>145.66</v>
      </c>
      <c r="E409" s="5">
        <v>146.59</v>
      </c>
      <c r="F409" s="6">
        <v>4391988</v>
      </c>
    </row>
    <row r="410" spans="1:6" x14ac:dyDescent="0.2">
      <c r="A410" s="4">
        <v>45062</v>
      </c>
      <c r="B410" s="5">
        <v>145.86000000000001</v>
      </c>
      <c r="C410" s="5">
        <v>146.94</v>
      </c>
      <c r="D410" s="5">
        <v>143.22999999999999</v>
      </c>
      <c r="E410" s="5">
        <v>143.29</v>
      </c>
      <c r="F410" s="6">
        <v>4686169</v>
      </c>
    </row>
    <row r="411" spans="1:6" x14ac:dyDescent="0.2">
      <c r="A411" s="4">
        <v>45063</v>
      </c>
      <c r="B411" s="5">
        <v>143.02000000000001</v>
      </c>
      <c r="C411" s="5">
        <v>143.52000000000001</v>
      </c>
      <c r="D411" s="5">
        <v>140.52000000000001</v>
      </c>
      <c r="E411" s="5">
        <v>143.35</v>
      </c>
      <c r="F411" s="6">
        <v>5482179</v>
      </c>
    </row>
    <row r="412" spans="1:6" x14ac:dyDescent="0.2">
      <c r="A412" s="4">
        <v>45064</v>
      </c>
      <c r="B412" s="5">
        <v>142.61000000000001</v>
      </c>
      <c r="C412" s="5">
        <v>143.56</v>
      </c>
      <c r="D412" s="5">
        <v>141.97499999999999</v>
      </c>
      <c r="E412" s="5">
        <v>143.44</v>
      </c>
      <c r="F412" s="6">
        <v>4791232</v>
      </c>
    </row>
    <row r="413" spans="1:6" x14ac:dyDescent="0.2">
      <c r="A413" s="4">
        <v>45065</v>
      </c>
      <c r="B413" s="5">
        <v>143.86000000000001</v>
      </c>
      <c r="C413" s="5">
        <v>145.80000000000001</v>
      </c>
      <c r="D413" s="5">
        <v>143.80000000000001</v>
      </c>
      <c r="E413" s="5">
        <v>145.11000000000001</v>
      </c>
      <c r="F413" s="6">
        <v>5610287</v>
      </c>
    </row>
    <row r="414" spans="1:6" x14ac:dyDescent="0.2">
      <c r="A414" s="4">
        <v>45068</v>
      </c>
      <c r="B414" s="5">
        <v>145.47</v>
      </c>
      <c r="C414" s="5">
        <v>146.66</v>
      </c>
      <c r="D414" s="5">
        <v>143.78</v>
      </c>
      <c r="E414" s="5">
        <v>144.9</v>
      </c>
      <c r="F414" s="6">
        <v>3867314</v>
      </c>
    </row>
    <row r="415" spans="1:6" x14ac:dyDescent="0.2">
      <c r="A415" s="4">
        <v>45069</v>
      </c>
      <c r="B415" s="5">
        <v>144.44999999999999</v>
      </c>
      <c r="C415" s="5">
        <v>144.82</v>
      </c>
      <c r="D415" s="5">
        <v>142.34</v>
      </c>
      <c r="E415" s="5">
        <v>142.52000000000001</v>
      </c>
      <c r="F415" s="6">
        <v>5121865</v>
      </c>
    </row>
    <row r="416" spans="1:6" x14ac:dyDescent="0.2">
      <c r="A416" s="4">
        <v>45070</v>
      </c>
      <c r="B416" s="5">
        <v>142.59</v>
      </c>
      <c r="C416" s="5">
        <v>142.94</v>
      </c>
      <c r="D416" s="5">
        <v>140.94</v>
      </c>
      <c r="E416" s="5">
        <v>141.15</v>
      </c>
      <c r="F416" s="6">
        <v>4143510</v>
      </c>
    </row>
    <row r="417" spans="1:6" x14ac:dyDescent="0.2">
      <c r="A417" s="4">
        <v>45071</v>
      </c>
      <c r="B417" s="5">
        <v>140.03</v>
      </c>
      <c r="C417" s="5">
        <v>140.19999999999999</v>
      </c>
      <c r="D417" s="5">
        <v>138.26</v>
      </c>
      <c r="E417" s="5">
        <v>138.62</v>
      </c>
      <c r="F417" s="6">
        <v>6986571</v>
      </c>
    </row>
    <row r="418" spans="1:6" x14ac:dyDescent="0.2">
      <c r="A418" s="4">
        <v>45072</v>
      </c>
      <c r="B418" s="5">
        <v>138.72</v>
      </c>
      <c r="C418" s="5">
        <v>139.85</v>
      </c>
      <c r="D418" s="5">
        <v>137.1</v>
      </c>
      <c r="E418" s="5">
        <v>137.56</v>
      </c>
      <c r="F418" s="6">
        <v>7590596</v>
      </c>
    </row>
    <row r="419" spans="1:6" x14ac:dyDescent="0.2">
      <c r="A419" s="4">
        <v>45076</v>
      </c>
      <c r="B419" s="5">
        <v>135.49</v>
      </c>
      <c r="C419" s="5">
        <v>136.83500000000001</v>
      </c>
      <c r="D419" s="5">
        <v>135.25</v>
      </c>
      <c r="E419" s="5">
        <v>136.44</v>
      </c>
      <c r="F419" s="6">
        <v>7671512</v>
      </c>
    </row>
    <row r="420" spans="1:6" x14ac:dyDescent="0.2">
      <c r="A420" s="4">
        <v>45077</v>
      </c>
      <c r="B420" s="5">
        <v>136.62</v>
      </c>
      <c r="C420" s="5">
        <v>138.71</v>
      </c>
      <c r="D420" s="5">
        <v>135.76769999999999</v>
      </c>
      <c r="E420" s="5">
        <v>137.96</v>
      </c>
      <c r="F420" s="6">
        <v>12579060</v>
      </c>
    </row>
    <row r="421" spans="1:6" x14ac:dyDescent="0.2">
      <c r="A421" s="4">
        <v>45078</v>
      </c>
      <c r="B421" s="5">
        <v>135.26</v>
      </c>
      <c r="C421" s="5">
        <v>135.26</v>
      </c>
      <c r="D421" s="5">
        <v>131.1</v>
      </c>
      <c r="E421" s="5">
        <v>133.44</v>
      </c>
      <c r="F421" s="6">
        <v>11895560</v>
      </c>
    </row>
    <row r="422" spans="1:6" x14ac:dyDescent="0.2">
      <c r="A422" s="4">
        <v>45079</v>
      </c>
      <c r="B422" s="5">
        <v>133.71</v>
      </c>
      <c r="C422" s="5">
        <v>136.97</v>
      </c>
      <c r="D422" s="5">
        <v>133.5</v>
      </c>
      <c r="E422" s="5">
        <v>136.87</v>
      </c>
      <c r="F422" s="6">
        <v>6661613</v>
      </c>
    </row>
    <row r="423" spans="1:6" x14ac:dyDescent="0.2">
      <c r="A423" s="4">
        <v>45082</v>
      </c>
      <c r="B423" s="5">
        <v>137</v>
      </c>
      <c r="C423" s="5">
        <v>138.31</v>
      </c>
      <c r="D423" s="5">
        <v>136.29</v>
      </c>
      <c r="E423" s="5">
        <v>136.86000000000001</v>
      </c>
      <c r="F423" s="6">
        <v>4276414</v>
      </c>
    </row>
    <row r="424" spans="1:6" x14ac:dyDescent="0.2">
      <c r="A424" s="4">
        <v>45083</v>
      </c>
      <c r="B424" s="5">
        <v>137.47</v>
      </c>
      <c r="C424" s="5">
        <v>137.54</v>
      </c>
      <c r="D424" s="5">
        <v>134.63</v>
      </c>
      <c r="E424" s="5">
        <v>135.43</v>
      </c>
      <c r="F424" s="6">
        <v>4359933</v>
      </c>
    </row>
    <row r="425" spans="1:6" x14ac:dyDescent="0.2">
      <c r="A425" s="4">
        <v>45084</v>
      </c>
      <c r="B425" s="5">
        <v>134.9</v>
      </c>
      <c r="C425" s="5">
        <v>137.06</v>
      </c>
      <c r="D425" s="5">
        <v>134.26</v>
      </c>
      <c r="E425" s="5">
        <v>136.5</v>
      </c>
      <c r="F425" s="6">
        <v>4645397</v>
      </c>
    </row>
    <row r="426" spans="1:6" x14ac:dyDescent="0.2">
      <c r="A426" s="4">
        <v>45085</v>
      </c>
      <c r="B426" s="5">
        <v>137</v>
      </c>
      <c r="C426" s="5">
        <v>137.88999999999999</v>
      </c>
      <c r="D426" s="5">
        <v>136</v>
      </c>
      <c r="E426" s="5">
        <v>137.63999999999999</v>
      </c>
      <c r="F426" s="6">
        <v>4714346</v>
      </c>
    </row>
    <row r="427" spans="1:6" x14ac:dyDescent="0.2">
      <c r="A427" s="4">
        <v>45086</v>
      </c>
      <c r="B427" s="5">
        <v>137.56</v>
      </c>
      <c r="C427" s="5">
        <v>139.1858</v>
      </c>
      <c r="D427" s="5">
        <v>137.08000000000001</v>
      </c>
      <c r="E427" s="5">
        <v>138.18</v>
      </c>
      <c r="F427" s="6">
        <v>4359676</v>
      </c>
    </row>
    <row r="428" spans="1:6" x14ac:dyDescent="0.2">
      <c r="A428" s="4">
        <v>45089</v>
      </c>
      <c r="B428" s="5">
        <v>139.58000000000001</v>
      </c>
      <c r="C428" s="5">
        <v>139.66999999999999</v>
      </c>
      <c r="D428" s="5">
        <v>136.905</v>
      </c>
      <c r="E428" s="5">
        <v>137.72999999999999</v>
      </c>
      <c r="F428" s="6">
        <v>4888612</v>
      </c>
    </row>
    <row r="429" spans="1:6" x14ac:dyDescent="0.2">
      <c r="A429" s="4">
        <v>45090</v>
      </c>
      <c r="B429" s="5">
        <v>137.51</v>
      </c>
      <c r="C429" s="5">
        <v>138.47</v>
      </c>
      <c r="D429" s="5">
        <v>137.19999999999999</v>
      </c>
      <c r="E429" s="5">
        <v>138.31</v>
      </c>
      <c r="F429" s="6">
        <v>4229114</v>
      </c>
    </row>
    <row r="430" spans="1:6" x14ac:dyDescent="0.2">
      <c r="A430" s="4">
        <v>45091</v>
      </c>
      <c r="B430" s="5">
        <v>138.81</v>
      </c>
      <c r="C430" s="5">
        <v>139.27000000000001</v>
      </c>
      <c r="D430" s="5">
        <v>136.08000000000001</v>
      </c>
      <c r="E430" s="5">
        <v>136.22999999999999</v>
      </c>
      <c r="F430" s="6">
        <v>6128322</v>
      </c>
    </row>
    <row r="431" spans="1:6" x14ac:dyDescent="0.2">
      <c r="A431" s="4">
        <v>45092</v>
      </c>
      <c r="B431" s="5">
        <v>136.75</v>
      </c>
      <c r="C431" s="5">
        <v>136.84</v>
      </c>
      <c r="D431" s="5">
        <v>135.46</v>
      </c>
      <c r="E431" s="5">
        <v>135.88999999999999</v>
      </c>
      <c r="F431" s="6">
        <v>6614867</v>
      </c>
    </row>
    <row r="432" spans="1:6" x14ac:dyDescent="0.2">
      <c r="A432" s="4">
        <v>45093</v>
      </c>
      <c r="B432" s="5">
        <v>136.69999999999999</v>
      </c>
      <c r="C432" s="5">
        <v>138.91999999999999</v>
      </c>
      <c r="D432" s="5">
        <v>136.48500000000001</v>
      </c>
      <c r="E432" s="5">
        <v>138.63999999999999</v>
      </c>
      <c r="F432" s="6">
        <v>14616000</v>
      </c>
    </row>
    <row r="433" spans="1:6" x14ac:dyDescent="0.2">
      <c r="A433" s="4">
        <v>45097</v>
      </c>
      <c r="B433" s="5">
        <v>137.1</v>
      </c>
      <c r="C433" s="5">
        <v>138.94999999999999</v>
      </c>
      <c r="D433" s="5">
        <v>136.66</v>
      </c>
      <c r="E433" s="5">
        <v>137.82</v>
      </c>
      <c r="F433" s="6">
        <v>4868972</v>
      </c>
    </row>
    <row r="434" spans="1:6" x14ac:dyDescent="0.2">
      <c r="A434" s="4">
        <v>45098</v>
      </c>
      <c r="B434" s="5">
        <v>136.75</v>
      </c>
      <c r="C434" s="5">
        <v>137.43</v>
      </c>
      <c r="D434" s="5">
        <v>134.68</v>
      </c>
      <c r="E434" s="5">
        <v>136.86000000000001</v>
      </c>
      <c r="F434" s="6">
        <v>5828444</v>
      </c>
    </row>
    <row r="435" spans="1:6" x14ac:dyDescent="0.2">
      <c r="A435" s="4">
        <v>45099</v>
      </c>
      <c r="B435" s="5">
        <v>137.15</v>
      </c>
      <c r="C435" s="5">
        <v>137.9</v>
      </c>
      <c r="D435" s="5">
        <v>135.88999999999999</v>
      </c>
      <c r="E435" s="5">
        <v>137.41</v>
      </c>
      <c r="F435" s="6">
        <v>4827381</v>
      </c>
    </row>
    <row r="436" spans="1:6" x14ac:dyDescent="0.2">
      <c r="A436" s="4">
        <v>45100</v>
      </c>
      <c r="B436" s="5">
        <v>137.30000000000001</v>
      </c>
      <c r="C436" s="5">
        <v>138.69</v>
      </c>
      <c r="D436" s="5">
        <v>135.66999999999999</v>
      </c>
      <c r="E436" s="5">
        <v>135.91999999999999</v>
      </c>
      <c r="F436" s="6">
        <v>7395593</v>
      </c>
    </row>
    <row r="437" spans="1:6" x14ac:dyDescent="0.2">
      <c r="A437" s="4">
        <v>45103</v>
      </c>
      <c r="B437" s="5">
        <v>136.15</v>
      </c>
      <c r="C437" s="5">
        <v>136.15</v>
      </c>
      <c r="D437" s="5">
        <v>133.69</v>
      </c>
      <c r="E437" s="5">
        <v>134.94999999999999</v>
      </c>
      <c r="F437" s="6">
        <v>6468068</v>
      </c>
    </row>
    <row r="438" spans="1:6" x14ac:dyDescent="0.2">
      <c r="A438" s="4">
        <v>45104</v>
      </c>
      <c r="B438" s="5">
        <v>134.88</v>
      </c>
      <c r="C438" s="5">
        <v>134.88</v>
      </c>
      <c r="D438" s="5">
        <v>132.52000000000001</v>
      </c>
      <c r="E438" s="5">
        <v>132.6</v>
      </c>
      <c r="F438" s="6">
        <v>7839934</v>
      </c>
    </row>
    <row r="439" spans="1:6" x14ac:dyDescent="0.2">
      <c r="A439" s="4">
        <v>45105</v>
      </c>
      <c r="B439" s="5">
        <v>132.6</v>
      </c>
      <c r="C439" s="5">
        <v>133.16999999999999</v>
      </c>
      <c r="D439" s="5">
        <v>130.96010000000001</v>
      </c>
      <c r="E439" s="5">
        <v>132.51</v>
      </c>
      <c r="F439" s="6">
        <v>6911943</v>
      </c>
    </row>
    <row r="440" spans="1:6" x14ac:dyDescent="0.2">
      <c r="A440" s="4">
        <v>45106</v>
      </c>
      <c r="B440" s="5">
        <v>132.37</v>
      </c>
      <c r="C440" s="5">
        <v>133.91</v>
      </c>
      <c r="D440" s="5">
        <v>132.13</v>
      </c>
      <c r="E440" s="5">
        <v>133.22999999999999</v>
      </c>
      <c r="F440" s="6">
        <v>4947633</v>
      </c>
    </row>
    <row r="441" spans="1:6" x14ac:dyDescent="0.2">
      <c r="A441" s="4">
        <v>45107</v>
      </c>
      <c r="B441" s="5">
        <v>133.47</v>
      </c>
      <c r="C441" s="5">
        <v>135.93</v>
      </c>
      <c r="D441" s="5">
        <v>132.80000000000001</v>
      </c>
      <c r="E441" s="5">
        <v>134.72999999999999</v>
      </c>
      <c r="F441" s="6">
        <v>8711339</v>
      </c>
    </row>
    <row r="442" spans="1:6" x14ac:dyDescent="0.2">
      <c r="A442" s="4">
        <v>45110</v>
      </c>
      <c r="B442" s="5">
        <v>134</v>
      </c>
      <c r="C442" s="5">
        <v>135.43</v>
      </c>
      <c r="D442" s="5">
        <v>133.15</v>
      </c>
      <c r="E442" s="5">
        <v>135.01</v>
      </c>
      <c r="F442" s="6">
        <v>2674576</v>
      </c>
    </row>
    <row r="443" spans="1:6" x14ac:dyDescent="0.2">
      <c r="A443" s="4">
        <v>45112</v>
      </c>
      <c r="B443" s="5">
        <v>135.18</v>
      </c>
      <c r="C443" s="5">
        <v>137.88</v>
      </c>
      <c r="D443" s="5">
        <v>134.63999999999999</v>
      </c>
      <c r="E443" s="5">
        <v>137.62</v>
      </c>
      <c r="F443" s="6">
        <v>6903255</v>
      </c>
    </row>
    <row r="444" spans="1:6" x14ac:dyDescent="0.2">
      <c r="A444" s="4">
        <v>45113</v>
      </c>
      <c r="B444" s="5">
        <v>137.47999999999999</v>
      </c>
      <c r="C444" s="5">
        <v>138.28</v>
      </c>
      <c r="D444" s="5">
        <v>136.44</v>
      </c>
      <c r="E444" s="5">
        <v>137.25</v>
      </c>
      <c r="F444" s="6">
        <v>6091193</v>
      </c>
    </row>
    <row r="445" spans="1:6" x14ac:dyDescent="0.2">
      <c r="A445" s="4">
        <v>45114</v>
      </c>
      <c r="B445" s="5">
        <v>137.15</v>
      </c>
      <c r="C445" s="5">
        <v>137.65</v>
      </c>
      <c r="D445" s="5">
        <v>135.345</v>
      </c>
      <c r="E445" s="5">
        <v>135.5</v>
      </c>
      <c r="F445" s="6">
        <v>6873206</v>
      </c>
    </row>
    <row r="446" spans="1:6" x14ac:dyDescent="0.2">
      <c r="A446" s="4">
        <v>45117</v>
      </c>
      <c r="B446" s="5">
        <v>135.41</v>
      </c>
      <c r="C446" s="5">
        <v>136.09</v>
      </c>
      <c r="D446" s="5">
        <v>134.06</v>
      </c>
      <c r="E446" s="5">
        <v>134.49</v>
      </c>
      <c r="F446" s="6">
        <v>5153334</v>
      </c>
    </row>
    <row r="447" spans="1:6" x14ac:dyDescent="0.2">
      <c r="A447" s="4">
        <v>45118</v>
      </c>
      <c r="B447" s="5">
        <v>134</v>
      </c>
      <c r="C447" s="5">
        <v>135.76</v>
      </c>
      <c r="D447" s="5">
        <v>133.68</v>
      </c>
      <c r="E447" s="5">
        <v>135.57</v>
      </c>
      <c r="F447" s="6">
        <v>5144836</v>
      </c>
    </row>
    <row r="448" spans="1:6" x14ac:dyDescent="0.2">
      <c r="A448" s="4">
        <v>45119</v>
      </c>
      <c r="B448" s="5">
        <v>135.82</v>
      </c>
      <c r="C448" s="5">
        <v>136.6</v>
      </c>
      <c r="D448" s="5">
        <v>134.79</v>
      </c>
      <c r="E448" s="5">
        <v>134.97999999999999</v>
      </c>
      <c r="F448" s="6">
        <v>4944072</v>
      </c>
    </row>
    <row r="449" spans="1:6" x14ac:dyDescent="0.2">
      <c r="A449" s="4">
        <v>45120</v>
      </c>
      <c r="B449" s="5">
        <v>132.93</v>
      </c>
      <c r="C449" s="5">
        <v>134.1</v>
      </c>
      <c r="D449" s="5">
        <v>132.69999999999999</v>
      </c>
      <c r="E449" s="5">
        <v>133.59</v>
      </c>
      <c r="F449" s="6">
        <v>4631973</v>
      </c>
    </row>
    <row r="450" spans="1:6" x14ac:dyDescent="0.2">
      <c r="A450" s="4">
        <v>45121</v>
      </c>
      <c r="B450" s="5">
        <v>134.72999999999999</v>
      </c>
      <c r="C450" s="5">
        <v>136.61500000000001</v>
      </c>
      <c r="D450" s="5">
        <v>134.12</v>
      </c>
      <c r="E450" s="5">
        <v>136.01</v>
      </c>
      <c r="F450" s="6">
        <v>5544137</v>
      </c>
    </row>
    <row r="451" spans="1:6" x14ac:dyDescent="0.2">
      <c r="A451" s="4">
        <v>45124</v>
      </c>
      <c r="B451" s="5">
        <v>135.82</v>
      </c>
      <c r="C451" s="5">
        <v>136.22999999999999</v>
      </c>
      <c r="D451" s="5">
        <v>134.5609</v>
      </c>
      <c r="E451" s="5">
        <v>134.83000000000001</v>
      </c>
      <c r="F451" s="6">
        <v>4033127</v>
      </c>
    </row>
    <row r="452" spans="1:6" x14ac:dyDescent="0.2">
      <c r="A452" s="4">
        <v>45125</v>
      </c>
      <c r="B452" s="5">
        <v>134.80000000000001</v>
      </c>
      <c r="C452" s="5">
        <v>137.9</v>
      </c>
      <c r="D452" s="5">
        <v>134.71</v>
      </c>
      <c r="E452" s="5">
        <v>136.58000000000001</v>
      </c>
      <c r="F452" s="6">
        <v>5393007</v>
      </c>
    </row>
    <row r="453" spans="1:6" x14ac:dyDescent="0.2">
      <c r="A453" s="4">
        <v>45126</v>
      </c>
      <c r="B453" s="5">
        <v>137.24</v>
      </c>
      <c r="C453" s="5">
        <v>138.06</v>
      </c>
      <c r="D453" s="5">
        <v>136.94999999999999</v>
      </c>
      <c r="E453" s="5">
        <v>137.68</v>
      </c>
      <c r="F453" s="6">
        <v>4784172</v>
      </c>
    </row>
    <row r="454" spans="1:6" x14ac:dyDescent="0.2">
      <c r="A454" s="4">
        <v>45127</v>
      </c>
      <c r="B454" s="5">
        <v>138.84</v>
      </c>
      <c r="C454" s="5">
        <v>142.72</v>
      </c>
      <c r="D454" s="5">
        <v>138.55000000000001</v>
      </c>
      <c r="E454" s="5">
        <v>142.19</v>
      </c>
      <c r="F454" s="6">
        <v>7009951</v>
      </c>
    </row>
    <row r="455" spans="1:6" x14ac:dyDescent="0.2">
      <c r="A455" s="4">
        <v>45128</v>
      </c>
      <c r="B455" s="5">
        <v>142.19999999999999</v>
      </c>
      <c r="C455" s="5">
        <v>144.18</v>
      </c>
      <c r="D455" s="5">
        <v>141.94</v>
      </c>
      <c r="E455" s="5">
        <v>143.74</v>
      </c>
      <c r="F455" s="6">
        <v>5654525</v>
      </c>
    </row>
    <row r="456" spans="1:6" x14ac:dyDescent="0.2">
      <c r="A456" s="4">
        <v>45131</v>
      </c>
      <c r="B456" s="5">
        <v>143.1</v>
      </c>
      <c r="C456" s="5">
        <v>144.43</v>
      </c>
      <c r="D456" s="5">
        <v>142.83500000000001</v>
      </c>
      <c r="E456" s="5">
        <v>143.18</v>
      </c>
      <c r="F456" s="6">
        <v>4468729</v>
      </c>
    </row>
    <row r="457" spans="1:6" x14ac:dyDescent="0.2">
      <c r="A457" s="4">
        <v>45132</v>
      </c>
      <c r="B457" s="5">
        <v>142.4</v>
      </c>
      <c r="C457" s="5">
        <v>142.92500000000001</v>
      </c>
      <c r="D457" s="5">
        <v>141.32</v>
      </c>
      <c r="E457" s="5">
        <v>141.63</v>
      </c>
      <c r="F457" s="6">
        <v>4778222</v>
      </c>
    </row>
    <row r="458" spans="1:6" x14ac:dyDescent="0.2">
      <c r="A458" s="4">
        <v>45133</v>
      </c>
      <c r="B458" s="5">
        <v>141.43</v>
      </c>
      <c r="C458" s="5">
        <v>142.28</v>
      </c>
      <c r="D458" s="5">
        <v>140.52000000000001</v>
      </c>
      <c r="E458" s="5">
        <v>141.9</v>
      </c>
      <c r="F458" s="6">
        <v>5006796</v>
      </c>
    </row>
    <row r="459" spans="1:6" x14ac:dyDescent="0.2">
      <c r="A459" s="4">
        <v>45134</v>
      </c>
      <c r="B459" s="5">
        <v>144.47999999999999</v>
      </c>
      <c r="C459" s="5">
        <v>151.36500000000001</v>
      </c>
      <c r="D459" s="5">
        <v>144.47999999999999</v>
      </c>
      <c r="E459" s="5">
        <v>148.85</v>
      </c>
      <c r="F459" s="6">
        <v>13664380</v>
      </c>
    </row>
    <row r="460" spans="1:6" x14ac:dyDescent="0.2">
      <c r="A460" s="4">
        <v>45135</v>
      </c>
      <c r="B460" s="5">
        <v>149.91999999999999</v>
      </c>
      <c r="C460" s="5">
        <v>151.76</v>
      </c>
      <c r="D460" s="5">
        <v>148.55500000000001</v>
      </c>
      <c r="E460" s="5">
        <v>150.85</v>
      </c>
      <c r="F460" s="6">
        <v>8000588</v>
      </c>
    </row>
    <row r="461" spans="1:6" x14ac:dyDescent="0.2">
      <c r="A461" s="4">
        <v>45138</v>
      </c>
      <c r="B461" s="5">
        <v>150.43</v>
      </c>
      <c r="C461" s="5">
        <v>150.5</v>
      </c>
      <c r="D461" s="5">
        <v>147.62</v>
      </c>
      <c r="E461" s="5">
        <v>149.58000000000001</v>
      </c>
      <c r="F461" s="6">
        <v>9109912</v>
      </c>
    </row>
    <row r="462" spans="1:6" x14ac:dyDescent="0.2">
      <c r="A462" s="4">
        <v>45139</v>
      </c>
      <c r="B462" s="5">
        <v>150</v>
      </c>
      <c r="C462" s="5">
        <v>150.87</v>
      </c>
      <c r="D462" s="5">
        <v>147.84</v>
      </c>
      <c r="E462" s="5">
        <v>148.54</v>
      </c>
      <c r="F462" s="6">
        <v>4409838</v>
      </c>
    </row>
    <row r="463" spans="1:6" x14ac:dyDescent="0.2">
      <c r="A463" s="4">
        <v>45140</v>
      </c>
      <c r="B463" s="5">
        <v>148.11000000000001</v>
      </c>
      <c r="C463" s="5">
        <v>150.57</v>
      </c>
      <c r="D463" s="5">
        <v>148.11000000000001</v>
      </c>
      <c r="E463" s="5">
        <v>149.38</v>
      </c>
      <c r="F463" s="6">
        <v>5756902</v>
      </c>
    </row>
    <row r="464" spans="1:6" x14ac:dyDescent="0.2">
      <c r="A464" s="4">
        <v>45141</v>
      </c>
      <c r="B464" s="5">
        <v>148.96</v>
      </c>
      <c r="C464" s="5">
        <v>149.36000000000001</v>
      </c>
      <c r="D464" s="5">
        <v>148.18</v>
      </c>
      <c r="E464" s="5">
        <v>149.05000000000001</v>
      </c>
      <c r="F464" s="6">
        <v>4674396</v>
      </c>
    </row>
    <row r="465" spans="1:6" x14ac:dyDescent="0.2">
      <c r="A465" s="4">
        <v>45142</v>
      </c>
      <c r="B465" s="5">
        <v>148.97</v>
      </c>
      <c r="C465" s="5">
        <v>150.57</v>
      </c>
      <c r="D465" s="5">
        <v>147.16</v>
      </c>
      <c r="E465" s="5">
        <v>147.72999999999999</v>
      </c>
      <c r="F465" s="6">
        <v>4231356</v>
      </c>
    </row>
    <row r="466" spans="1:6" x14ac:dyDescent="0.2">
      <c r="A466" s="4">
        <v>45145</v>
      </c>
      <c r="B466" s="5">
        <v>148</v>
      </c>
      <c r="C466" s="5">
        <v>150.88</v>
      </c>
      <c r="D466" s="5">
        <v>147.80000000000001</v>
      </c>
      <c r="E466" s="5">
        <v>150.33000000000001</v>
      </c>
      <c r="F466" s="6">
        <v>3800775</v>
      </c>
    </row>
    <row r="467" spans="1:6" x14ac:dyDescent="0.2">
      <c r="A467" s="4">
        <v>45146</v>
      </c>
      <c r="B467" s="5">
        <v>150.78</v>
      </c>
      <c r="C467" s="5">
        <v>151.75</v>
      </c>
      <c r="D467" s="5">
        <v>148.91999999999999</v>
      </c>
      <c r="E467" s="5">
        <v>149.62</v>
      </c>
      <c r="F467" s="6">
        <v>4013530</v>
      </c>
    </row>
    <row r="468" spans="1:6" x14ac:dyDescent="0.2">
      <c r="A468" s="4">
        <v>45147</v>
      </c>
      <c r="B468" s="5">
        <v>150.49</v>
      </c>
      <c r="C468" s="5">
        <v>152.06</v>
      </c>
      <c r="D468" s="5">
        <v>149.91</v>
      </c>
      <c r="E468" s="5">
        <v>150.77000000000001</v>
      </c>
      <c r="F468" s="6">
        <v>3737349</v>
      </c>
    </row>
    <row r="469" spans="1:6" x14ac:dyDescent="0.2">
      <c r="A469" s="4">
        <v>45148</v>
      </c>
      <c r="B469" s="5">
        <v>151.19999999999999</v>
      </c>
      <c r="C469" s="5">
        <v>152.84</v>
      </c>
      <c r="D469" s="5">
        <v>150.57</v>
      </c>
      <c r="E469" s="5">
        <v>151.44</v>
      </c>
      <c r="F469" s="6">
        <v>3275881</v>
      </c>
    </row>
    <row r="470" spans="1:6" x14ac:dyDescent="0.2">
      <c r="A470" s="4">
        <v>45149</v>
      </c>
      <c r="B470" s="5">
        <v>151.94999999999999</v>
      </c>
      <c r="C470" s="5">
        <v>153.5</v>
      </c>
      <c r="D470" s="5">
        <v>151.72</v>
      </c>
      <c r="E470" s="5">
        <v>152.18</v>
      </c>
      <c r="F470" s="6">
        <v>3454834</v>
      </c>
    </row>
    <row r="471" spans="1:6" x14ac:dyDescent="0.2">
      <c r="A471" s="4">
        <v>45152</v>
      </c>
      <c r="B471" s="5">
        <v>153.02000000000001</v>
      </c>
      <c r="C471" s="5">
        <v>153.13999999999999</v>
      </c>
      <c r="D471" s="5">
        <v>151.57</v>
      </c>
      <c r="E471" s="5">
        <v>152.27000000000001</v>
      </c>
      <c r="F471" s="6">
        <v>2570936</v>
      </c>
    </row>
    <row r="472" spans="1:6" x14ac:dyDescent="0.2">
      <c r="A472" s="4">
        <v>45153</v>
      </c>
      <c r="B472" s="5">
        <v>151.57</v>
      </c>
      <c r="C472" s="5">
        <v>152.9</v>
      </c>
      <c r="D472" s="5">
        <v>150.79</v>
      </c>
      <c r="E472" s="5">
        <v>152.12</v>
      </c>
      <c r="F472" s="6">
        <v>3636397</v>
      </c>
    </row>
    <row r="473" spans="1:6" x14ac:dyDescent="0.2">
      <c r="A473" s="4">
        <v>45154</v>
      </c>
      <c r="B473" s="5">
        <v>152.59</v>
      </c>
      <c r="C473" s="5">
        <v>153.6</v>
      </c>
      <c r="D473" s="5">
        <v>151.38</v>
      </c>
      <c r="E473" s="5">
        <v>151.55000000000001</v>
      </c>
      <c r="F473" s="6">
        <v>3214884</v>
      </c>
    </row>
    <row r="474" spans="1:6" x14ac:dyDescent="0.2">
      <c r="A474" s="4">
        <v>45155</v>
      </c>
      <c r="B474" s="5">
        <v>151.16</v>
      </c>
      <c r="C474" s="5">
        <v>151.905</v>
      </c>
      <c r="D474" s="5">
        <v>149.91999999999999</v>
      </c>
      <c r="E474" s="5">
        <v>150.02000000000001</v>
      </c>
      <c r="F474" s="6">
        <v>5285682</v>
      </c>
    </row>
    <row r="475" spans="1:6" x14ac:dyDescent="0.2">
      <c r="A475" s="4">
        <v>45156</v>
      </c>
      <c r="B475" s="5">
        <v>150.29</v>
      </c>
      <c r="C475" s="5">
        <v>150.93</v>
      </c>
      <c r="D475" s="5">
        <v>149.22999999999999</v>
      </c>
      <c r="E475" s="5">
        <v>150.13999999999999</v>
      </c>
      <c r="F475" s="6">
        <v>4050901</v>
      </c>
    </row>
    <row r="476" spans="1:6" x14ac:dyDescent="0.2">
      <c r="A476" s="4">
        <v>45159</v>
      </c>
      <c r="B476" s="5">
        <v>149.71</v>
      </c>
      <c r="C476" s="5">
        <v>150.35</v>
      </c>
      <c r="D476" s="5">
        <v>148.88</v>
      </c>
      <c r="E476" s="5">
        <v>150.16</v>
      </c>
      <c r="F476" s="6">
        <v>3944923</v>
      </c>
    </row>
    <row r="477" spans="1:6" x14ac:dyDescent="0.2">
      <c r="A477" s="4">
        <v>45160</v>
      </c>
      <c r="B477" s="5">
        <v>150</v>
      </c>
      <c r="C477" s="5">
        <v>150</v>
      </c>
      <c r="D477" s="5">
        <v>147.97</v>
      </c>
      <c r="E477" s="5">
        <v>148.24</v>
      </c>
      <c r="F477" s="6">
        <v>3209910</v>
      </c>
    </row>
    <row r="478" spans="1:6" x14ac:dyDescent="0.2">
      <c r="A478" s="4">
        <v>45161</v>
      </c>
      <c r="B478" s="5">
        <v>148.66999999999999</v>
      </c>
      <c r="C478" s="5">
        <v>149</v>
      </c>
      <c r="D478" s="5">
        <v>145.94</v>
      </c>
      <c r="E478" s="5">
        <v>147.08000000000001</v>
      </c>
      <c r="F478" s="6">
        <v>5414795</v>
      </c>
    </row>
    <row r="479" spans="1:6" x14ac:dyDescent="0.2">
      <c r="A479" s="4">
        <v>45162</v>
      </c>
      <c r="B479" s="5">
        <v>146.91999999999999</v>
      </c>
      <c r="C479" s="5">
        <v>147.82</v>
      </c>
      <c r="D479" s="5">
        <v>146.35</v>
      </c>
      <c r="E479" s="5">
        <v>146.63</v>
      </c>
      <c r="F479" s="6">
        <v>3986314</v>
      </c>
    </row>
    <row r="480" spans="1:6" x14ac:dyDescent="0.2">
      <c r="A480" s="4">
        <v>45163</v>
      </c>
      <c r="B480" s="5">
        <v>147.02000000000001</v>
      </c>
      <c r="C480" s="5">
        <v>147.66499999999999</v>
      </c>
      <c r="D480" s="5">
        <v>146.19999999999999</v>
      </c>
      <c r="E480" s="5">
        <v>146.69</v>
      </c>
      <c r="F480" s="6">
        <v>3275300</v>
      </c>
    </row>
    <row r="481" spans="1:6" x14ac:dyDescent="0.2">
      <c r="A481" s="4">
        <v>45166</v>
      </c>
      <c r="B481" s="5">
        <v>147.09</v>
      </c>
      <c r="C481" s="5">
        <v>148.065</v>
      </c>
      <c r="D481" s="5">
        <v>146.77000000000001</v>
      </c>
      <c r="E481" s="5">
        <v>147.43</v>
      </c>
      <c r="F481" s="6">
        <v>2807026</v>
      </c>
    </row>
    <row r="482" spans="1:6" x14ac:dyDescent="0.2">
      <c r="A482" s="4">
        <v>45167</v>
      </c>
      <c r="B482" s="5">
        <v>147.99</v>
      </c>
      <c r="C482" s="5">
        <v>148.9101</v>
      </c>
      <c r="D482" s="5">
        <v>146.5</v>
      </c>
      <c r="E482" s="5">
        <v>147.59</v>
      </c>
      <c r="F482" s="6">
        <v>3419293</v>
      </c>
    </row>
    <row r="483" spans="1:6" x14ac:dyDescent="0.2">
      <c r="A483" s="4">
        <v>45168</v>
      </c>
      <c r="B483" s="5">
        <v>148.12</v>
      </c>
      <c r="C483" s="5">
        <v>148.80000000000001</v>
      </c>
      <c r="D483" s="5">
        <v>146.9</v>
      </c>
      <c r="E483" s="5">
        <v>148.32</v>
      </c>
      <c r="F483" s="6">
        <v>3486403</v>
      </c>
    </row>
    <row r="484" spans="1:6" x14ac:dyDescent="0.2">
      <c r="A484" s="4">
        <v>45169</v>
      </c>
      <c r="B484" s="5">
        <v>148.38999999999999</v>
      </c>
      <c r="C484" s="5">
        <v>148.7133</v>
      </c>
      <c r="D484" s="5">
        <v>146.87</v>
      </c>
      <c r="E484" s="5">
        <v>146.96</v>
      </c>
      <c r="F484" s="6">
        <v>4110696</v>
      </c>
    </row>
    <row r="485" spans="1:6" x14ac:dyDescent="0.2">
      <c r="A485" s="4">
        <v>45170</v>
      </c>
      <c r="B485" s="5">
        <v>147.36000000000001</v>
      </c>
      <c r="C485" s="5">
        <v>148.88999999999999</v>
      </c>
      <c r="D485" s="5">
        <v>147.36000000000001</v>
      </c>
      <c r="E485" s="5">
        <v>148.19999999999999</v>
      </c>
      <c r="F485" s="6">
        <v>3357992</v>
      </c>
    </row>
    <row r="486" spans="1:6" x14ac:dyDescent="0.2">
      <c r="A486" s="4">
        <v>45174</v>
      </c>
      <c r="B486" s="5">
        <v>148.5</v>
      </c>
      <c r="C486" s="5">
        <v>148.96</v>
      </c>
      <c r="D486" s="5">
        <v>145.86000000000001</v>
      </c>
      <c r="E486" s="5">
        <v>146.1</v>
      </c>
      <c r="F486" s="6">
        <v>3911258</v>
      </c>
    </row>
    <row r="487" spans="1:6" x14ac:dyDescent="0.2">
      <c r="A487" s="4">
        <v>45175</v>
      </c>
      <c r="B487" s="5">
        <v>146.1</v>
      </c>
      <c r="C487" s="5">
        <v>146.12</v>
      </c>
      <c r="D487" s="5">
        <v>143.74</v>
      </c>
      <c r="E487" s="5">
        <v>145.61000000000001</v>
      </c>
      <c r="F487" s="6">
        <v>5304376</v>
      </c>
    </row>
    <row r="488" spans="1:6" x14ac:dyDescent="0.2">
      <c r="A488" s="4">
        <v>45176</v>
      </c>
      <c r="B488" s="5">
        <v>146.15</v>
      </c>
      <c r="C488" s="5">
        <v>149</v>
      </c>
      <c r="D488" s="5">
        <v>145.86500000000001</v>
      </c>
      <c r="E488" s="5">
        <v>148.91</v>
      </c>
      <c r="F488" s="6">
        <v>5142242</v>
      </c>
    </row>
    <row r="489" spans="1:6" x14ac:dyDescent="0.2">
      <c r="A489" s="4">
        <v>45177</v>
      </c>
      <c r="B489" s="5">
        <v>149</v>
      </c>
      <c r="C489" s="5">
        <v>149.76</v>
      </c>
      <c r="D489" s="5">
        <v>148.19999999999999</v>
      </c>
      <c r="E489" s="5">
        <v>149.02000000000001</v>
      </c>
      <c r="F489" s="6">
        <v>4339818</v>
      </c>
    </row>
    <row r="490" spans="1:6" x14ac:dyDescent="0.2">
      <c r="A490" s="4">
        <v>45180</v>
      </c>
      <c r="B490" s="5">
        <v>148.86000000000001</v>
      </c>
      <c r="C490" s="5">
        <v>149.405</v>
      </c>
      <c r="D490" s="5">
        <v>148.41499999999999</v>
      </c>
      <c r="E490" s="5">
        <v>149.04</v>
      </c>
      <c r="F490" s="6">
        <v>2911622</v>
      </c>
    </row>
    <row r="491" spans="1:6" x14ac:dyDescent="0.2">
      <c r="A491" s="4">
        <v>45181</v>
      </c>
      <c r="B491" s="5">
        <v>149.5</v>
      </c>
      <c r="C491" s="5">
        <v>149.6</v>
      </c>
      <c r="D491" s="5">
        <v>147.62</v>
      </c>
      <c r="E491" s="5">
        <v>149.27000000000001</v>
      </c>
      <c r="F491" s="6">
        <v>2424839</v>
      </c>
    </row>
    <row r="492" spans="1:6" x14ac:dyDescent="0.2">
      <c r="A492" s="4">
        <v>45182</v>
      </c>
      <c r="B492" s="5">
        <v>149.41999999999999</v>
      </c>
      <c r="C492" s="5">
        <v>152.4</v>
      </c>
      <c r="D492" s="5">
        <v>149.05000000000001</v>
      </c>
      <c r="E492" s="5">
        <v>151.16</v>
      </c>
      <c r="F492" s="6">
        <v>5953685</v>
      </c>
    </row>
    <row r="493" spans="1:6" x14ac:dyDescent="0.2">
      <c r="A493" s="4">
        <v>45183</v>
      </c>
      <c r="B493" s="5">
        <v>152.01</v>
      </c>
      <c r="C493" s="5">
        <v>154.69</v>
      </c>
      <c r="D493" s="5">
        <v>151.80000000000001</v>
      </c>
      <c r="E493" s="5">
        <v>153.63999999999999</v>
      </c>
      <c r="F493" s="6">
        <v>6337093</v>
      </c>
    </row>
    <row r="494" spans="1:6" x14ac:dyDescent="0.2">
      <c r="A494" s="4">
        <v>45184</v>
      </c>
      <c r="B494" s="5">
        <v>152.78</v>
      </c>
      <c r="C494" s="5">
        <v>154.69999999999999</v>
      </c>
      <c r="D494" s="5">
        <v>151.93</v>
      </c>
      <c r="E494" s="5">
        <v>152.12</v>
      </c>
      <c r="F494" s="6">
        <v>8868282</v>
      </c>
    </row>
    <row r="495" spans="1:6" x14ac:dyDescent="0.2">
      <c r="A495" s="4">
        <v>45187</v>
      </c>
      <c r="B495" s="5">
        <v>153.08000000000001</v>
      </c>
      <c r="C495" s="5">
        <v>153.97</v>
      </c>
      <c r="D495" s="5">
        <v>152.1</v>
      </c>
      <c r="E495" s="5">
        <v>153.94</v>
      </c>
      <c r="F495" s="6">
        <v>2967644</v>
      </c>
    </row>
    <row r="496" spans="1:6" x14ac:dyDescent="0.2">
      <c r="A496" s="4">
        <v>45188</v>
      </c>
      <c r="B496" s="5">
        <v>153.88999999999999</v>
      </c>
      <c r="C496" s="5">
        <v>154.63999999999999</v>
      </c>
      <c r="D496" s="5">
        <v>151.6</v>
      </c>
      <c r="E496" s="5">
        <v>153.49</v>
      </c>
      <c r="F496" s="6">
        <v>3509954</v>
      </c>
    </row>
    <row r="497" spans="1:6" x14ac:dyDescent="0.2">
      <c r="A497" s="4">
        <v>45189</v>
      </c>
      <c r="B497" s="5">
        <v>154.06</v>
      </c>
      <c r="C497" s="5">
        <v>154.88</v>
      </c>
      <c r="D497" s="5">
        <v>153.37</v>
      </c>
      <c r="E497" s="5">
        <v>153.61000000000001</v>
      </c>
      <c r="F497" s="6">
        <v>2744850</v>
      </c>
    </row>
    <row r="498" spans="1:6" x14ac:dyDescent="0.2">
      <c r="A498" s="4">
        <v>45190</v>
      </c>
      <c r="B498" s="5">
        <v>153.68</v>
      </c>
      <c r="C498" s="5">
        <v>154.85</v>
      </c>
      <c r="D498" s="5">
        <v>152.66</v>
      </c>
      <c r="E498" s="5">
        <v>153.43</v>
      </c>
      <c r="F498" s="6">
        <v>3660361</v>
      </c>
    </row>
    <row r="499" spans="1:6" x14ac:dyDescent="0.2">
      <c r="A499" s="4">
        <v>45191</v>
      </c>
      <c r="B499" s="5">
        <v>153.9</v>
      </c>
      <c r="C499" s="5">
        <v>153.9</v>
      </c>
      <c r="D499" s="5">
        <v>152.52000000000001</v>
      </c>
      <c r="E499" s="5">
        <v>152.74</v>
      </c>
      <c r="F499" s="6">
        <v>3049308</v>
      </c>
    </row>
    <row r="500" spans="1:6" x14ac:dyDescent="0.2">
      <c r="A500" s="4">
        <v>45194</v>
      </c>
      <c r="B500" s="5">
        <v>152.44</v>
      </c>
      <c r="C500" s="5">
        <v>154.74</v>
      </c>
      <c r="D500" s="5">
        <v>151.66</v>
      </c>
      <c r="E500" s="5">
        <v>154.65</v>
      </c>
      <c r="F500" s="6">
        <v>3740015</v>
      </c>
    </row>
    <row r="501" spans="1:6" x14ac:dyDescent="0.2">
      <c r="A501" s="4">
        <v>45195</v>
      </c>
      <c r="B501" s="5">
        <v>154.4</v>
      </c>
      <c r="C501" s="5">
        <v>154.6</v>
      </c>
      <c r="D501" s="5">
        <v>153.33000000000001</v>
      </c>
      <c r="E501" s="5">
        <v>153.91</v>
      </c>
      <c r="F501" s="6">
        <v>3936257</v>
      </c>
    </row>
    <row r="502" spans="1:6" x14ac:dyDescent="0.2">
      <c r="A502" s="4">
        <v>45196</v>
      </c>
      <c r="B502" s="5">
        <v>153.84</v>
      </c>
      <c r="C502" s="5">
        <v>154</v>
      </c>
      <c r="D502" s="5">
        <v>151.61000000000001</v>
      </c>
      <c r="E502" s="5">
        <v>153.13</v>
      </c>
      <c r="F502" s="6">
        <v>3621183</v>
      </c>
    </row>
    <row r="503" spans="1:6" x14ac:dyDescent="0.2">
      <c r="A503" s="4">
        <v>45197</v>
      </c>
      <c r="B503" s="5">
        <v>153.63999999999999</v>
      </c>
      <c r="C503" s="5">
        <v>153.83000000000001</v>
      </c>
      <c r="D503" s="5">
        <v>151.37</v>
      </c>
      <c r="E503" s="5">
        <v>152.25</v>
      </c>
      <c r="F503" s="6">
        <v>3697512</v>
      </c>
    </row>
    <row r="504" spans="1:6" x14ac:dyDescent="0.2">
      <c r="A504" s="4">
        <v>45198</v>
      </c>
      <c r="B504" s="5">
        <v>152.46</v>
      </c>
      <c r="C504" s="5">
        <v>152.53</v>
      </c>
      <c r="D504" s="5">
        <v>148.83000000000001</v>
      </c>
      <c r="E504" s="5">
        <v>149.06</v>
      </c>
      <c r="F504" s="6">
        <v>5581666</v>
      </c>
    </row>
    <row r="505" spans="1:6" x14ac:dyDescent="0.2">
      <c r="A505" s="4">
        <v>45201</v>
      </c>
      <c r="B505" s="5">
        <v>148.47</v>
      </c>
      <c r="C505" s="5">
        <v>148.86000000000001</v>
      </c>
      <c r="D505" s="5">
        <v>146.72</v>
      </c>
      <c r="E505" s="5">
        <v>148.25</v>
      </c>
      <c r="F505" s="6">
        <v>3827857</v>
      </c>
    </row>
    <row r="506" spans="1:6" x14ac:dyDescent="0.2">
      <c r="A506" s="4">
        <v>45202</v>
      </c>
      <c r="B506" s="5">
        <v>147.83000000000001</v>
      </c>
      <c r="C506" s="5">
        <v>147.99</v>
      </c>
      <c r="D506" s="5">
        <v>145.35499999999999</v>
      </c>
      <c r="E506" s="5">
        <v>147.43</v>
      </c>
      <c r="F506" s="6">
        <v>4580885</v>
      </c>
    </row>
    <row r="507" spans="1:6" x14ac:dyDescent="0.2">
      <c r="A507" s="4">
        <v>45203</v>
      </c>
      <c r="B507" s="5">
        <v>146.57</v>
      </c>
      <c r="C507" s="5">
        <v>148.08000000000001</v>
      </c>
      <c r="D507" s="5">
        <v>146.31</v>
      </c>
      <c r="E507" s="5">
        <v>147.69</v>
      </c>
      <c r="F507" s="6">
        <v>3159590</v>
      </c>
    </row>
    <row r="508" spans="1:6" x14ac:dyDescent="0.2">
      <c r="A508" s="4">
        <v>45204</v>
      </c>
      <c r="B508" s="5">
        <v>147.93</v>
      </c>
      <c r="C508" s="5">
        <v>149.53</v>
      </c>
      <c r="D508" s="5">
        <v>147.08500000000001</v>
      </c>
      <c r="E508" s="5">
        <v>147.44999999999999</v>
      </c>
      <c r="F508" s="6">
        <v>3599472</v>
      </c>
    </row>
    <row r="509" spans="1:6" x14ac:dyDescent="0.2">
      <c r="A509" s="4">
        <v>45205</v>
      </c>
      <c r="B509" s="5">
        <v>146.49</v>
      </c>
      <c r="C509" s="5">
        <v>149.3338</v>
      </c>
      <c r="D509" s="5">
        <v>146.12</v>
      </c>
      <c r="E509" s="5">
        <v>148.24</v>
      </c>
      <c r="F509" s="6">
        <v>5370284</v>
      </c>
    </row>
    <row r="510" spans="1:6" x14ac:dyDescent="0.2">
      <c r="A510" s="4">
        <v>45208</v>
      </c>
      <c r="B510" s="5">
        <v>148.27000000000001</v>
      </c>
      <c r="C510" s="5">
        <v>149.75</v>
      </c>
      <c r="D510" s="5">
        <v>147.16</v>
      </c>
      <c r="E510" s="5">
        <v>149.11000000000001</v>
      </c>
      <c r="F510" s="6">
        <v>2903356</v>
      </c>
    </row>
    <row r="511" spans="1:6" x14ac:dyDescent="0.2">
      <c r="A511" s="4">
        <v>45209</v>
      </c>
      <c r="B511" s="5">
        <v>149.38999999999999</v>
      </c>
      <c r="C511" s="5">
        <v>149.56</v>
      </c>
      <c r="D511" s="5">
        <v>148.04</v>
      </c>
      <c r="E511" s="5">
        <v>148.88999999999999</v>
      </c>
      <c r="F511" s="6">
        <v>3728963</v>
      </c>
    </row>
    <row r="512" spans="1:6" x14ac:dyDescent="0.2">
      <c r="A512" s="4">
        <v>45210</v>
      </c>
      <c r="B512" s="5">
        <v>149.13</v>
      </c>
      <c r="C512" s="5">
        <v>150.4</v>
      </c>
      <c r="D512" s="5">
        <v>148.77000000000001</v>
      </c>
      <c r="E512" s="5">
        <v>149.34</v>
      </c>
      <c r="F512" s="6">
        <v>3189787</v>
      </c>
    </row>
    <row r="513" spans="1:6" x14ac:dyDescent="0.2">
      <c r="A513" s="4">
        <v>45211</v>
      </c>
      <c r="B513" s="5">
        <v>148.13</v>
      </c>
      <c r="C513" s="5">
        <v>148.6</v>
      </c>
      <c r="D513" s="5">
        <v>147.01</v>
      </c>
      <c r="E513" s="5">
        <v>148.30000000000001</v>
      </c>
      <c r="F513" s="6">
        <v>4554424</v>
      </c>
    </row>
    <row r="514" spans="1:6" x14ac:dyDescent="0.2">
      <c r="A514" s="4">
        <v>45212</v>
      </c>
      <c r="B514" s="5">
        <v>148.94999999999999</v>
      </c>
      <c r="C514" s="5">
        <v>149.66</v>
      </c>
      <c r="D514" s="5">
        <v>147.34</v>
      </c>
      <c r="E514" s="5">
        <v>147.96</v>
      </c>
      <c r="F514" s="6">
        <v>4305141</v>
      </c>
    </row>
    <row r="515" spans="1:6" x14ac:dyDescent="0.2">
      <c r="A515" s="4">
        <v>45215</v>
      </c>
      <c r="B515" s="5">
        <v>148.22</v>
      </c>
      <c r="C515" s="5">
        <v>149.5</v>
      </c>
      <c r="D515" s="5">
        <v>146.91999999999999</v>
      </c>
      <c r="E515" s="5">
        <v>147.22999999999999</v>
      </c>
      <c r="F515" s="6">
        <v>3704361</v>
      </c>
    </row>
    <row r="516" spans="1:6" x14ac:dyDescent="0.2">
      <c r="A516" s="4">
        <v>45216</v>
      </c>
      <c r="B516" s="5">
        <v>147.33000000000001</v>
      </c>
      <c r="C516" s="5">
        <v>149.66</v>
      </c>
      <c r="D516" s="5">
        <v>147.15</v>
      </c>
      <c r="E516" s="5">
        <v>149.18</v>
      </c>
      <c r="F516" s="6">
        <v>5372411</v>
      </c>
    </row>
    <row r="517" spans="1:6" x14ac:dyDescent="0.2">
      <c r="A517" s="4">
        <v>45217</v>
      </c>
      <c r="B517" s="5">
        <v>149.27000000000001</v>
      </c>
      <c r="C517" s="5">
        <v>149.61000000000001</v>
      </c>
      <c r="D517" s="5">
        <v>148.34</v>
      </c>
      <c r="E517" s="5">
        <v>149.28</v>
      </c>
      <c r="F517" s="6">
        <v>4910625</v>
      </c>
    </row>
    <row r="518" spans="1:6" x14ac:dyDescent="0.2">
      <c r="A518" s="4">
        <v>45218</v>
      </c>
      <c r="B518" s="5">
        <v>148.55000000000001</v>
      </c>
      <c r="C518" s="5">
        <v>148.55000000000001</v>
      </c>
      <c r="D518" s="5">
        <v>143.33000000000001</v>
      </c>
      <c r="E518" s="5">
        <v>145.52000000000001</v>
      </c>
      <c r="F518" s="6">
        <v>6147208</v>
      </c>
    </row>
    <row r="519" spans="1:6" x14ac:dyDescent="0.2">
      <c r="A519" s="4">
        <v>45219</v>
      </c>
      <c r="B519" s="5">
        <v>145.28</v>
      </c>
      <c r="C519" s="5">
        <v>147.505</v>
      </c>
      <c r="D519" s="5">
        <v>145.28</v>
      </c>
      <c r="E519" s="5">
        <v>146.22999999999999</v>
      </c>
      <c r="F519" s="6">
        <v>4223840</v>
      </c>
    </row>
    <row r="520" spans="1:6" x14ac:dyDescent="0.2">
      <c r="A520" s="4">
        <v>45222</v>
      </c>
      <c r="B520" s="5">
        <v>146.16</v>
      </c>
      <c r="C520" s="5">
        <v>146.41999999999999</v>
      </c>
      <c r="D520" s="5">
        <v>144.19999999999999</v>
      </c>
      <c r="E520" s="5">
        <v>144.72999999999999</v>
      </c>
      <c r="F520" s="6">
        <v>3903412</v>
      </c>
    </row>
    <row r="521" spans="1:6" x14ac:dyDescent="0.2">
      <c r="A521" s="4">
        <v>45223</v>
      </c>
      <c r="B521" s="5">
        <v>145.15</v>
      </c>
      <c r="C521" s="5">
        <v>146.97</v>
      </c>
      <c r="D521" s="5">
        <v>145.1</v>
      </c>
      <c r="E521" s="5">
        <v>146.31</v>
      </c>
      <c r="F521" s="6">
        <v>3362941</v>
      </c>
    </row>
    <row r="522" spans="1:6" x14ac:dyDescent="0.2">
      <c r="A522" s="4">
        <v>45224</v>
      </c>
      <c r="B522" s="5">
        <v>146.11000000000001</v>
      </c>
      <c r="C522" s="5">
        <v>146.90020000000001</v>
      </c>
      <c r="D522" s="5">
        <v>144.82</v>
      </c>
      <c r="E522" s="5">
        <v>145.26</v>
      </c>
      <c r="F522" s="6">
        <v>5461503</v>
      </c>
    </row>
    <row r="523" spans="1:6" x14ac:dyDescent="0.2">
      <c r="A523" s="4">
        <v>45225</v>
      </c>
      <c r="B523" s="5">
        <v>144.86000000000001</v>
      </c>
      <c r="C523" s="5">
        <v>145.94999999999999</v>
      </c>
      <c r="D523" s="5">
        <v>144.22999999999999</v>
      </c>
      <c r="E523" s="5">
        <v>145.19999999999999</v>
      </c>
      <c r="F523" s="6">
        <v>5569443</v>
      </c>
    </row>
    <row r="524" spans="1:6" x14ac:dyDescent="0.2">
      <c r="A524" s="4">
        <v>45226</v>
      </c>
      <c r="B524" s="5">
        <v>138.77000000000001</v>
      </c>
      <c r="C524" s="5">
        <v>143</v>
      </c>
      <c r="D524" s="5">
        <v>136.03</v>
      </c>
      <c r="E524" s="5">
        <v>138.93</v>
      </c>
      <c r="F524" s="6">
        <v>9427212</v>
      </c>
    </row>
    <row r="525" spans="1:6" x14ac:dyDescent="0.2">
      <c r="A525" s="4">
        <v>45229</v>
      </c>
      <c r="B525" s="5">
        <v>140.66999999999999</v>
      </c>
      <c r="C525" s="5">
        <v>145.71</v>
      </c>
      <c r="D525" s="5">
        <v>140.66999999999999</v>
      </c>
      <c r="E525" s="5">
        <v>141.88999999999999</v>
      </c>
      <c r="F525" s="6">
        <v>9258591</v>
      </c>
    </row>
    <row r="526" spans="1:6" x14ac:dyDescent="0.2">
      <c r="A526" s="4">
        <v>45230</v>
      </c>
      <c r="B526" s="5">
        <v>142.09</v>
      </c>
      <c r="C526" s="5">
        <v>142.22</v>
      </c>
      <c r="D526" s="5">
        <v>139.68</v>
      </c>
      <c r="E526" s="5">
        <v>141.18</v>
      </c>
      <c r="F526" s="6">
        <v>10394050</v>
      </c>
    </row>
    <row r="527" spans="1:6" x14ac:dyDescent="0.2">
      <c r="A527" s="4">
        <v>45231</v>
      </c>
      <c r="B527" s="5">
        <v>141.86000000000001</v>
      </c>
      <c r="C527" s="5">
        <v>143.71</v>
      </c>
      <c r="D527" s="5">
        <v>141.75</v>
      </c>
      <c r="E527" s="5">
        <v>142.47</v>
      </c>
      <c r="F527" s="6">
        <v>4207824</v>
      </c>
    </row>
    <row r="528" spans="1:6" x14ac:dyDescent="0.2">
      <c r="A528" s="4">
        <v>45232</v>
      </c>
      <c r="B528" s="5">
        <v>141.31</v>
      </c>
      <c r="C528" s="5">
        <v>143.77000000000001</v>
      </c>
      <c r="D528" s="5">
        <v>140.51</v>
      </c>
      <c r="E528" s="5">
        <v>143.26</v>
      </c>
      <c r="F528" s="6">
        <v>4066793</v>
      </c>
    </row>
    <row r="529" spans="1:6" x14ac:dyDescent="0.2">
      <c r="A529" s="4">
        <v>45233</v>
      </c>
      <c r="B529" s="5">
        <v>143.94999999999999</v>
      </c>
      <c r="C529" s="5">
        <v>143.94999999999999</v>
      </c>
      <c r="D529" s="5">
        <v>140.88999999999999</v>
      </c>
      <c r="E529" s="5">
        <v>141.41999999999999</v>
      </c>
      <c r="F529" s="6">
        <v>5414623</v>
      </c>
    </row>
    <row r="530" spans="1:6" x14ac:dyDescent="0.2">
      <c r="A530" s="4">
        <v>45236</v>
      </c>
      <c r="B530" s="5">
        <v>141.88999999999999</v>
      </c>
      <c r="C530" s="5">
        <v>142.37</v>
      </c>
      <c r="D530" s="5">
        <v>140.97999999999999</v>
      </c>
      <c r="E530" s="5">
        <v>141.19999999999999</v>
      </c>
      <c r="F530" s="6">
        <v>4374878</v>
      </c>
    </row>
    <row r="531" spans="1:6" x14ac:dyDescent="0.2">
      <c r="A531" s="4">
        <v>45237</v>
      </c>
      <c r="B531" s="5">
        <v>141.52000000000001</v>
      </c>
      <c r="C531" s="5">
        <v>142.17689999999999</v>
      </c>
      <c r="D531" s="5">
        <v>140.57</v>
      </c>
      <c r="E531" s="5">
        <v>142.16</v>
      </c>
      <c r="F531" s="6">
        <v>5024646</v>
      </c>
    </row>
    <row r="532" spans="1:6" x14ac:dyDescent="0.2">
      <c r="A532" s="4">
        <v>45238</v>
      </c>
      <c r="B532" s="5">
        <v>143.44</v>
      </c>
      <c r="C532" s="5">
        <v>143.88499999999999</v>
      </c>
      <c r="D532" s="5">
        <v>141.91999999999999</v>
      </c>
      <c r="E532" s="5">
        <v>142.03</v>
      </c>
      <c r="F532" s="6">
        <v>5299324</v>
      </c>
    </row>
    <row r="533" spans="1:6" x14ac:dyDescent="0.2">
      <c r="A533" s="4">
        <v>45239</v>
      </c>
      <c r="B533" s="5">
        <v>141</v>
      </c>
      <c r="C533" s="5">
        <v>141.6</v>
      </c>
      <c r="D533" s="5">
        <v>135.85</v>
      </c>
      <c r="E533" s="5">
        <v>138.04</v>
      </c>
      <c r="F533" s="6">
        <v>14970330</v>
      </c>
    </row>
    <row r="534" spans="1:6" x14ac:dyDescent="0.2">
      <c r="A534" s="4">
        <v>45240</v>
      </c>
      <c r="B534" s="5">
        <v>138.65</v>
      </c>
      <c r="C534" s="5">
        <v>139.36000000000001</v>
      </c>
      <c r="D534" s="5">
        <v>136.4</v>
      </c>
      <c r="E534" s="5">
        <v>138.59</v>
      </c>
      <c r="F534" s="6">
        <v>4586711</v>
      </c>
    </row>
    <row r="535" spans="1:6" x14ac:dyDescent="0.2">
      <c r="A535" s="4">
        <v>45243</v>
      </c>
      <c r="B535" s="5">
        <v>138.59</v>
      </c>
      <c r="C535" s="5">
        <v>139.16</v>
      </c>
      <c r="D535" s="5">
        <v>137.43</v>
      </c>
      <c r="E535" s="5">
        <v>138.63999999999999</v>
      </c>
      <c r="F535" s="6">
        <v>4454787</v>
      </c>
    </row>
    <row r="536" spans="1:6" x14ac:dyDescent="0.2">
      <c r="A536" s="4">
        <v>45244</v>
      </c>
      <c r="B536" s="5">
        <v>138.93</v>
      </c>
      <c r="C536" s="5">
        <v>140.1</v>
      </c>
      <c r="D536" s="5">
        <v>137.96</v>
      </c>
      <c r="E536" s="5">
        <v>138.06</v>
      </c>
      <c r="F536" s="6">
        <v>4509184</v>
      </c>
    </row>
    <row r="537" spans="1:6" x14ac:dyDescent="0.2">
      <c r="A537" s="4">
        <v>45245</v>
      </c>
      <c r="B537" s="5">
        <v>138.25</v>
      </c>
      <c r="C537" s="5">
        <v>138.25</v>
      </c>
      <c r="D537" s="5">
        <v>136.29660000000001</v>
      </c>
      <c r="E537" s="5">
        <v>137.6</v>
      </c>
      <c r="F537" s="6">
        <v>6473164</v>
      </c>
    </row>
    <row r="538" spans="1:6" x14ac:dyDescent="0.2">
      <c r="A538" s="4">
        <v>45246</v>
      </c>
      <c r="B538" s="5">
        <v>138.28</v>
      </c>
      <c r="C538" s="5">
        <v>138.82</v>
      </c>
      <c r="D538" s="5">
        <v>137.05000000000001</v>
      </c>
      <c r="E538" s="5">
        <v>138.28</v>
      </c>
      <c r="F538" s="6">
        <v>5257172</v>
      </c>
    </row>
    <row r="539" spans="1:6" x14ac:dyDescent="0.2">
      <c r="A539" s="4">
        <v>45247</v>
      </c>
      <c r="B539" s="5">
        <v>138.36000000000001</v>
      </c>
      <c r="C539" s="5">
        <v>138.88</v>
      </c>
      <c r="D539" s="5">
        <v>137.38</v>
      </c>
      <c r="E539" s="5">
        <v>138.30000000000001</v>
      </c>
      <c r="F539" s="6">
        <v>4332349</v>
      </c>
    </row>
    <row r="540" spans="1:6" x14ac:dyDescent="0.2">
      <c r="A540" s="4">
        <v>45250</v>
      </c>
      <c r="B540" s="5">
        <v>137.53</v>
      </c>
      <c r="C540" s="5">
        <v>138.69</v>
      </c>
      <c r="D540" s="5">
        <v>137.13999999999999</v>
      </c>
      <c r="E540" s="5">
        <v>138.31</v>
      </c>
      <c r="F540" s="6">
        <v>4490104</v>
      </c>
    </row>
    <row r="541" spans="1:6" x14ac:dyDescent="0.2">
      <c r="A541" s="4">
        <v>45251</v>
      </c>
      <c r="B541" s="5">
        <v>138.72999999999999</v>
      </c>
      <c r="C541" s="5">
        <v>139.36000000000001</v>
      </c>
      <c r="D541" s="5">
        <v>137.83000000000001</v>
      </c>
      <c r="E541" s="5">
        <v>138.72999999999999</v>
      </c>
      <c r="F541" s="6">
        <v>4690970</v>
      </c>
    </row>
    <row r="542" spans="1:6" x14ac:dyDescent="0.2">
      <c r="A542" s="4">
        <v>45252</v>
      </c>
      <c r="B542" s="5">
        <v>139.06</v>
      </c>
      <c r="C542" s="5">
        <v>139.84</v>
      </c>
      <c r="D542" s="5">
        <v>138.33000000000001</v>
      </c>
      <c r="E542" s="5">
        <v>138.47</v>
      </c>
      <c r="F542" s="6">
        <v>3428670</v>
      </c>
    </row>
    <row r="543" spans="1:6" x14ac:dyDescent="0.2">
      <c r="A543" s="4">
        <v>45254</v>
      </c>
      <c r="B543" s="5">
        <v>140</v>
      </c>
      <c r="C543" s="5">
        <v>140.08000000000001</v>
      </c>
      <c r="D543" s="5">
        <v>138.46</v>
      </c>
      <c r="E543" s="5">
        <v>138.66999999999999</v>
      </c>
      <c r="F543" s="6">
        <v>1636535</v>
      </c>
    </row>
    <row r="544" spans="1:6" x14ac:dyDescent="0.2">
      <c r="A544" s="4">
        <v>45257</v>
      </c>
      <c r="B544" s="5">
        <v>138.69999999999999</v>
      </c>
      <c r="C544" s="5">
        <v>139.375</v>
      </c>
      <c r="D544" s="5">
        <v>137.79</v>
      </c>
      <c r="E544" s="5">
        <v>139.09</v>
      </c>
      <c r="F544" s="6">
        <v>5529373</v>
      </c>
    </row>
    <row r="545" spans="1:6" x14ac:dyDescent="0.2">
      <c r="A545" s="4">
        <v>45258</v>
      </c>
      <c r="B545" s="5">
        <v>139.05000000000001</v>
      </c>
      <c r="C545" s="5">
        <v>139.66</v>
      </c>
      <c r="D545" s="5">
        <v>137.91999999999999</v>
      </c>
      <c r="E545" s="5">
        <v>138.08000000000001</v>
      </c>
      <c r="F545" s="6">
        <v>5347231</v>
      </c>
    </row>
    <row r="546" spans="1:6" x14ac:dyDescent="0.2">
      <c r="A546" s="4">
        <v>45259</v>
      </c>
      <c r="B546" s="5">
        <v>138.02000000000001</v>
      </c>
      <c r="C546" s="5">
        <v>139.09</v>
      </c>
      <c r="D546" s="5">
        <v>137.65</v>
      </c>
      <c r="E546" s="5">
        <v>138.5</v>
      </c>
      <c r="F546" s="6">
        <v>3996604</v>
      </c>
    </row>
    <row r="547" spans="1:6" x14ac:dyDescent="0.2">
      <c r="A547" s="4">
        <v>45260</v>
      </c>
      <c r="B547" s="5">
        <v>138.01</v>
      </c>
      <c r="C547" s="5">
        <v>142.69999999999999</v>
      </c>
      <c r="D547" s="5">
        <v>138.01</v>
      </c>
      <c r="E547" s="5">
        <v>142.38999999999999</v>
      </c>
      <c r="F547" s="6">
        <v>9297383</v>
      </c>
    </row>
    <row r="548" spans="1:6" x14ac:dyDescent="0.2">
      <c r="A548" s="4">
        <v>45261</v>
      </c>
      <c r="B548" s="5">
        <v>142.54</v>
      </c>
      <c r="C548" s="5">
        <v>144.1</v>
      </c>
      <c r="D548" s="5">
        <v>142.2801</v>
      </c>
      <c r="E548" s="5">
        <v>143.41</v>
      </c>
      <c r="F548" s="6">
        <v>4903432</v>
      </c>
    </row>
    <row r="549" spans="1:6" x14ac:dyDescent="0.2">
      <c r="A549" s="4">
        <v>45264</v>
      </c>
      <c r="B549" s="5">
        <v>143.41</v>
      </c>
      <c r="C549" s="5">
        <v>145.49</v>
      </c>
      <c r="D549" s="5">
        <v>143.27000000000001</v>
      </c>
      <c r="E549" s="5">
        <v>144.15</v>
      </c>
      <c r="F549" s="6">
        <v>4845465</v>
      </c>
    </row>
    <row r="550" spans="1:6" x14ac:dyDescent="0.2">
      <c r="A550" s="4">
        <v>45265</v>
      </c>
      <c r="B550" s="5">
        <v>144.11000000000001</v>
      </c>
      <c r="C550" s="5">
        <v>145.08369999999999</v>
      </c>
      <c r="D550" s="5">
        <v>142.66</v>
      </c>
      <c r="E550" s="5">
        <v>144.57</v>
      </c>
      <c r="F550" s="6">
        <v>3961719</v>
      </c>
    </row>
    <row r="551" spans="1:6" x14ac:dyDescent="0.2">
      <c r="A551" s="4">
        <v>45266</v>
      </c>
      <c r="B551" s="5">
        <v>144.79</v>
      </c>
      <c r="C551" s="5">
        <v>147.07</v>
      </c>
      <c r="D551" s="5">
        <v>144.72999999999999</v>
      </c>
      <c r="E551" s="5">
        <v>146.38</v>
      </c>
      <c r="F551" s="6">
        <v>4978839</v>
      </c>
    </row>
    <row r="552" spans="1:6" x14ac:dyDescent="0.2">
      <c r="A552" s="4">
        <v>45267</v>
      </c>
      <c r="B552" s="5">
        <v>147.63999999999999</v>
      </c>
      <c r="C552" s="5">
        <v>148.38</v>
      </c>
      <c r="D552" s="5">
        <v>145.19999999999999</v>
      </c>
      <c r="E552" s="5">
        <v>147.97</v>
      </c>
      <c r="F552" s="6">
        <v>7225141</v>
      </c>
    </row>
    <row r="553" spans="1:6" x14ac:dyDescent="0.2">
      <c r="A553" s="4">
        <v>45268</v>
      </c>
      <c r="B553" s="5">
        <v>148.07</v>
      </c>
      <c r="C553" s="5">
        <v>150.07</v>
      </c>
      <c r="D553" s="5">
        <v>148</v>
      </c>
      <c r="E553" s="5">
        <v>149.28</v>
      </c>
      <c r="F553" s="6">
        <v>5695196</v>
      </c>
    </row>
    <row r="554" spans="1:6" x14ac:dyDescent="0.2">
      <c r="A554" s="4">
        <v>45271</v>
      </c>
      <c r="B554" s="5">
        <v>150.66999999999999</v>
      </c>
      <c r="C554" s="5">
        <v>152.71</v>
      </c>
      <c r="D554" s="5">
        <v>150.63999999999999</v>
      </c>
      <c r="E554" s="5">
        <v>151.24</v>
      </c>
      <c r="F554" s="6">
        <v>6343530</v>
      </c>
    </row>
    <row r="555" spans="1:6" x14ac:dyDescent="0.2">
      <c r="A555" s="4">
        <v>45272</v>
      </c>
      <c r="B555" s="5">
        <v>151.72999999999999</v>
      </c>
      <c r="C555" s="5">
        <v>153.59</v>
      </c>
      <c r="D555" s="5">
        <v>150.16499999999999</v>
      </c>
      <c r="E555" s="5">
        <v>153.24</v>
      </c>
      <c r="F555" s="6">
        <v>5882226</v>
      </c>
    </row>
    <row r="556" spans="1:6" x14ac:dyDescent="0.2">
      <c r="A556" s="4">
        <v>45273</v>
      </c>
      <c r="B556" s="5">
        <v>152.97999999999999</v>
      </c>
      <c r="C556" s="5">
        <v>154.77000000000001</v>
      </c>
      <c r="D556" s="5">
        <v>152.72999999999999</v>
      </c>
      <c r="E556" s="5">
        <v>154.30000000000001</v>
      </c>
      <c r="F556" s="6">
        <v>8104528</v>
      </c>
    </row>
    <row r="557" spans="1:6" x14ac:dyDescent="0.2">
      <c r="A557" s="4">
        <v>45274</v>
      </c>
      <c r="B557" s="5">
        <v>154.36000000000001</v>
      </c>
      <c r="C557" s="5">
        <v>155.16</v>
      </c>
      <c r="D557" s="5">
        <v>152.7593</v>
      </c>
      <c r="E557" s="5">
        <v>154.88</v>
      </c>
      <c r="F557" s="6">
        <v>7869640</v>
      </c>
    </row>
    <row r="558" spans="1:6" x14ac:dyDescent="0.2">
      <c r="A558" s="4">
        <v>45275</v>
      </c>
      <c r="B558" s="5">
        <v>154.74</v>
      </c>
      <c r="C558" s="5">
        <v>155.88999999999999</v>
      </c>
      <c r="D558" s="5">
        <v>153.11000000000001</v>
      </c>
      <c r="E558" s="5">
        <v>154.04</v>
      </c>
      <c r="F558" s="6">
        <v>15203070</v>
      </c>
    </row>
    <row r="559" spans="1:6" x14ac:dyDescent="0.2">
      <c r="A559" s="4">
        <v>45278</v>
      </c>
      <c r="B559" s="5">
        <v>153</v>
      </c>
      <c r="C559" s="5">
        <v>154.35499999999999</v>
      </c>
      <c r="D559" s="5">
        <v>151.75</v>
      </c>
      <c r="E559" s="5">
        <v>153.41999999999999</v>
      </c>
      <c r="F559" s="6">
        <v>5379553</v>
      </c>
    </row>
    <row r="560" spans="1:6" x14ac:dyDescent="0.2">
      <c r="A560" s="4">
        <v>45279</v>
      </c>
      <c r="B560" s="5">
        <v>153.59</v>
      </c>
      <c r="C560" s="5">
        <v>154.47999999999999</v>
      </c>
      <c r="D560" s="5">
        <v>152.44999999999999</v>
      </c>
      <c r="E560" s="5">
        <v>153.6</v>
      </c>
      <c r="F560" s="6">
        <v>5476837</v>
      </c>
    </row>
    <row r="561" spans="1:6" x14ac:dyDescent="0.2">
      <c r="A561" s="4">
        <v>45280</v>
      </c>
      <c r="B561" s="5">
        <v>153.99</v>
      </c>
      <c r="C561" s="5">
        <v>154.21</v>
      </c>
      <c r="D561" s="5">
        <v>151.54</v>
      </c>
      <c r="E561" s="5">
        <v>151.69</v>
      </c>
      <c r="F561" s="6">
        <v>4716407</v>
      </c>
    </row>
    <row r="562" spans="1:6" x14ac:dyDescent="0.2">
      <c r="A562" s="4">
        <v>45281</v>
      </c>
      <c r="B562" s="5">
        <v>152.05000000000001</v>
      </c>
      <c r="C562" s="5">
        <v>152.9136</v>
      </c>
      <c r="D562" s="5">
        <v>151.29</v>
      </c>
      <c r="E562" s="5">
        <v>152.59</v>
      </c>
      <c r="F562" s="6">
        <v>4036192</v>
      </c>
    </row>
    <row r="563" spans="1:6" x14ac:dyDescent="0.2">
      <c r="A563" s="4">
        <v>45282</v>
      </c>
      <c r="B563" s="5">
        <v>153.29</v>
      </c>
      <c r="C563" s="5">
        <v>155.46</v>
      </c>
      <c r="D563" s="5">
        <v>153.0891</v>
      </c>
      <c r="E563" s="5">
        <v>154.94</v>
      </c>
      <c r="F563" s="6">
        <v>3373413</v>
      </c>
    </row>
    <row r="564" spans="1:6" x14ac:dyDescent="0.2">
      <c r="A564" s="4">
        <v>45286</v>
      </c>
      <c r="B564" s="5">
        <v>154.25</v>
      </c>
      <c r="C564" s="5">
        <v>155.28</v>
      </c>
      <c r="D564" s="5">
        <v>154.13</v>
      </c>
      <c r="E564" s="5">
        <v>154.62</v>
      </c>
      <c r="F564" s="6">
        <v>2073611</v>
      </c>
    </row>
    <row r="565" spans="1:6" x14ac:dyDescent="0.2">
      <c r="A565" s="4">
        <v>45287</v>
      </c>
      <c r="B565" s="5">
        <v>154.05000000000001</v>
      </c>
      <c r="C565" s="5">
        <v>154.97</v>
      </c>
      <c r="D565" s="5">
        <v>153.72</v>
      </c>
      <c r="E565" s="5">
        <v>154.88</v>
      </c>
      <c r="F565" s="6">
        <v>3747362</v>
      </c>
    </row>
    <row r="566" spans="1:6" x14ac:dyDescent="0.2">
      <c r="A566" s="4">
        <v>45288</v>
      </c>
      <c r="B566" s="5">
        <v>155.25</v>
      </c>
      <c r="C566" s="5">
        <v>155.63</v>
      </c>
      <c r="D566" s="5">
        <v>154.54</v>
      </c>
      <c r="E566" s="5">
        <v>154.75</v>
      </c>
      <c r="F566" s="6">
        <v>2601447</v>
      </c>
    </row>
    <row r="567" spans="1:6" x14ac:dyDescent="0.2">
      <c r="A567" s="4">
        <v>45289</v>
      </c>
      <c r="B567" s="5">
        <v>154.54</v>
      </c>
      <c r="C567" s="5">
        <v>155.21</v>
      </c>
      <c r="D567" s="5">
        <v>154.41</v>
      </c>
      <c r="E567" s="5">
        <v>154.97</v>
      </c>
      <c r="F567" s="6">
        <v>3712029</v>
      </c>
    </row>
    <row r="568" spans="1:6" x14ac:dyDescent="0.2">
      <c r="A568" s="4">
        <v>45293</v>
      </c>
      <c r="B568" s="5">
        <v>154.9</v>
      </c>
      <c r="C568" s="5">
        <v>160.13999999999999</v>
      </c>
      <c r="D568" s="5">
        <v>154.7704</v>
      </c>
      <c r="E568" s="5">
        <v>159.82</v>
      </c>
      <c r="F568" s="6">
        <v>8059876</v>
      </c>
    </row>
    <row r="569" spans="1:6" x14ac:dyDescent="0.2">
      <c r="A569" s="4">
        <v>45294</v>
      </c>
      <c r="B569" s="5">
        <v>160.59</v>
      </c>
      <c r="C569" s="5">
        <v>161.75</v>
      </c>
      <c r="D569" s="5">
        <v>159.84</v>
      </c>
      <c r="E569" s="5">
        <v>160.46</v>
      </c>
      <c r="F569" s="6">
        <v>5301350</v>
      </c>
    </row>
    <row r="570" spans="1:6" x14ac:dyDescent="0.2">
      <c r="A570" s="4">
        <v>45295</v>
      </c>
      <c r="B570" s="5">
        <v>160.31</v>
      </c>
      <c r="C570" s="5">
        <v>162.29</v>
      </c>
      <c r="D570" s="5">
        <v>159.43</v>
      </c>
      <c r="E570" s="5">
        <v>161.46</v>
      </c>
      <c r="F570" s="6">
        <v>8332192</v>
      </c>
    </row>
    <row r="571" spans="1:6" x14ac:dyDescent="0.2">
      <c r="A571" s="4">
        <v>45296</v>
      </c>
      <c r="B571" s="5">
        <v>161.33000000000001</v>
      </c>
      <c r="C571" s="5">
        <v>163.03</v>
      </c>
      <c r="D571" s="5">
        <v>160.6086</v>
      </c>
      <c r="E571" s="5">
        <v>162.13999999999999</v>
      </c>
      <c r="F571" s="6">
        <v>4853039</v>
      </c>
    </row>
    <row r="572" spans="1:6" x14ac:dyDescent="0.2">
      <c r="A572" s="4">
        <v>45299</v>
      </c>
      <c r="B572" s="5">
        <v>162.18</v>
      </c>
      <c r="C572" s="5">
        <v>162.77000000000001</v>
      </c>
      <c r="D572" s="5">
        <v>159.77860000000001</v>
      </c>
      <c r="E572" s="5">
        <v>161.43</v>
      </c>
      <c r="F572" s="6">
        <v>6001632</v>
      </c>
    </row>
    <row r="573" spans="1:6" x14ac:dyDescent="0.2">
      <c r="A573" s="4">
        <v>45300</v>
      </c>
      <c r="B573" s="5">
        <v>161.43</v>
      </c>
      <c r="C573" s="5">
        <v>163.47</v>
      </c>
      <c r="D573" s="5">
        <v>160.83500000000001</v>
      </c>
      <c r="E573" s="5">
        <v>162.31</v>
      </c>
      <c r="F573" s="6">
        <v>4454130</v>
      </c>
    </row>
    <row r="574" spans="1:6" x14ac:dyDescent="0.2">
      <c r="A574" s="4">
        <v>45301</v>
      </c>
      <c r="B574" s="5">
        <v>162.27000000000001</v>
      </c>
      <c r="C574" s="5">
        <v>165.08</v>
      </c>
      <c r="D574" s="5">
        <v>161.88</v>
      </c>
      <c r="E574" s="5">
        <v>164.89</v>
      </c>
      <c r="F574" s="6">
        <v>6609876</v>
      </c>
    </row>
    <row r="575" spans="1:6" x14ac:dyDescent="0.2">
      <c r="A575" s="4">
        <v>45302</v>
      </c>
      <c r="B575" s="5">
        <v>164.25</v>
      </c>
      <c r="C575" s="5">
        <v>165.12</v>
      </c>
      <c r="D575" s="5">
        <v>163.08600000000001</v>
      </c>
      <c r="E575" s="5">
        <v>163.78</v>
      </c>
      <c r="F575" s="6">
        <v>4591523</v>
      </c>
    </row>
    <row r="576" spans="1:6" x14ac:dyDescent="0.2">
      <c r="A576" s="4">
        <v>45303</v>
      </c>
      <c r="B576" s="5">
        <v>162.75</v>
      </c>
      <c r="C576" s="5">
        <v>163.30000000000001</v>
      </c>
      <c r="D576" s="5">
        <v>162.18</v>
      </c>
      <c r="E576" s="5">
        <v>162.4</v>
      </c>
      <c r="F576" s="6">
        <v>4971442</v>
      </c>
    </row>
    <row r="577" spans="1:6" x14ac:dyDescent="0.2">
      <c r="A577" s="4">
        <v>45307</v>
      </c>
      <c r="B577" s="5">
        <v>161.97999999999999</v>
      </c>
      <c r="C577" s="5">
        <v>162.30000000000001</v>
      </c>
      <c r="D577" s="5">
        <v>161.02000000000001</v>
      </c>
      <c r="E577" s="5">
        <v>161.47999999999999</v>
      </c>
      <c r="F577" s="6">
        <v>4747730</v>
      </c>
    </row>
    <row r="578" spans="1:6" x14ac:dyDescent="0.2">
      <c r="A578" s="4">
        <v>45308</v>
      </c>
      <c r="B578" s="5">
        <v>161.75</v>
      </c>
      <c r="C578" s="5">
        <v>162.94970000000001</v>
      </c>
      <c r="D578" s="5">
        <v>161.52000000000001</v>
      </c>
      <c r="E578" s="5">
        <v>162.04</v>
      </c>
      <c r="F578" s="6">
        <v>4423158</v>
      </c>
    </row>
    <row r="579" spans="1:6" x14ac:dyDescent="0.2">
      <c r="A579" s="4">
        <v>45309</v>
      </c>
      <c r="B579" s="5">
        <v>161.16</v>
      </c>
      <c r="C579" s="5">
        <v>163.655</v>
      </c>
      <c r="D579" s="5">
        <v>161</v>
      </c>
      <c r="E579" s="5">
        <v>163.30000000000001</v>
      </c>
      <c r="F579" s="6">
        <v>5074330</v>
      </c>
    </row>
    <row r="580" spans="1:6" x14ac:dyDescent="0.2">
      <c r="A580" s="4">
        <v>45310</v>
      </c>
      <c r="B580" s="5">
        <v>163.91</v>
      </c>
      <c r="C580" s="5">
        <v>164.87</v>
      </c>
      <c r="D580" s="5">
        <v>162.6</v>
      </c>
      <c r="E580" s="5">
        <v>164.77</v>
      </c>
      <c r="F580" s="6">
        <v>5863150</v>
      </c>
    </row>
    <row r="581" spans="1:6" x14ac:dyDescent="0.2">
      <c r="A581" s="4">
        <v>45313</v>
      </c>
      <c r="B581" s="5">
        <v>164.44</v>
      </c>
      <c r="C581" s="5">
        <v>165.45</v>
      </c>
      <c r="D581" s="5">
        <v>163.76</v>
      </c>
      <c r="E581" s="5">
        <v>165.39</v>
      </c>
      <c r="F581" s="6">
        <v>4864044</v>
      </c>
    </row>
    <row r="582" spans="1:6" x14ac:dyDescent="0.2">
      <c r="A582" s="4">
        <v>45314</v>
      </c>
      <c r="B582" s="5">
        <v>164.45</v>
      </c>
      <c r="C582" s="5">
        <v>167.53</v>
      </c>
      <c r="D582" s="5">
        <v>164.06</v>
      </c>
      <c r="E582" s="5">
        <v>167.5</v>
      </c>
      <c r="F582" s="6">
        <v>5784885</v>
      </c>
    </row>
    <row r="583" spans="1:6" x14ac:dyDescent="0.2">
      <c r="A583" s="4">
        <v>45315</v>
      </c>
      <c r="B583" s="5">
        <v>167.77</v>
      </c>
      <c r="C583" s="5">
        <v>167.95</v>
      </c>
      <c r="D583" s="5">
        <v>164.06</v>
      </c>
      <c r="E583" s="5">
        <v>164.22</v>
      </c>
      <c r="F583" s="6">
        <v>5422244</v>
      </c>
    </row>
    <row r="584" spans="1:6" x14ac:dyDescent="0.2">
      <c r="A584" s="4">
        <v>45316</v>
      </c>
      <c r="B584" s="5">
        <v>164</v>
      </c>
      <c r="C584" s="5">
        <v>165.21</v>
      </c>
      <c r="D584" s="5">
        <v>163.19999999999999</v>
      </c>
      <c r="E584" s="5">
        <v>165.13</v>
      </c>
      <c r="F584" s="6">
        <v>4465939</v>
      </c>
    </row>
    <row r="585" spans="1:6" x14ac:dyDescent="0.2">
      <c r="A585" s="4">
        <v>45317</v>
      </c>
      <c r="B585" s="5">
        <v>165.27</v>
      </c>
      <c r="C585" s="5">
        <v>165.86</v>
      </c>
      <c r="D585" s="5">
        <v>163.5</v>
      </c>
      <c r="E585" s="5">
        <v>164.4</v>
      </c>
      <c r="F585" s="6">
        <v>4654408</v>
      </c>
    </row>
    <row r="586" spans="1:6" x14ac:dyDescent="0.2">
      <c r="A586" s="4">
        <v>45320</v>
      </c>
      <c r="B586" s="5">
        <v>165.85</v>
      </c>
      <c r="C586" s="5">
        <v>166.76</v>
      </c>
      <c r="D586" s="5">
        <v>163.68</v>
      </c>
      <c r="E586" s="5">
        <v>163.91</v>
      </c>
      <c r="F586" s="6">
        <v>4704269</v>
      </c>
    </row>
    <row r="587" spans="1:6" x14ac:dyDescent="0.2">
      <c r="A587" s="4">
        <v>45321</v>
      </c>
      <c r="B587" s="5">
        <v>164.22</v>
      </c>
      <c r="C587" s="5">
        <v>164.98</v>
      </c>
      <c r="D587" s="5">
        <v>163.26</v>
      </c>
      <c r="E587" s="5">
        <v>164.92</v>
      </c>
      <c r="F587" s="6">
        <v>3819615</v>
      </c>
    </row>
    <row r="588" spans="1:6" x14ac:dyDescent="0.2">
      <c r="A588" s="4">
        <v>45322</v>
      </c>
      <c r="B588" s="5">
        <v>165.75</v>
      </c>
      <c r="C588" s="5">
        <v>165.85990000000001</v>
      </c>
      <c r="D588" s="5">
        <v>163.95</v>
      </c>
      <c r="E588" s="5">
        <v>164.4</v>
      </c>
      <c r="F588" s="6">
        <v>4994053</v>
      </c>
    </row>
    <row r="589" spans="1:6" x14ac:dyDescent="0.2">
      <c r="A589" s="4">
        <v>45323</v>
      </c>
      <c r="B589" s="5">
        <v>163.69999999999999</v>
      </c>
      <c r="C589" s="5">
        <v>167.68</v>
      </c>
      <c r="D589" s="5">
        <v>162.66999999999999</v>
      </c>
      <c r="E589" s="5">
        <v>167.59</v>
      </c>
      <c r="F589" s="6">
        <v>5584434</v>
      </c>
    </row>
    <row r="590" spans="1:6" x14ac:dyDescent="0.2">
      <c r="A590" s="4">
        <v>45324</v>
      </c>
      <c r="B590" s="5">
        <v>169.42</v>
      </c>
      <c r="C590" s="5">
        <v>172.85</v>
      </c>
      <c r="D590" s="5">
        <v>165.23</v>
      </c>
      <c r="E590" s="5">
        <v>168.67</v>
      </c>
      <c r="F590" s="6">
        <v>7870521</v>
      </c>
    </row>
    <row r="591" spans="1:6" x14ac:dyDescent="0.2">
      <c r="A591" s="4">
        <v>45327</v>
      </c>
      <c r="B591" s="5">
        <v>169.84</v>
      </c>
      <c r="C591" s="5">
        <v>173.13</v>
      </c>
      <c r="D591" s="5">
        <v>168.45</v>
      </c>
      <c r="E591" s="5">
        <v>171.26</v>
      </c>
      <c r="F591" s="6">
        <v>6486886</v>
      </c>
    </row>
    <row r="592" spans="1:6" x14ac:dyDescent="0.2">
      <c r="A592" s="4">
        <v>45328</v>
      </c>
      <c r="B592" s="5">
        <v>171.65</v>
      </c>
      <c r="C592" s="5">
        <v>173.96</v>
      </c>
      <c r="D592" s="5">
        <v>169.77</v>
      </c>
      <c r="E592" s="5">
        <v>173.29</v>
      </c>
      <c r="F592" s="6">
        <v>7038000</v>
      </c>
    </row>
    <row r="593" spans="1:6" x14ac:dyDescent="0.2">
      <c r="A593" s="4">
        <v>45329</v>
      </c>
      <c r="B593" s="5">
        <v>174.01</v>
      </c>
      <c r="C593" s="5">
        <v>175.56</v>
      </c>
      <c r="D593" s="5">
        <v>173.32</v>
      </c>
      <c r="E593" s="5">
        <v>175.01</v>
      </c>
      <c r="F593" s="6">
        <v>6409084</v>
      </c>
    </row>
    <row r="594" spans="1:6" x14ac:dyDescent="0.2">
      <c r="A594" s="4">
        <v>45330</v>
      </c>
      <c r="B594" s="5">
        <v>174.35</v>
      </c>
      <c r="C594" s="5">
        <v>175.91</v>
      </c>
      <c r="D594" s="5">
        <v>174.3</v>
      </c>
      <c r="E594" s="5">
        <v>174.79</v>
      </c>
      <c r="F594" s="6">
        <v>5709326</v>
      </c>
    </row>
    <row r="595" spans="1:6" x14ac:dyDescent="0.2">
      <c r="A595" s="4">
        <v>45331</v>
      </c>
      <c r="B595" s="5">
        <v>175.07</v>
      </c>
      <c r="C595" s="5">
        <v>175.4</v>
      </c>
      <c r="D595" s="5">
        <v>173.05</v>
      </c>
      <c r="E595" s="5">
        <v>174.08</v>
      </c>
      <c r="F595" s="6">
        <v>3502661</v>
      </c>
    </row>
    <row r="596" spans="1:6" x14ac:dyDescent="0.2">
      <c r="A596" s="4">
        <v>45334</v>
      </c>
      <c r="B596" s="5">
        <v>173.54</v>
      </c>
      <c r="C596" s="5">
        <v>174.76</v>
      </c>
      <c r="D596" s="5">
        <v>172.23</v>
      </c>
      <c r="E596" s="5">
        <v>173.07</v>
      </c>
      <c r="F596" s="6">
        <v>3477198</v>
      </c>
    </row>
    <row r="597" spans="1:6" x14ac:dyDescent="0.2">
      <c r="A597" s="4">
        <v>45335</v>
      </c>
      <c r="B597" s="5">
        <v>174.46</v>
      </c>
      <c r="C597" s="5">
        <v>175.2</v>
      </c>
      <c r="D597" s="5">
        <v>171.965</v>
      </c>
      <c r="E597" s="5">
        <v>173.29</v>
      </c>
      <c r="F597" s="6">
        <v>5480551</v>
      </c>
    </row>
    <row r="598" spans="1:6" x14ac:dyDescent="0.2">
      <c r="A598" s="4">
        <v>45336</v>
      </c>
      <c r="B598" s="5">
        <v>173.06</v>
      </c>
      <c r="C598" s="5">
        <v>174.86</v>
      </c>
      <c r="D598" s="5">
        <v>172.68</v>
      </c>
      <c r="E598" s="5">
        <v>174.42</v>
      </c>
      <c r="F598" s="6">
        <v>4348610</v>
      </c>
    </row>
    <row r="599" spans="1:6" x14ac:dyDescent="0.2">
      <c r="A599" s="4">
        <v>45337</v>
      </c>
      <c r="B599" s="5">
        <v>174.02</v>
      </c>
      <c r="C599" s="5">
        <v>176.73500000000001</v>
      </c>
      <c r="D599" s="5">
        <v>173.81</v>
      </c>
      <c r="E599" s="5">
        <v>176.59</v>
      </c>
      <c r="F599" s="6">
        <v>5276243</v>
      </c>
    </row>
    <row r="600" spans="1:6" x14ac:dyDescent="0.2">
      <c r="A600" s="4">
        <v>45338</v>
      </c>
      <c r="B600" s="5">
        <v>176.89</v>
      </c>
      <c r="C600" s="5">
        <v>178.92</v>
      </c>
      <c r="D600" s="5">
        <v>176.07</v>
      </c>
      <c r="E600" s="5">
        <v>177.49</v>
      </c>
      <c r="F600" s="6">
        <v>6689902</v>
      </c>
    </row>
    <row r="601" spans="1:6" x14ac:dyDescent="0.2">
      <c r="A601" s="4">
        <v>45342</v>
      </c>
      <c r="B601" s="5">
        <v>175.83</v>
      </c>
      <c r="C601" s="5">
        <v>178.68</v>
      </c>
      <c r="D601" s="5">
        <v>175.52</v>
      </c>
      <c r="E601" s="5">
        <v>175.75</v>
      </c>
      <c r="F601" s="6">
        <v>5484327</v>
      </c>
    </row>
    <row r="602" spans="1:6" x14ac:dyDescent="0.2">
      <c r="A602" s="4">
        <v>45343</v>
      </c>
      <c r="B602" s="5">
        <v>176.29</v>
      </c>
      <c r="C602" s="5">
        <v>176.625</v>
      </c>
      <c r="D602" s="5">
        <v>173.5</v>
      </c>
      <c r="E602" s="5">
        <v>175.14</v>
      </c>
      <c r="F602" s="6">
        <v>3819124</v>
      </c>
    </row>
    <row r="603" spans="1:6" x14ac:dyDescent="0.2">
      <c r="A603" s="4">
        <v>45344</v>
      </c>
      <c r="B603" s="5">
        <v>174.78</v>
      </c>
      <c r="C603" s="5">
        <v>177.34</v>
      </c>
      <c r="D603" s="5">
        <v>173.14</v>
      </c>
      <c r="E603" s="5">
        <v>176.75</v>
      </c>
      <c r="F603" s="6">
        <v>4852394</v>
      </c>
    </row>
    <row r="604" spans="1:6" x14ac:dyDescent="0.2">
      <c r="A604" s="4">
        <v>45345</v>
      </c>
      <c r="B604" s="5">
        <v>177.26</v>
      </c>
      <c r="C604" s="5">
        <v>178.905</v>
      </c>
      <c r="D604" s="5">
        <v>177.011</v>
      </c>
      <c r="E604" s="5">
        <v>178.09</v>
      </c>
      <c r="F604" s="6">
        <v>3941923</v>
      </c>
    </row>
    <row r="605" spans="1:6" x14ac:dyDescent="0.2">
      <c r="A605" s="4">
        <v>45348</v>
      </c>
      <c r="B605" s="5">
        <v>178.84</v>
      </c>
      <c r="C605" s="5">
        <v>179.79</v>
      </c>
      <c r="D605" s="5">
        <v>178</v>
      </c>
      <c r="E605" s="5">
        <v>178.81</v>
      </c>
      <c r="F605" s="6">
        <v>4327400</v>
      </c>
    </row>
    <row r="606" spans="1:6" x14ac:dyDescent="0.2">
      <c r="A606" s="4">
        <v>45349</v>
      </c>
      <c r="B606" s="5">
        <v>178.77</v>
      </c>
      <c r="C606" s="5">
        <v>179.53</v>
      </c>
      <c r="D606" s="5">
        <v>176.98</v>
      </c>
      <c r="E606" s="5">
        <v>178.99</v>
      </c>
      <c r="F606" s="6">
        <v>3888566</v>
      </c>
    </row>
    <row r="607" spans="1:6" x14ac:dyDescent="0.2">
      <c r="A607" s="4">
        <v>45350</v>
      </c>
      <c r="B607" s="5">
        <v>179.85</v>
      </c>
      <c r="C607" s="5">
        <v>179.89</v>
      </c>
      <c r="D607" s="5">
        <v>176.89</v>
      </c>
      <c r="E607" s="5">
        <v>178</v>
      </c>
      <c r="F607" s="6">
        <v>4326102</v>
      </c>
    </row>
    <row r="608" spans="1:6" x14ac:dyDescent="0.2">
      <c r="A608" s="4">
        <v>45351</v>
      </c>
      <c r="B608" s="5">
        <v>177.86500000000001</v>
      </c>
      <c r="C608" s="5">
        <v>178.02</v>
      </c>
      <c r="D608" s="5">
        <v>175.39</v>
      </c>
      <c r="E608" s="5">
        <v>176.05</v>
      </c>
      <c r="F608" s="6">
        <v>7485722</v>
      </c>
    </row>
    <row r="609" spans="1:6" x14ac:dyDescent="0.2">
      <c r="A609" s="4">
        <v>45352</v>
      </c>
      <c r="B609" s="5">
        <v>176.05</v>
      </c>
      <c r="C609" s="5">
        <v>179.19</v>
      </c>
      <c r="D609" s="5">
        <v>175.75</v>
      </c>
      <c r="E609" s="5">
        <v>178.91</v>
      </c>
      <c r="F609" s="6">
        <v>4028935</v>
      </c>
    </row>
    <row r="610" spans="1:6" x14ac:dyDescent="0.2">
      <c r="A610" s="4">
        <v>45355</v>
      </c>
      <c r="B610" s="5">
        <v>178.35</v>
      </c>
      <c r="C610" s="5">
        <v>179.98</v>
      </c>
      <c r="D610" s="5">
        <v>176.28</v>
      </c>
      <c r="E610" s="5">
        <v>177.05</v>
      </c>
      <c r="F610" s="6">
        <v>4723582</v>
      </c>
    </row>
    <row r="611" spans="1:6" x14ac:dyDescent="0.2">
      <c r="A611" s="4">
        <v>45356</v>
      </c>
      <c r="B611" s="5">
        <v>177.79</v>
      </c>
      <c r="C611" s="5">
        <v>179.59</v>
      </c>
      <c r="D611" s="5">
        <v>177.79</v>
      </c>
      <c r="E611" s="5">
        <v>179.16</v>
      </c>
      <c r="F611" s="6">
        <v>5309903</v>
      </c>
    </row>
    <row r="612" spans="1:6" x14ac:dyDescent="0.2">
      <c r="A612" s="4">
        <v>45357</v>
      </c>
      <c r="B612" s="5">
        <v>178.4</v>
      </c>
      <c r="C612" s="5">
        <v>182.16</v>
      </c>
      <c r="D612" s="5">
        <v>178.1</v>
      </c>
      <c r="E612" s="5">
        <v>181.06</v>
      </c>
      <c r="F612" s="6">
        <v>6047148</v>
      </c>
    </row>
    <row r="613" spans="1:6" x14ac:dyDescent="0.2">
      <c r="A613" s="4">
        <v>45358</v>
      </c>
      <c r="B613" s="5">
        <v>182.19</v>
      </c>
      <c r="C613" s="5">
        <v>182.42</v>
      </c>
      <c r="D613" s="5">
        <v>179.54</v>
      </c>
      <c r="E613" s="5">
        <v>180.57</v>
      </c>
      <c r="F613" s="6">
        <v>6125187</v>
      </c>
    </row>
    <row r="614" spans="1:6" x14ac:dyDescent="0.2">
      <c r="A614" s="4">
        <v>45359</v>
      </c>
      <c r="B614" s="5">
        <v>179.74</v>
      </c>
      <c r="C614" s="5">
        <v>182.14</v>
      </c>
      <c r="D614" s="5">
        <v>178.68</v>
      </c>
      <c r="E614" s="5">
        <v>178.85</v>
      </c>
      <c r="F614" s="6">
        <v>6195824</v>
      </c>
    </row>
    <row r="615" spans="1:6" x14ac:dyDescent="0.2">
      <c r="A615" s="4">
        <v>45362</v>
      </c>
      <c r="B615" s="5">
        <v>178.41</v>
      </c>
      <c r="C615" s="5">
        <v>181.26</v>
      </c>
      <c r="D615" s="5">
        <v>178.24</v>
      </c>
      <c r="E615" s="5">
        <v>179.63</v>
      </c>
      <c r="F615" s="6">
        <v>5134817</v>
      </c>
    </row>
    <row r="616" spans="1:6" x14ac:dyDescent="0.2">
      <c r="A616" s="4">
        <v>45363</v>
      </c>
      <c r="B616" s="5">
        <v>179.72</v>
      </c>
      <c r="C616" s="5">
        <v>182.89</v>
      </c>
      <c r="D616" s="5">
        <v>179.69</v>
      </c>
      <c r="E616" s="5">
        <v>180.92</v>
      </c>
      <c r="F616" s="6">
        <v>5391070</v>
      </c>
    </row>
    <row r="617" spans="1:6" x14ac:dyDescent="0.2">
      <c r="A617" s="4">
        <v>45364</v>
      </c>
      <c r="B617" s="5">
        <v>182.5</v>
      </c>
      <c r="C617" s="5">
        <v>182.51</v>
      </c>
      <c r="D617" s="5">
        <v>179.42</v>
      </c>
      <c r="E617" s="5">
        <v>179.86</v>
      </c>
      <c r="F617" s="6">
        <v>5987932</v>
      </c>
    </row>
    <row r="618" spans="1:6" x14ac:dyDescent="0.2">
      <c r="A618" s="4">
        <v>45365</v>
      </c>
      <c r="B618" s="5">
        <v>180.155</v>
      </c>
      <c r="C618" s="5">
        <v>182.04</v>
      </c>
      <c r="D618" s="5">
        <v>178.66</v>
      </c>
      <c r="E618" s="5">
        <v>181.2</v>
      </c>
      <c r="F618" s="6">
        <v>6999445</v>
      </c>
    </row>
    <row r="619" spans="1:6" x14ac:dyDescent="0.2">
      <c r="A619" s="4">
        <v>45366</v>
      </c>
      <c r="B619" s="5">
        <v>179.84</v>
      </c>
      <c r="C619" s="5">
        <v>180.58</v>
      </c>
      <c r="D619" s="5">
        <v>177.54</v>
      </c>
      <c r="E619" s="5">
        <v>177.88</v>
      </c>
      <c r="F619" s="6">
        <v>20957950</v>
      </c>
    </row>
    <row r="620" spans="1:6" x14ac:dyDescent="0.2">
      <c r="A620" s="4">
        <v>45369</v>
      </c>
      <c r="B620" s="5">
        <v>179.01</v>
      </c>
      <c r="C620" s="5">
        <v>179.88</v>
      </c>
      <c r="D620" s="5">
        <v>177.565</v>
      </c>
      <c r="E620" s="5">
        <v>178.49</v>
      </c>
      <c r="F620" s="6">
        <v>8569244</v>
      </c>
    </row>
    <row r="621" spans="1:6" x14ac:dyDescent="0.2">
      <c r="A621" s="4">
        <v>45370</v>
      </c>
      <c r="B621" s="5">
        <v>178.19</v>
      </c>
      <c r="C621" s="5">
        <v>179.93</v>
      </c>
      <c r="D621" s="5">
        <v>178.19</v>
      </c>
      <c r="E621" s="5">
        <v>179.66</v>
      </c>
      <c r="F621" s="6">
        <v>7625613</v>
      </c>
    </row>
    <row r="622" spans="1:6" x14ac:dyDescent="0.2">
      <c r="A622" s="4">
        <v>45371</v>
      </c>
      <c r="B622" s="5">
        <v>179.22</v>
      </c>
      <c r="C622" s="5">
        <v>179.23</v>
      </c>
      <c r="D622" s="5">
        <v>175.73</v>
      </c>
      <c r="E622" s="5">
        <v>176.27</v>
      </c>
      <c r="F622" s="6">
        <v>7326558</v>
      </c>
    </row>
    <row r="623" spans="1:6" x14ac:dyDescent="0.2">
      <c r="A623" s="4">
        <v>45372</v>
      </c>
      <c r="B623" s="5">
        <v>176.81</v>
      </c>
      <c r="C623" s="5">
        <v>177.74</v>
      </c>
      <c r="D623" s="5">
        <v>175.875</v>
      </c>
      <c r="E623" s="5">
        <v>177.5</v>
      </c>
      <c r="F623" s="6">
        <v>5743564</v>
      </c>
    </row>
    <row r="624" spans="1:6" x14ac:dyDescent="0.2">
      <c r="A624" s="4">
        <v>45373</v>
      </c>
      <c r="B624" s="5">
        <v>177.23</v>
      </c>
      <c r="C624" s="5">
        <v>178.99</v>
      </c>
      <c r="D624" s="5">
        <v>176.78</v>
      </c>
      <c r="E624" s="5">
        <v>178.45</v>
      </c>
      <c r="F624" s="6">
        <v>4084352</v>
      </c>
    </row>
    <row r="625" spans="1:6" x14ac:dyDescent="0.2">
      <c r="A625" s="4">
        <v>45376</v>
      </c>
      <c r="B625" s="5">
        <v>179</v>
      </c>
      <c r="C625" s="5">
        <v>179.2</v>
      </c>
      <c r="D625" s="5">
        <v>178.125</v>
      </c>
      <c r="E625" s="5">
        <v>178.53</v>
      </c>
      <c r="F625" s="6">
        <v>4366502</v>
      </c>
    </row>
    <row r="626" spans="1:6" x14ac:dyDescent="0.2">
      <c r="A626" s="4">
        <v>45377</v>
      </c>
      <c r="B626" s="5">
        <v>179.23</v>
      </c>
      <c r="C626" s="5">
        <v>179.77</v>
      </c>
      <c r="D626" s="5">
        <v>178.38</v>
      </c>
      <c r="E626" s="5">
        <v>179.19</v>
      </c>
      <c r="F626" s="6">
        <v>4392427</v>
      </c>
    </row>
    <row r="627" spans="1:6" x14ac:dyDescent="0.2">
      <c r="A627" s="4">
        <v>45378</v>
      </c>
      <c r="B627" s="5">
        <v>179.8</v>
      </c>
      <c r="C627" s="5">
        <v>180.58</v>
      </c>
      <c r="D627" s="5">
        <v>178.81</v>
      </c>
      <c r="E627" s="5">
        <v>180.35</v>
      </c>
      <c r="F627" s="6">
        <v>5073508</v>
      </c>
    </row>
    <row r="628" spans="1:6" x14ac:dyDescent="0.2">
      <c r="A628" s="4">
        <v>45379</v>
      </c>
      <c r="B628" s="5">
        <v>181</v>
      </c>
      <c r="C628" s="5">
        <v>182.3</v>
      </c>
      <c r="D628" s="5">
        <v>180.3</v>
      </c>
      <c r="E628" s="5">
        <v>182.1</v>
      </c>
      <c r="F628" s="6">
        <v>5418687</v>
      </c>
    </row>
    <row r="629" spans="1:6" x14ac:dyDescent="0.2">
      <c r="A629" s="4">
        <v>45383</v>
      </c>
      <c r="B629" s="5">
        <v>181.88</v>
      </c>
      <c r="C629" s="5">
        <v>181.9</v>
      </c>
      <c r="D629" s="5">
        <v>179.24</v>
      </c>
      <c r="E629" s="5">
        <v>180.76</v>
      </c>
      <c r="F629" s="6">
        <v>3502141</v>
      </c>
    </row>
    <row r="630" spans="1:6" x14ac:dyDescent="0.2">
      <c r="A630" s="4">
        <v>45384</v>
      </c>
      <c r="B630" s="5">
        <v>179.39</v>
      </c>
      <c r="C630" s="5">
        <v>181.03</v>
      </c>
      <c r="D630" s="5">
        <v>178.51</v>
      </c>
      <c r="E630" s="5">
        <v>180.69</v>
      </c>
      <c r="F630" s="6">
        <v>4523931</v>
      </c>
    </row>
    <row r="631" spans="1:6" x14ac:dyDescent="0.2">
      <c r="A631" s="4">
        <v>45385</v>
      </c>
      <c r="B631" s="5">
        <v>180.72</v>
      </c>
      <c r="C631" s="5">
        <v>181.6</v>
      </c>
      <c r="D631" s="5">
        <v>176.6</v>
      </c>
      <c r="E631" s="5">
        <v>177.33</v>
      </c>
      <c r="F631" s="6">
        <v>5892990</v>
      </c>
    </row>
    <row r="632" spans="1:6" x14ac:dyDescent="0.2">
      <c r="A632" s="4">
        <v>45386</v>
      </c>
      <c r="B632" s="5">
        <v>177.65</v>
      </c>
      <c r="C632" s="5">
        <v>177.7</v>
      </c>
      <c r="D632" s="5">
        <v>167.45</v>
      </c>
      <c r="E632" s="5">
        <v>167.9</v>
      </c>
      <c r="F632" s="6">
        <v>10538990</v>
      </c>
    </row>
    <row r="633" spans="1:6" x14ac:dyDescent="0.2">
      <c r="A633" s="4">
        <v>45387</v>
      </c>
      <c r="B633" s="5">
        <v>168</v>
      </c>
      <c r="C633" s="5">
        <v>171.04</v>
      </c>
      <c r="D633" s="5">
        <v>167.29</v>
      </c>
      <c r="E633" s="5">
        <v>170</v>
      </c>
      <c r="F633" s="6">
        <v>7030108</v>
      </c>
    </row>
    <row r="634" spans="1:6" x14ac:dyDescent="0.2">
      <c r="A634" s="4">
        <v>45390</v>
      </c>
      <c r="B634" s="5">
        <v>169.21</v>
      </c>
      <c r="C634" s="5">
        <v>171.97</v>
      </c>
      <c r="D634" s="5">
        <v>168.4</v>
      </c>
      <c r="E634" s="5">
        <v>169.8</v>
      </c>
      <c r="F634" s="6">
        <v>4744996</v>
      </c>
    </row>
    <row r="635" spans="1:6" x14ac:dyDescent="0.2">
      <c r="A635" s="4">
        <v>45391</v>
      </c>
      <c r="B635" s="5">
        <v>169.73</v>
      </c>
      <c r="C635" s="5">
        <v>170.54499999999999</v>
      </c>
      <c r="D635" s="5">
        <v>167.39500000000001</v>
      </c>
      <c r="E635" s="5">
        <v>170.14</v>
      </c>
      <c r="F635" s="6">
        <v>5933987</v>
      </c>
    </row>
    <row r="636" spans="1:6" x14ac:dyDescent="0.2">
      <c r="A636" s="4">
        <v>45392</v>
      </c>
      <c r="B636" s="5">
        <v>168.59</v>
      </c>
      <c r="C636" s="5">
        <v>169.96</v>
      </c>
      <c r="D636" s="5">
        <v>167.36</v>
      </c>
      <c r="E636" s="5">
        <v>169.03</v>
      </c>
      <c r="F636" s="6">
        <v>3231664</v>
      </c>
    </row>
    <row r="637" spans="1:6" x14ac:dyDescent="0.2">
      <c r="A637" s="4">
        <v>45393</v>
      </c>
      <c r="B637" s="5">
        <v>169.2</v>
      </c>
      <c r="C637" s="5">
        <v>169.37</v>
      </c>
      <c r="D637" s="5">
        <v>167.227</v>
      </c>
      <c r="E637" s="5">
        <v>167.52</v>
      </c>
      <c r="F637" s="6">
        <v>3307034</v>
      </c>
    </row>
    <row r="638" spans="1:6" x14ac:dyDescent="0.2">
      <c r="A638" s="4">
        <v>45394</v>
      </c>
      <c r="B638" s="5">
        <v>164.45</v>
      </c>
      <c r="C638" s="5">
        <v>164.45</v>
      </c>
      <c r="D638" s="5">
        <v>160</v>
      </c>
      <c r="E638" s="5">
        <v>162.28</v>
      </c>
      <c r="F638" s="6">
        <v>7029475</v>
      </c>
    </row>
    <row r="639" spans="1:6" x14ac:dyDescent="0.2">
      <c r="A639" s="4">
        <v>45397</v>
      </c>
      <c r="B639" s="5">
        <v>164.52</v>
      </c>
      <c r="C639" s="5">
        <v>164.7</v>
      </c>
      <c r="D639" s="5">
        <v>161.5</v>
      </c>
      <c r="E639" s="5">
        <v>161.66999999999999</v>
      </c>
      <c r="F639" s="6">
        <v>5433730</v>
      </c>
    </row>
    <row r="640" spans="1:6" x14ac:dyDescent="0.2">
      <c r="A640" s="4">
        <v>45398</v>
      </c>
      <c r="B640" s="5">
        <v>162.18</v>
      </c>
      <c r="C640" s="5">
        <v>163.74</v>
      </c>
      <c r="D640" s="5">
        <v>162.0772</v>
      </c>
      <c r="E640" s="5">
        <v>162.54</v>
      </c>
      <c r="F640" s="6">
        <v>4881516</v>
      </c>
    </row>
    <row r="641" spans="1:6" x14ac:dyDescent="0.2">
      <c r="A641" s="4">
        <v>45399</v>
      </c>
      <c r="B641" s="5">
        <v>164.15</v>
      </c>
      <c r="C641" s="5">
        <v>164.74</v>
      </c>
      <c r="D641" s="5">
        <v>163.22999999999999</v>
      </c>
      <c r="E641" s="5">
        <v>164.25</v>
      </c>
      <c r="F641" s="6">
        <v>4792382</v>
      </c>
    </row>
    <row r="642" spans="1:6" x14ac:dyDescent="0.2">
      <c r="A642" s="4">
        <v>45400</v>
      </c>
      <c r="B642" s="5">
        <v>164.96</v>
      </c>
      <c r="C642" s="5">
        <v>167.44</v>
      </c>
      <c r="D642" s="5">
        <v>164.43</v>
      </c>
      <c r="E642" s="5">
        <v>164.66</v>
      </c>
      <c r="F642" s="6">
        <v>4480224</v>
      </c>
    </row>
    <row r="643" spans="1:6" x14ac:dyDescent="0.2">
      <c r="A643" s="4">
        <v>45401</v>
      </c>
      <c r="B643" s="5">
        <v>165.02</v>
      </c>
      <c r="C643" s="5">
        <v>166.6</v>
      </c>
      <c r="D643" s="5">
        <v>163.25</v>
      </c>
      <c r="E643" s="5">
        <v>166.41</v>
      </c>
      <c r="F643" s="6">
        <v>5532492</v>
      </c>
    </row>
    <row r="644" spans="1:6" x14ac:dyDescent="0.2">
      <c r="A644" s="4">
        <v>45404</v>
      </c>
      <c r="B644" s="5">
        <v>167.68</v>
      </c>
      <c r="C644" s="5">
        <v>169.59</v>
      </c>
      <c r="D644" s="5">
        <v>166.92</v>
      </c>
      <c r="E644" s="5">
        <v>167.89</v>
      </c>
      <c r="F644" s="6">
        <v>5580685</v>
      </c>
    </row>
    <row r="645" spans="1:6" x14ac:dyDescent="0.2">
      <c r="A645" s="4">
        <v>45405</v>
      </c>
      <c r="B645" s="5">
        <v>168.59</v>
      </c>
      <c r="C645" s="5">
        <v>170.36500000000001</v>
      </c>
      <c r="D645" s="5">
        <v>168.22</v>
      </c>
      <c r="E645" s="5">
        <v>169.54</v>
      </c>
      <c r="F645" s="6">
        <v>4084105</v>
      </c>
    </row>
    <row r="646" spans="1:6" x14ac:dyDescent="0.2">
      <c r="A646" s="4">
        <v>45406</v>
      </c>
      <c r="B646" s="5">
        <v>168.52</v>
      </c>
      <c r="C646" s="5">
        <v>169.11</v>
      </c>
      <c r="D646" s="5">
        <v>166.74</v>
      </c>
      <c r="E646" s="5">
        <v>167.8</v>
      </c>
      <c r="F646" s="6">
        <v>4074765</v>
      </c>
    </row>
    <row r="647" spans="1:6" x14ac:dyDescent="0.2">
      <c r="A647" s="4">
        <v>45407</v>
      </c>
      <c r="B647" s="5">
        <v>167.66</v>
      </c>
      <c r="C647" s="5">
        <v>169.29</v>
      </c>
      <c r="D647" s="5">
        <v>165.57</v>
      </c>
      <c r="E647" s="5">
        <v>167.29</v>
      </c>
      <c r="F647" s="6">
        <v>5503656</v>
      </c>
    </row>
    <row r="648" spans="1:6" x14ac:dyDescent="0.2">
      <c r="A648" s="4">
        <v>45408</v>
      </c>
      <c r="B648" s="5">
        <v>167.09</v>
      </c>
      <c r="C648" s="5">
        <v>167.46</v>
      </c>
      <c r="D648" s="5">
        <v>157.65</v>
      </c>
      <c r="E648" s="5">
        <v>159.62</v>
      </c>
      <c r="F648" s="6">
        <v>10721740</v>
      </c>
    </row>
    <row r="649" spans="1:6" x14ac:dyDescent="0.2">
      <c r="A649" s="4">
        <v>45411</v>
      </c>
      <c r="B649" s="5">
        <v>159.59</v>
      </c>
      <c r="C649" s="5">
        <v>161.55000000000001</v>
      </c>
      <c r="D649" s="5">
        <v>158.56</v>
      </c>
      <c r="E649" s="5">
        <v>161.52000000000001</v>
      </c>
      <c r="F649" s="6">
        <v>6226196</v>
      </c>
    </row>
    <row r="650" spans="1:6" x14ac:dyDescent="0.2">
      <c r="A650" s="4">
        <v>45412</v>
      </c>
      <c r="B650" s="5">
        <v>161.27000000000001</v>
      </c>
      <c r="C650" s="5">
        <v>163.05000000000001</v>
      </c>
      <c r="D650" s="5">
        <v>159.69</v>
      </c>
      <c r="E650" s="5">
        <v>162.63999999999999</v>
      </c>
      <c r="F650" s="6">
        <v>5484841</v>
      </c>
    </row>
    <row r="651" spans="1:6" x14ac:dyDescent="0.2">
      <c r="A651" s="4">
        <v>45413</v>
      </c>
      <c r="B651" s="5">
        <v>162.09</v>
      </c>
      <c r="C651" s="5">
        <v>163.69229999999999</v>
      </c>
      <c r="D651" s="5">
        <v>161.13999999999999</v>
      </c>
      <c r="E651" s="5">
        <v>161.72</v>
      </c>
      <c r="F651" s="6">
        <v>5178876</v>
      </c>
    </row>
    <row r="652" spans="1:6" x14ac:dyDescent="0.2">
      <c r="A652" s="4">
        <v>45414</v>
      </c>
      <c r="B652" s="5">
        <v>162.16999999999999</v>
      </c>
      <c r="C652" s="5">
        <v>162.44</v>
      </c>
      <c r="D652" s="5">
        <v>158.12</v>
      </c>
      <c r="E652" s="5">
        <v>160.81</v>
      </c>
      <c r="F652" s="6">
        <v>5904251</v>
      </c>
    </row>
    <row r="653" spans="1:6" x14ac:dyDescent="0.2">
      <c r="A653" s="4">
        <v>45415</v>
      </c>
      <c r="B653" s="5">
        <v>161.16</v>
      </c>
      <c r="C653" s="5">
        <v>164.25</v>
      </c>
      <c r="D653" s="5">
        <v>160.74</v>
      </c>
      <c r="E653" s="5">
        <v>163.79</v>
      </c>
      <c r="F653" s="6">
        <v>5850102</v>
      </c>
    </row>
    <row r="654" spans="1:6" x14ac:dyDescent="0.2">
      <c r="A654" s="4">
        <v>45418</v>
      </c>
      <c r="B654" s="5">
        <v>164.41</v>
      </c>
      <c r="C654" s="5">
        <v>164.63460000000001</v>
      </c>
      <c r="D654" s="5">
        <v>161</v>
      </c>
      <c r="E654" s="5">
        <v>162.72999999999999</v>
      </c>
      <c r="F654" s="6">
        <v>5834562</v>
      </c>
    </row>
    <row r="655" spans="1:6" x14ac:dyDescent="0.2">
      <c r="A655" s="4">
        <v>45419</v>
      </c>
      <c r="B655" s="5">
        <v>163.36000000000001</v>
      </c>
      <c r="C655" s="5">
        <v>163.99</v>
      </c>
      <c r="D655" s="5">
        <v>161.88999999999999</v>
      </c>
      <c r="E655" s="5">
        <v>162.55000000000001</v>
      </c>
      <c r="F655" s="6">
        <v>5301668</v>
      </c>
    </row>
    <row r="656" spans="1:6" x14ac:dyDescent="0.2">
      <c r="A656" s="4">
        <v>45420</v>
      </c>
      <c r="B656" s="5">
        <v>162.13999999999999</v>
      </c>
      <c r="C656" s="5">
        <v>162.9</v>
      </c>
      <c r="D656" s="5">
        <v>159.87</v>
      </c>
      <c r="E656" s="5">
        <v>160.44999999999999</v>
      </c>
      <c r="F656" s="6">
        <v>5906701</v>
      </c>
    </row>
    <row r="657" spans="1:6" x14ac:dyDescent="0.2">
      <c r="A657" s="4">
        <v>45421</v>
      </c>
      <c r="B657" s="5">
        <v>160.80500000000001</v>
      </c>
      <c r="C657" s="5">
        <v>161.32</v>
      </c>
      <c r="D657" s="5">
        <v>160.02000000000001</v>
      </c>
      <c r="E657" s="5">
        <v>160.4</v>
      </c>
      <c r="F657" s="6">
        <v>3570072</v>
      </c>
    </row>
    <row r="658" spans="1:6" x14ac:dyDescent="0.2">
      <c r="A658" s="4">
        <v>45422</v>
      </c>
      <c r="B658" s="5">
        <v>160.71</v>
      </c>
      <c r="C658" s="5">
        <v>161.43989999999999</v>
      </c>
      <c r="D658" s="5">
        <v>160.35</v>
      </c>
      <c r="E658" s="5">
        <v>160.75</v>
      </c>
      <c r="F658" s="6">
        <v>3509603</v>
      </c>
    </row>
    <row r="659" spans="1:6" x14ac:dyDescent="0.2">
      <c r="A659" s="4">
        <v>45425</v>
      </c>
      <c r="B659" s="5">
        <v>161.28</v>
      </c>
      <c r="C659" s="5">
        <v>162.57</v>
      </c>
      <c r="D659" s="5">
        <v>160.80000000000001</v>
      </c>
      <c r="E659" s="5">
        <v>161.28</v>
      </c>
      <c r="F659" s="6">
        <v>3505882</v>
      </c>
    </row>
    <row r="660" spans="1:6" x14ac:dyDescent="0.2">
      <c r="A660" s="4">
        <v>45426</v>
      </c>
      <c r="B660" s="5">
        <v>161.65</v>
      </c>
      <c r="C660" s="5">
        <v>162.25</v>
      </c>
      <c r="D660" s="5">
        <v>159.715</v>
      </c>
      <c r="E660" s="5">
        <v>161.59</v>
      </c>
      <c r="F660" s="6">
        <v>4025032</v>
      </c>
    </row>
    <row r="661" spans="1:6" x14ac:dyDescent="0.2">
      <c r="A661" s="4">
        <v>45427</v>
      </c>
      <c r="B661" s="5">
        <v>162.31</v>
      </c>
      <c r="C661" s="5">
        <v>164.42</v>
      </c>
      <c r="D661" s="5">
        <v>161.87</v>
      </c>
      <c r="E661" s="5">
        <v>163.79</v>
      </c>
      <c r="F661" s="6">
        <v>5261263</v>
      </c>
    </row>
    <row r="662" spans="1:6" x14ac:dyDescent="0.2">
      <c r="A662" s="4">
        <v>45428</v>
      </c>
      <c r="B662" s="5">
        <v>163.44999999999999</v>
      </c>
      <c r="C662" s="5">
        <v>164.93</v>
      </c>
      <c r="D662" s="5">
        <v>162.18</v>
      </c>
      <c r="E662" s="5">
        <v>164.35</v>
      </c>
      <c r="F662" s="6">
        <v>4642038</v>
      </c>
    </row>
    <row r="663" spans="1:6" x14ac:dyDescent="0.2">
      <c r="A663" s="4">
        <v>45429</v>
      </c>
      <c r="B663" s="5">
        <v>165.39</v>
      </c>
      <c r="C663" s="5">
        <v>166.49</v>
      </c>
      <c r="D663" s="5">
        <v>164.49</v>
      </c>
      <c r="E663" s="5">
        <v>166.42</v>
      </c>
      <c r="F663" s="6">
        <v>5152176</v>
      </c>
    </row>
    <row r="664" spans="1:6" x14ac:dyDescent="0.2">
      <c r="A664" s="4">
        <v>45432</v>
      </c>
      <c r="B664" s="5">
        <v>166.01</v>
      </c>
      <c r="C664" s="5">
        <v>166.42</v>
      </c>
      <c r="D664" s="5">
        <v>164.41</v>
      </c>
      <c r="E664" s="5">
        <v>164.56</v>
      </c>
      <c r="F664" s="6">
        <v>3058702</v>
      </c>
    </row>
    <row r="665" spans="1:6" x14ac:dyDescent="0.2">
      <c r="A665" s="4">
        <v>45433</v>
      </c>
      <c r="B665" s="5">
        <v>165.37</v>
      </c>
      <c r="C665" s="5">
        <v>165.70500000000001</v>
      </c>
      <c r="D665" s="5">
        <v>162.5</v>
      </c>
      <c r="E665" s="5">
        <v>162.93</v>
      </c>
      <c r="F665" s="6">
        <v>3645239</v>
      </c>
    </row>
    <row r="666" spans="1:6" x14ac:dyDescent="0.2">
      <c r="A666" s="4">
        <v>45434</v>
      </c>
      <c r="B666" s="5">
        <v>161.57</v>
      </c>
      <c r="C666" s="5">
        <v>161.94</v>
      </c>
      <c r="D666" s="5">
        <v>159.18</v>
      </c>
      <c r="E666" s="5">
        <v>159.61000000000001</v>
      </c>
      <c r="F666" s="6">
        <v>6904915</v>
      </c>
    </row>
    <row r="667" spans="1:6" x14ac:dyDescent="0.2">
      <c r="A667" s="4">
        <v>45435</v>
      </c>
      <c r="B667" s="5">
        <v>159.03</v>
      </c>
      <c r="C667" s="5">
        <v>160.04</v>
      </c>
      <c r="D667" s="5">
        <v>157.76</v>
      </c>
      <c r="E667" s="5">
        <v>158.26</v>
      </c>
      <c r="F667" s="6">
        <v>5672891</v>
      </c>
    </row>
    <row r="668" spans="1:6" x14ac:dyDescent="0.2">
      <c r="A668" s="4">
        <v>45436</v>
      </c>
      <c r="B668" s="5">
        <v>158.36000000000001</v>
      </c>
      <c r="C668" s="5">
        <v>158.78</v>
      </c>
      <c r="D668" s="5">
        <v>156.36000000000001</v>
      </c>
      <c r="E668" s="5">
        <v>157.06</v>
      </c>
      <c r="F668" s="6">
        <v>3691730</v>
      </c>
    </row>
    <row r="669" spans="1:6" x14ac:dyDescent="0.2">
      <c r="A669" s="4">
        <v>45440</v>
      </c>
      <c r="B669" s="5">
        <v>156.35</v>
      </c>
      <c r="C669" s="5">
        <v>156.35</v>
      </c>
      <c r="D669" s="5">
        <v>153.94900000000001</v>
      </c>
      <c r="E669" s="5">
        <v>155.34</v>
      </c>
      <c r="F669" s="6">
        <v>5533467</v>
      </c>
    </row>
    <row r="670" spans="1:6" x14ac:dyDescent="0.2">
      <c r="A670" s="4">
        <v>45441</v>
      </c>
      <c r="B670" s="5">
        <v>154.88999999999999</v>
      </c>
      <c r="C670" s="5">
        <v>156.38</v>
      </c>
      <c r="D670" s="5">
        <v>153.68</v>
      </c>
      <c r="E670" s="5">
        <v>154.79</v>
      </c>
      <c r="F670" s="6">
        <v>4254540</v>
      </c>
    </row>
    <row r="671" spans="1:6" x14ac:dyDescent="0.2">
      <c r="A671" s="4">
        <v>45442</v>
      </c>
      <c r="B671" s="5">
        <v>154.65</v>
      </c>
      <c r="C671" s="5">
        <v>156.43</v>
      </c>
      <c r="D671" s="5">
        <v>153.58000000000001</v>
      </c>
      <c r="E671" s="5">
        <v>156.31</v>
      </c>
      <c r="F671" s="6">
        <v>4311479</v>
      </c>
    </row>
    <row r="672" spans="1:6" x14ac:dyDescent="0.2">
      <c r="A672" s="4">
        <v>45443</v>
      </c>
      <c r="B672" s="5">
        <v>156.65</v>
      </c>
      <c r="C672" s="5">
        <v>161.63999999999999</v>
      </c>
      <c r="D672" s="5">
        <v>156.19999999999999</v>
      </c>
      <c r="E672" s="5">
        <v>161.24</v>
      </c>
      <c r="F672" s="6">
        <v>15664430</v>
      </c>
    </row>
    <row r="673" spans="1:6" x14ac:dyDescent="0.2">
      <c r="A673" s="4">
        <v>45446</v>
      </c>
      <c r="B673" s="5">
        <v>160</v>
      </c>
      <c r="C673" s="5">
        <v>163.19</v>
      </c>
      <c r="D673" s="5">
        <v>158.83000000000001</v>
      </c>
      <c r="E673" s="5">
        <v>160.19</v>
      </c>
      <c r="F673" s="6">
        <v>4467810</v>
      </c>
    </row>
    <row r="674" spans="1:6" x14ac:dyDescent="0.2">
      <c r="A674" s="4">
        <v>45447</v>
      </c>
      <c r="B674" s="5">
        <v>160.19</v>
      </c>
      <c r="C674" s="5">
        <v>162.81</v>
      </c>
      <c r="D674" s="5">
        <v>159.77000000000001</v>
      </c>
      <c r="E674" s="5">
        <v>162.13999999999999</v>
      </c>
      <c r="F674" s="6">
        <v>4215545</v>
      </c>
    </row>
    <row r="675" spans="1:6" x14ac:dyDescent="0.2">
      <c r="A675" s="4">
        <v>45448</v>
      </c>
      <c r="B675" s="5">
        <v>162.9</v>
      </c>
      <c r="C675" s="5">
        <v>165.98</v>
      </c>
      <c r="D675" s="5">
        <v>162.16</v>
      </c>
      <c r="E675" s="5">
        <v>165.44</v>
      </c>
      <c r="F675" s="6">
        <v>5100491</v>
      </c>
    </row>
    <row r="676" spans="1:6" x14ac:dyDescent="0.2">
      <c r="A676" s="4">
        <v>45449</v>
      </c>
      <c r="B676" s="5">
        <v>165.49</v>
      </c>
      <c r="C676" s="5">
        <v>168.88</v>
      </c>
      <c r="D676" s="5">
        <v>164.35</v>
      </c>
      <c r="E676" s="5">
        <v>168.57</v>
      </c>
      <c r="F676" s="6">
        <v>5186713</v>
      </c>
    </row>
    <row r="677" spans="1:6" x14ac:dyDescent="0.2">
      <c r="A677" s="4">
        <v>45450</v>
      </c>
      <c r="B677" s="5">
        <v>169</v>
      </c>
      <c r="C677" s="5">
        <v>170.34</v>
      </c>
      <c r="D677" s="5">
        <v>167.79</v>
      </c>
      <c r="E677" s="5">
        <v>169.42</v>
      </c>
      <c r="F677" s="6">
        <v>3781858</v>
      </c>
    </row>
    <row r="678" spans="1:6" x14ac:dyDescent="0.2">
      <c r="A678" s="4">
        <v>45453</v>
      </c>
      <c r="B678" s="5">
        <v>169</v>
      </c>
      <c r="C678" s="5">
        <v>170.75</v>
      </c>
      <c r="D678" s="5">
        <v>167.69</v>
      </c>
      <c r="E678" s="5">
        <v>170.46</v>
      </c>
      <c r="F678" s="6">
        <v>4247645</v>
      </c>
    </row>
    <row r="679" spans="1:6" x14ac:dyDescent="0.2">
      <c r="A679" s="4">
        <v>45454</v>
      </c>
      <c r="B679" s="5">
        <v>170.25</v>
      </c>
      <c r="C679" s="5">
        <v>170.64</v>
      </c>
      <c r="D679" s="5">
        <v>167.42</v>
      </c>
      <c r="E679" s="5">
        <v>167.7</v>
      </c>
      <c r="F679" s="6">
        <v>3790165</v>
      </c>
    </row>
    <row r="680" spans="1:6" x14ac:dyDescent="0.2">
      <c r="A680" s="4">
        <v>45455</v>
      </c>
      <c r="B680" s="5">
        <v>167.875</v>
      </c>
      <c r="C680" s="5">
        <v>168.535</v>
      </c>
      <c r="D680" s="5">
        <v>165.03</v>
      </c>
      <c r="E680" s="5">
        <v>166.09</v>
      </c>
      <c r="F680" s="6">
        <v>4725634</v>
      </c>
    </row>
    <row r="681" spans="1:6" x14ac:dyDescent="0.2">
      <c r="A681" s="4">
        <v>45456</v>
      </c>
      <c r="B681" s="5">
        <v>166</v>
      </c>
      <c r="C681" s="5">
        <v>166.9</v>
      </c>
      <c r="D681" s="5">
        <v>165</v>
      </c>
      <c r="E681" s="5">
        <v>166.56</v>
      </c>
      <c r="F681" s="6">
        <v>3690807</v>
      </c>
    </row>
    <row r="682" spans="1:6" x14ac:dyDescent="0.2">
      <c r="A682" s="4">
        <v>45457</v>
      </c>
      <c r="B682" s="5">
        <v>166.47</v>
      </c>
      <c r="C682" s="5">
        <v>169.24</v>
      </c>
      <c r="D682" s="5">
        <v>166</v>
      </c>
      <c r="E682" s="5">
        <v>168.59</v>
      </c>
      <c r="F682" s="6">
        <v>4377638</v>
      </c>
    </row>
    <row r="683" spans="1:6" x14ac:dyDescent="0.2">
      <c r="A683" s="4">
        <v>45460</v>
      </c>
      <c r="B683" s="5">
        <v>168.4</v>
      </c>
      <c r="C683" s="5">
        <v>170.4</v>
      </c>
      <c r="D683" s="5">
        <v>167.36</v>
      </c>
      <c r="E683" s="5">
        <v>169.68</v>
      </c>
      <c r="F683" s="6">
        <v>4075952</v>
      </c>
    </row>
    <row r="684" spans="1:6" x14ac:dyDescent="0.2">
      <c r="A684" s="4">
        <v>45461</v>
      </c>
      <c r="B684" s="5">
        <v>170.44</v>
      </c>
      <c r="C684" s="5">
        <v>173.01</v>
      </c>
      <c r="D684" s="5">
        <v>169.87</v>
      </c>
      <c r="E684" s="5">
        <v>171.36</v>
      </c>
      <c r="F684" s="6">
        <v>4250883</v>
      </c>
    </row>
    <row r="685" spans="1:6" x14ac:dyDescent="0.2">
      <c r="A685" s="4">
        <v>45463</v>
      </c>
      <c r="B685" s="5">
        <v>171.18</v>
      </c>
      <c r="C685" s="5">
        <v>172.81</v>
      </c>
      <c r="D685" s="5">
        <v>170.02</v>
      </c>
      <c r="E685" s="5">
        <v>172.13</v>
      </c>
      <c r="F685" s="6">
        <v>5847461</v>
      </c>
    </row>
    <row r="686" spans="1:6" x14ac:dyDescent="0.2">
      <c r="A686" s="4">
        <v>45464</v>
      </c>
      <c r="B686" s="5">
        <v>172.7</v>
      </c>
      <c r="C686" s="5">
        <v>172.93</v>
      </c>
      <c r="D686" s="5">
        <v>169.59</v>
      </c>
      <c r="E686" s="5">
        <v>170.39</v>
      </c>
      <c r="F686" s="6">
        <v>12308050</v>
      </c>
    </row>
    <row r="687" spans="1:6" x14ac:dyDescent="0.2">
      <c r="A687" s="4">
        <v>45467</v>
      </c>
      <c r="B687" s="5">
        <v>171.13</v>
      </c>
      <c r="C687" s="5">
        <v>173.41</v>
      </c>
      <c r="D687" s="5">
        <v>170.7</v>
      </c>
      <c r="E687" s="5">
        <v>172.74</v>
      </c>
      <c r="F687" s="6">
        <v>6249937</v>
      </c>
    </row>
    <row r="688" spans="1:6" x14ac:dyDescent="0.2">
      <c r="A688" s="4">
        <v>45468</v>
      </c>
      <c r="B688" s="5">
        <v>172.1</v>
      </c>
      <c r="C688" s="5">
        <v>173.41</v>
      </c>
      <c r="D688" s="5">
        <v>170.62</v>
      </c>
      <c r="E688" s="5">
        <v>170.75</v>
      </c>
      <c r="F688" s="6">
        <v>5712698</v>
      </c>
    </row>
    <row r="689" spans="1:6" x14ac:dyDescent="0.2">
      <c r="A689" s="4">
        <v>45469</v>
      </c>
      <c r="B689" s="5">
        <v>170.29</v>
      </c>
      <c r="C689" s="5">
        <v>172.35</v>
      </c>
      <c r="D689" s="5">
        <v>170.15</v>
      </c>
      <c r="E689" s="5">
        <v>171.15</v>
      </c>
      <c r="F689" s="6">
        <v>5576094</v>
      </c>
    </row>
    <row r="690" spans="1:6" x14ac:dyDescent="0.2">
      <c r="A690" s="4">
        <v>45470</v>
      </c>
      <c r="B690" s="5">
        <v>171.29</v>
      </c>
      <c r="C690" s="5">
        <v>171.55500000000001</v>
      </c>
      <c r="D690" s="5">
        <v>167.75</v>
      </c>
      <c r="E690" s="5">
        <v>168.99</v>
      </c>
      <c r="F690" s="6">
        <v>5381953</v>
      </c>
    </row>
    <row r="691" spans="1:6" x14ac:dyDescent="0.2">
      <c r="A691" s="4">
        <v>45471</v>
      </c>
      <c r="B691" s="5">
        <v>169.99</v>
      </c>
      <c r="C691" s="5">
        <v>171.82</v>
      </c>
      <c r="D691" s="5">
        <v>169.05</v>
      </c>
      <c r="E691" s="5">
        <v>171.52</v>
      </c>
      <c r="F691" s="6">
        <v>24463600</v>
      </c>
    </row>
    <row r="692" spans="1:6" x14ac:dyDescent="0.2">
      <c r="A692" s="4">
        <v>45474</v>
      </c>
      <c r="B692" s="5">
        <v>171.27</v>
      </c>
      <c r="C692" s="5">
        <v>173.88</v>
      </c>
      <c r="D692" s="5">
        <v>169.535</v>
      </c>
      <c r="E692" s="5">
        <v>170.37</v>
      </c>
      <c r="F692" s="6">
        <v>5194744</v>
      </c>
    </row>
    <row r="693" spans="1:6" x14ac:dyDescent="0.2">
      <c r="A693" s="4">
        <v>45475</v>
      </c>
      <c r="B693" s="5">
        <v>168.63</v>
      </c>
      <c r="C693" s="5">
        <v>168.63</v>
      </c>
      <c r="D693" s="5">
        <v>165.45</v>
      </c>
      <c r="E693" s="5">
        <v>165.96</v>
      </c>
      <c r="F693" s="6">
        <v>5965457</v>
      </c>
    </row>
    <row r="694" spans="1:6" x14ac:dyDescent="0.2">
      <c r="A694" s="4">
        <v>45476</v>
      </c>
      <c r="B694" s="5">
        <v>166.09</v>
      </c>
      <c r="C694" s="5">
        <v>167.1</v>
      </c>
      <c r="D694" s="5">
        <v>163.52000000000001</v>
      </c>
      <c r="E694" s="5">
        <v>163.84</v>
      </c>
      <c r="F694" s="6">
        <v>3527612</v>
      </c>
    </row>
    <row r="695" spans="1:6" x14ac:dyDescent="0.2">
      <c r="A695" s="4">
        <v>45478</v>
      </c>
      <c r="B695" s="5">
        <v>164.72</v>
      </c>
      <c r="C695" s="5">
        <v>167.31</v>
      </c>
      <c r="D695" s="5">
        <v>163.63</v>
      </c>
      <c r="E695" s="5">
        <v>167.25</v>
      </c>
      <c r="F695" s="6">
        <v>5978524</v>
      </c>
    </row>
    <row r="696" spans="1:6" x14ac:dyDescent="0.2">
      <c r="A696" s="4">
        <v>45481</v>
      </c>
      <c r="B696" s="5">
        <v>166.54</v>
      </c>
      <c r="C696" s="5">
        <v>167.71700000000001</v>
      </c>
      <c r="D696" s="5">
        <v>165.62</v>
      </c>
      <c r="E696" s="5">
        <v>166.52</v>
      </c>
      <c r="F696" s="6">
        <v>3500155</v>
      </c>
    </row>
    <row r="697" spans="1:6" x14ac:dyDescent="0.2">
      <c r="A697" s="4">
        <v>45482</v>
      </c>
      <c r="B697" s="5">
        <v>167.02</v>
      </c>
      <c r="C697" s="5">
        <v>168.53</v>
      </c>
      <c r="D697" s="5">
        <v>164.86</v>
      </c>
      <c r="E697" s="5">
        <v>168.05</v>
      </c>
      <c r="F697" s="6">
        <v>4224705</v>
      </c>
    </row>
    <row r="698" spans="1:6" x14ac:dyDescent="0.2">
      <c r="A698" s="4">
        <v>45483</v>
      </c>
      <c r="B698" s="5">
        <v>167.45</v>
      </c>
      <c r="C698" s="5">
        <v>168.45</v>
      </c>
      <c r="D698" s="5">
        <v>166.11009999999999</v>
      </c>
      <c r="E698" s="5">
        <v>168.14</v>
      </c>
      <c r="F698" s="6">
        <v>3887959</v>
      </c>
    </row>
    <row r="699" spans="1:6" x14ac:dyDescent="0.2">
      <c r="A699" s="4">
        <v>45484</v>
      </c>
      <c r="B699" s="5">
        <v>167.52</v>
      </c>
      <c r="C699" s="5">
        <v>170.35</v>
      </c>
      <c r="D699" s="5">
        <v>167.35</v>
      </c>
      <c r="E699" s="5">
        <v>169.91</v>
      </c>
      <c r="F699" s="6">
        <v>3689530</v>
      </c>
    </row>
    <row r="700" spans="1:6" x14ac:dyDescent="0.2">
      <c r="A700" s="4">
        <v>45485</v>
      </c>
      <c r="B700" s="5">
        <v>170.63</v>
      </c>
      <c r="C700" s="5">
        <v>171.625</v>
      </c>
      <c r="D700" s="5">
        <v>169.9</v>
      </c>
      <c r="E700" s="5">
        <v>170.28</v>
      </c>
      <c r="F700" s="6">
        <v>4133520</v>
      </c>
    </row>
    <row r="701" spans="1:6" x14ac:dyDescent="0.2">
      <c r="A701" s="4">
        <v>45488</v>
      </c>
      <c r="B701" s="5">
        <v>168.91</v>
      </c>
      <c r="C701" s="5">
        <v>170.36500000000001</v>
      </c>
      <c r="D701" s="5">
        <v>167.42</v>
      </c>
      <c r="E701" s="5">
        <v>168.03</v>
      </c>
      <c r="F701" s="6">
        <v>2395181</v>
      </c>
    </row>
    <row r="702" spans="1:6" x14ac:dyDescent="0.2">
      <c r="A702" s="4">
        <v>45489</v>
      </c>
      <c r="B702" s="5">
        <v>168.6</v>
      </c>
      <c r="C702" s="5">
        <v>169.85</v>
      </c>
      <c r="D702" s="5">
        <v>167.26</v>
      </c>
      <c r="E702" s="5">
        <v>169.2</v>
      </c>
      <c r="F702" s="6">
        <v>3829646</v>
      </c>
    </row>
    <row r="703" spans="1:6" x14ac:dyDescent="0.2">
      <c r="A703" s="4">
        <v>45490</v>
      </c>
      <c r="B703" s="5">
        <v>169.51</v>
      </c>
      <c r="C703" s="5">
        <v>175.74</v>
      </c>
      <c r="D703" s="5">
        <v>169.51</v>
      </c>
      <c r="E703" s="5">
        <v>175.27</v>
      </c>
      <c r="F703" s="6">
        <v>6983160</v>
      </c>
    </row>
    <row r="704" spans="1:6" x14ac:dyDescent="0.2">
      <c r="A704" s="4">
        <v>45491</v>
      </c>
      <c r="B704" s="5">
        <v>174.44499999999999</v>
      </c>
      <c r="C704" s="5">
        <v>176.68</v>
      </c>
      <c r="D704" s="5">
        <v>170.72</v>
      </c>
      <c r="E704" s="5">
        <v>171.14</v>
      </c>
      <c r="F704" s="6">
        <v>5957924</v>
      </c>
    </row>
    <row r="705" spans="1:6" x14ac:dyDescent="0.2">
      <c r="A705" s="4">
        <v>45492</v>
      </c>
      <c r="B705" s="5">
        <v>173.67</v>
      </c>
      <c r="C705" s="5">
        <v>173.845</v>
      </c>
      <c r="D705" s="5">
        <v>171.22</v>
      </c>
      <c r="E705" s="5">
        <v>172.32</v>
      </c>
      <c r="F705" s="6">
        <v>4293624</v>
      </c>
    </row>
    <row r="706" spans="1:6" x14ac:dyDescent="0.2">
      <c r="A706" s="4">
        <v>45495</v>
      </c>
      <c r="B706" s="5">
        <v>173.32</v>
      </c>
      <c r="C706" s="5">
        <v>174.72989999999999</v>
      </c>
      <c r="D706" s="5">
        <v>172</v>
      </c>
      <c r="E706" s="5">
        <v>173.61</v>
      </c>
      <c r="F706" s="6">
        <v>4066954</v>
      </c>
    </row>
    <row r="707" spans="1:6" x14ac:dyDescent="0.2">
      <c r="A707" s="4">
        <v>45496</v>
      </c>
      <c r="B707" s="5">
        <v>173.32</v>
      </c>
      <c r="C707" s="5">
        <v>174.59</v>
      </c>
      <c r="D707" s="5">
        <v>172.77</v>
      </c>
      <c r="E707" s="5">
        <v>173.15</v>
      </c>
      <c r="F707" s="6">
        <v>2933782</v>
      </c>
    </row>
    <row r="708" spans="1:6" x14ac:dyDescent="0.2">
      <c r="A708" s="4">
        <v>45497</v>
      </c>
      <c r="B708" s="5">
        <v>173.2</v>
      </c>
      <c r="C708" s="5">
        <v>176.6</v>
      </c>
      <c r="D708" s="5">
        <v>172.95</v>
      </c>
      <c r="E708" s="5">
        <v>176.21</v>
      </c>
      <c r="F708" s="6">
        <v>6117697</v>
      </c>
    </row>
    <row r="709" spans="1:6" x14ac:dyDescent="0.2">
      <c r="A709" s="4">
        <v>45498</v>
      </c>
      <c r="B709" s="5">
        <v>177</v>
      </c>
      <c r="C709" s="5">
        <v>186.11</v>
      </c>
      <c r="D709" s="5">
        <v>171.80199999999999</v>
      </c>
      <c r="E709" s="5">
        <v>182.17</v>
      </c>
      <c r="F709" s="6">
        <v>9442179</v>
      </c>
    </row>
    <row r="710" spans="1:6" x14ac:dyDescent="0.2">
      <c r="A710" s="4">
        <v>45499</v>
      </c>
      <c r="B710" s="5">
        <v>183.45</v>
      </c>
      <c r="C710" s="5">
        <v>186.85</v>
      </c>
      <c r="D710" s="5">
        <v>182.11</v>
      </c>
      <c r="E710" s="5">
        <v>185.16</v>
      </c>
      <c r="F710" s="6">
        <v>6948832</v>
      </c>
    </row>
    <row r="711" spans="1:6" x14ac:dyDescent="0.2">
      <c r="A711" s="4">
        <v>45502</v>
      </c>
      <c r="B711" s="5">
        <v>184.04</v>
      </c>
      <c r="C711" s="5">
        <v>186.13</v>
      </c>
      <c r="D711" s="5">
        <v>180.53</v>
      </c>
      <c r="E711" s="5">
        <v>181.94</v>
      </c>
      <c r="F711" s="6">
        <v>5458460</v>
      </c>
    </row>
    <row r="712" spans="1:6" x14ac:dyDescent="0.2">
      <c r="A712" s="4">
        <v>45503</v>
      </c>
      <c r="B712" s="5">
        <v>183.59</v>
      </c>
      <c r="C712" s="5">
        <v>187.71</v>
      </c>
      <c r="D712" s="5">
        <v>182.6</v>
      </c>
      <c r="E712" s="5">
        <v>186.78</v>
      </c>
      <c r="F712" s="6">
        <v>6032165</v>
      </c>
    </row>
    <row r="713" spans="1:6" x14ac:dyDescent="0.2">
      <c r="A713" s="4">
        <v>45504</v>
      </c>
      <c r="B713" s="5">
        <v>186.386</v>
      </c>
      <c r="C713" s="5">
        <v>187.5</v>
      </c>
      <c r="D713" s="5">
        <v>183.45</v>
      </c>
      <c r="E713" s="5">
        <v>185.32</v>
      </c>
      <c r="F713" s="6">
        <v>6473948</v>
      </c>
    </row>
    <row r="714" spans="1:6" x14ac:dyDescent="0.2">
      <c r="A714" s="4">
        <v>45505</v>
      </c>
      <c r="B714" s="5">
        <v>187.77</v>
      </c>
      <c r="C714" s="5">
        <v>190.9699</v>
      </c>
      <c r="D714" s="5">
        <v>186.77</v>
      </c>
      <c r="E714" s="5">
        <v>189.71</v>
      </c>
      <c r="F714" s="6">
        <v>6595545</v>
      </c>
    </row>
    <row r="715" spans="1:6" x14ac:dyDescent="0.2">
      <c r="A715" s="4">
        <v>45506</v>
      </c>
      <c r="B715" s="5">
        <v>190.98</v>
      </c>
      <c r="C715" s="5">
        <v>193.91</v>
      </c>
      <c r="D715" s="5">
        <v>186.46</v>
      </c>
      <c r="E715" s="5">
        <v>189.29</v>
      </c>
      <c r="F715" s="6">
        <v>6303909</v>
      </c>
    </row>
    <row r="716" spans="1:6" x14ac:dyDescent="0.2">
      <c r="A716" s="4">
        <v>45509</v>
      </c>
      <c r="B716" s="5">
        <v>187.45</v>
      </c>
      <c r="C716" s="5">
        <v>189.29</v>
      </c>
      <c r="D716" s="5">
        <v>183.04</v>
      </c>
      <c r="E716" s="5">
        <v>184.36</v>
      </c>
      <c r="F716" s="6">
        <v>6459296</v>
      </c>
    </row>
    <row r="717" spans="1:6" x14ac:dyDescent="0.2">
      <c r="A717" s="4">
        <v>45510</v>
      </c>
      <c r="B717" s="5">
        <v>185.43</v>
      </c>
      <c r="C717" s="5">
        <v>187.82</v>
      </c>
      <c r="D717" s="5">
        <v>183.08</v>
      </c>
      <c r="E717" s="5">
        <v>185.71</v>
      </c>
      <c r="F717" s="6">
        <v>4273301</v>
      </c>
    </row>
    <row r="718" spans="1:6" x14ac:dyDescent="0.2">
      <c r="A718" s="4">
        <v>45511</v>
      </c>
      <c r="B718" s="5">
        <v>187.9</v>
      </c>
      <c r="C718" s="5">
        <v>189.59</v>
      </c>
      <c r="D718" s="5">
        <v>185.97749999999999</v>
      </c>
      <c r="E718" s="5">
        <v>187.51</v>
      </c>
      <c r="F718" s="6">
        <v>6351130</v>
      </c>
    </row>
    <row r="719" spans="1:6" x14ac:dyDescent="0.2">
      <c r="A719" s="4">
        <v>45512</v>
      </c>
      <c r="B719" s="5">
        <v>186.92</v>
      </c>
      <c r="C719" s="5">
        <v>190.71</v>
      </c>
      <c r="D719" s="5">
        <v>186.92</v>
      </c>
      <c r="E719" s="5">
        <v>190.4</v>
      </c>
      <c r="F719" s="6">
        <v>5744889</v>
      </c>
    </row>
    <row r="720" spans="1:6" x14ac:dyDescent="0.2">
      <c r="A720" s="4">
        <v>45513</v>
      </c>
      <c r="B720" s="5">
        <v>190.78</v>
      </c>
      <c r="C720" s="5">
        <v>191.01</v>
      </c>
      <c r="D720" s="5">
        <v>188.1</v>
      </c>
      <c r="E720" s="5">
        <v>189.93</v>
      </c>
      <c r="F720" s="6">
        <v>3206539</v>
      </c>
    </row>
    <row r="721" spans="1:6" x14ac:dyDescent="0.2">
      <c r="A721" s="4">
        <v>45516</v>
      </c>
      <c r="B721" s="5">
        <v>190.08</v>
      </c>
      <c r="C721" s="5">
        <v>190.57</v>
      </c>
      <c r="D721" s="5">
        <v>187.7</v>
      </c>
      <c r="E721" s="5">
        <v>190.18</v>
      </c>
      <c r="F721" s="6">
        <v>4808434</v>
      </c>
    </row>
    <row r="722" spans="1:6" x14ac:dyDescent="0.2">
      <c r="A722" s="4">
        <v>45517</v>
      </c>
      <c r="B722" s="5">
        <v>190.56</v>
      </c>
      <c r="C722" s="5">
        <v>191.94</v>
      </c>
      <c r="D722" s="5">
        <v>189.37700000000001</v>
      </c>
      <c r="E722" s="5">
        <v>191.23</v>
      </c>
      <c r="F722" s="6">
        <v>3477320</v>
      </c>
    </row>
    <row r="723" spans="1:6" x14ac:dyDescent="0.2">
      <c r="A723" s="4">
        <v>45518</v>
      </c>
      <c r="B723" s="5">
        <v>191</v>
      </c>
      <c r="C723" s="5">
        <v>193.35</v>
      </c>
      <c r="D723" s="5">
        <v>190.47</v>
      </c>
      <c r="E723" s="5">
        <v>193</v>
      </c>
      <c r="F723" s="6">
        <v>4153610</v>
      </c>
    </row>
    <row r="724" spans="1:6" x14ac:dyDescent="0.2">
      <c r="A724" s="4">
        <v>45519</v>
      </c>
      <c r="B724" s="5">
        <v>194.49</v>
      </c>
      <c r="C724" s="5">
        <v>194.99</v>
      </c>
      <c r="D724" s="5">
        <v>191.29</v>
      </c>
      <c r="E724" s="5">
        <v>193.4</v>
      </c>
      <c r="F724" s="6">
        <v>4719856</v>
      </c>
    </row>
    <row r="725" spans="1:6" x14ac:dyDescent="0.2">
      <c r="A725" s="4">
        <v>45520</v>
      </c>
      <c r="B725" s="5">
        <v>193.88</v>
      </c>
      <c r="C725" s="5">
        <v>194.25</v>
      </c>
      <c r="D725" s="5">
        <v>192.27</v>
      </c>
      <c r="E725" s="5">
        <v>193.9</v>
      </c>
      <c r="F725" s="6">
        <v>3675149</v>
      </c>
    </row>
    <row r="726" spans="1:6" x14ac:dyDescent="0.2">
      <c r="A726" s="4">
        <v>45523</v>
      </c>
      <c r="B726" s="5">
        <v>193.4</v>
      </c>
      <c r="C726" s="5">
        <v>197.18</v>
      </c>
      <c r="D726" s="5">
        <v>193.35</v>
      </c>
      <c r="E726" s="5">
        <v>196.87</v>
      </c>
      <c r="F726" s="6">
        <v>4309277</v>
      </c>
    </row>
    <row r="727" spans="1:6" x14ac:dyDescent="0.2">
      <c r="A727" s="4">
        <v>45524</v>
      </c>
      <c r="B727" s="5">
        <v>197.12</v>
      </c>
      <c r="C727" s="5">
        <v>197.48</v>
      </c>
      <c r="D727" s="5">
        <v>194.13</v>
      </c>
      <c r="E727" s="5">
        <v>196.15</v>
      </c>
      <c r="F727" s="6">
        <v>3631797</v>
      </c>
    </row>
    <row r="728" spans="1:6" x14ac:dyDescent="0.2">
      <c r="A728" s="4">
        <v>45525</v>
      </c>
      <c r="B728" s="5">
        <v>196.44</v>
      </c>
      <c r="C728" s="5">
        <v>197.33500000000001</v>
      </c>
      <c r="D728" s="5">
        <v>195.67</v>
      </c>
      <c r="E728" s="5">
        <v>196.53</v>
      </c>
      <c r="F728" s="6">
        <v>4250492</v>
      </c>
    </row>
    <row r="729" spans="1:6" x14ac:dyDescent="0.2">
      <c r="A729" s="4">
        <v>45526</v>
      </c>
      <c r="B729" s="5">
        <v>197.005</v>
      </c>
      <c r="C729" s="5">
        <v>197.54</v>
      </c>
      <c r="D729" s="5">
        <v>195.35</v>
      </c>
      <c r="E729" s="5">
        <v>196.37</v>
      </c>
      <c r="F729" s="6">
        <v>3676719</v>
      </c>
    </row>
    <row r="730" spans="1:6" x14ac:dyDescent="0.2">
      <c r="A730" s="4">
        <v>45527</v>
      </c>
      <c r="B730" s="5">
        <v>197.25</v>
      </c>
      <c r="C730" s="5">
        <v>197.98</v>
      </c>
      <c r="D730" s="5">
        <v>196.22710000000001</v>
      </c>
      <c r="E730" s="5">
        <v>197.55</v>
      </c>
      <c r="F730" s="6">
        <v>4720300</v>
      </c>
    </row>
    <row r="731" spans="1:6" x14ac:dyDescent="0.2">
      <c r="A731" s="4">
        <v>45530</v>
      </c>
      <c r="B731" s="5">
        <v>197.56</v>
      </c>
      <c r="C731" s="5">
        <v>197.9699</v>
      </c>
      <c r="D731" s="5">
        <v>196.07</v>
      </c>
      <c r="E731" s="5">
        <v>197.44</v>
      </c>
      <c r="F731" s="6">
        <v>4182425</v>
      </c>
    </row>
    <row r="732" spans="1:6" x14ac:dyDescent="0.2">
      <c r="A732" s="4">
        <v>45531</v>
      </c>
      <c r="B732" s="5">
        <v>197.99</v>
      </c>
      <c r="C732" s="5">
        <v>198.3</v>
      </c>
      <c r="D732" s="5">
        <v>195.18</v>
      </c>
      <c r="E732" s="5">
        <v>195.92</v>
      </c>
      <c r="F732" s="6">
        <v>2504553</v>
      </c>
    </row>
    <row r="733" spans="1:6" x14ac:dyDescent="0.2">
      <c r="A733" s="4">
        <v>45532</v>
      </c>
      <c r="B733" s="5">
        <v>195.52</v>
      </c>
      <c r="C733" s="5">
        <v>196.23</v>
      </c>
      <c r="D733" s="5">
        <v>194.03</v>
      </c>
      <c r="E733" s="5">
        <v>195.4</v>
      </c>
      <c r="F733" s="6">
        <v>3910215</v>
      </c>
    </row>
    <row r="734" spans="1:6" x14ac:dyDescent="0.2">
      <c r="A734" s="4">
        <v>45533</v>
      </c>
      <c r="B734" s="5">
        <v>196</v>
      </c>
      <c r="C734" s="5">
        <v>196.44</v>
      </c>
      <c r="D734" s="5">
        <v>193.85</v>
      </c>
      <c r="E734" s="5">
        <v>195.18</v>
      </c>
      <c r="F734" s="6">
        <v>4538372</v>
      </c>
    </row>
    <row r="735" spans="1:6" x14ac:dyDescent="0.2">
      <c r="A735" s="4">
        <v>45534</v>
      </c>
      <c r="B735" s="5">
        <v>195.25</v>
      </c>
      <c r="C735" s="5">
        <v>196.5</v>
      </c>
      <c r="D735" s="5">
        <v>194.17</v>
      </c>
      <c r="E735" s="5">
        <v>196.31</v>
      </c>
      <c r="F735" s="6">
        <v>3820802</v>
      </c>
    </row>
    <row r="736" spans="1:6" x14ac:dyDescent="0.2">
      <c r="A736" s="4">
        <v>45538</v>
      </c>
      <c r="B736" s="5">
        <v>196.14</v>
      </c>
      <c r="C736" s="5">
        <v>199.95</v>
      </c>
      <c r="D736" s="5">
        <v>196.095</v>
      </c>
      <c r="E736" s="5">
        <v>197.69</v>
      </c>
      <c r="F736" s="6">
        <v>4872587</v>
      </c>
    </row>
    <row r="737" spans="1:6" x14ac:dyDescent="0.2">
      <c r="A737" s="4">
        <v>45539</v>
      </c>
      <c r="B737" s="5">
        <v>198.68</v>
      </c>
      <c r="C737" s="5">
        <v>199.88</v>
      </c>
      <c r="D737" s="5">
        <v>196.44</v>
      </c>
      <c r="E737" s="5">
        <v>197.01</v>
      </c>
      <c r="F737" s="6">
        <v>4214441</v>
      </c>
    </row>
    <row r="738" spans="1:6" x14ac:dyDescent="0.2">
      <c r="A738" s="4">
        <v>45540</v>
      </c>
      <c r="B738" s="5">
        <v>196.96</v>
      </c>
      <c r="C738" s="5">
        <v>197.13</v>
      </c>
      <c r="D738" s="5">
        <v>192.16</v>
      </c>
      <c r="E738" s="5">
        <v>192.86</v>
      </c>
      <c r="F738" s="6">
        <v>5902786</v>
      </c>
    </row>
    <row r="739" spans="1:6" x14ac:dyDescent="0.2">
      <c r="A739" s="4">
        <v>45541</v>
      </c>
      <c r="B739" s="5">
        <v>193.47</v>
      </c>
      <c r="C739" s="5">
        <v>194.74</v>
      </c>
      <c r="D739" s="5">
        <v>192.83</v>
      </c>
      <c r="E739" s="5">
        <v>193.4</v>
      </c>
      <c r="F739" s="6">
        <v>4312632</v>
      </c>
    </row>
    <row r="740" spans="1:6" x14ac:dyDescent="0.2">
      <c r="A740" s="4">
        <v>45544</v>
      </c>
      <c r="B740" s="5">
        <v>194.97</v>
      </c>
      <c r="C740" s="5">
        <v>196.61</v>
      </c>
      <c r="D740" s="5">
        <v>193.94</v>
      </c>
      <c r="E740" s="5">
        <v>196.42</v>
      </c>
      <c r="F740" s="6">
        <v>3606983</v>
      </c>
    </row>
    <row r="741" spans="1:6" x14ac:dyDescent="0.2">
      <c r="A741" s="4">
        <v>45545</v>
      </c>
      <c r="B741" s="5">
        <v>196.12</v>
      </c>
      <c r="C741" s="5">
        <v>199.47</v>
      </c>
      <c r="D741" s="5">
        <v>192.91</v>
      </c>
      <c r="E741" s="5">
        <v>199.35</v>
      </c>
      <c r="F741" s="6">
        <v>6333281</v>
      </c>
    </row>
    <row r="742" spans="1:6" x14ac:dyDescent="0.2">
      <c r="A742" s="4">
        <v>45546</v>
      </c>
      <c r="B742" s="5">
        <v>197.68</v>
      </c>
      <c r="C742" s="5">
        <v>197.68</v>
      </c>
      <c r="D742" s="5">
        <v>193.41800000000001</v>
      </c>
      <c r="E742" s="5">
        <v>194.59</v>
      </c>
      <c r="F742" s="6">
        <v>4909292</v>
      </c>
    </row>
    <row r="743" spans="1:6" x14ac:dyDescent="0.2">
      <c r="A743" s="4">
        <v>45547</v>
      </c>
      <c r="B743" s="5">
        <v>194.78</v>
      </c>
      <c r="C743" s="5">
        <v>195.07</v>
      </c>
      <c r="D743" s="5">
        <v>191.27</v>
      </c>
      <c r="E743" s="5">
        <v>194.02</v>
      </c>
      <c r="F743" s="6">
        <v>4165394</v>
      </c>
    </row>
    <row r="744" spans="1:6" x14ac:dyDescent="0.2">
      <c r="A744" s="4">
        <v>45548</v>
      </c>
      <c r="B744" s="5">
        <v>193.86</v>
      </c>
      <c r="C744" s="5">
        <v>194.59</v>
      </c>
      <c r="D744" s="5">
        <v>191.81</v>
      </c>
      <c r="E744" s="5">
        <v>194.21</v>
      </c>
      <c r="F744" s="6">
        <v>2718268</v>
      </c>
    </row>
    <row r="745" spans="1:6" x14ac:dyDescent="0.2">
      <c r="A745" s="4">
        <v>45551</v>
      </c>
      <c r="B745" s="5">
        <v>195.82</v>
      </c>
      <c r="C745" s="5">
        <v>196.16</v>
      </c>
      <c r="D745" s="5">
        <v>194.46</v>
      </c>
      <c r="E745" s="5">
        <v>195.73</v>
      </c>
      <c r="F745" s="6">
        <v>3235706</v>
      </c>
    </row>
    <row r="746" spans="1:6" x14ac:dyDescent="0.2">
      <c r="A746" s="4">
        <v>45552</v>
      </c>
      <c r="B746" s="5">
        <v>194.8</v>
      </c>
      <c r="C746" s="5">
        <v>196.07499999999999</v>
      </c>
      <c r="D746" s="5">
        <v>191.82</v>
      </c>
      <c r="E746" s="5">
        <v>193.45</v>
      </c>
      <c r="F746" s="6">
        <v>3534110</v>
      </c>
    </row>
    <row r="747" spans="1:6" x14ac:dyDescent="0.2">
      <c r="A747" s="4">
        <v>45553</v>
      </c>
      <c r="B747" s="5">
        <v>193.13</v>
      </c>
      <c r="C747" s="5">
        <v>195.58</v>
      </c>
      <c r="D747" s="5">
        <v>191.77760000000001</v>
      </c>
      <c r="E747" s="5">
        <v>192.94</v>
      </c>
      <c r="F747" s="6">
        <v>3236829</v>
      </c>
    </row>
    <row r="748" spans="1:6" x14ac:dyDescent="0.2">
      <c r="A748" s="4">
        <v>45554</v>
      </c>
      <c r="B748" s="5">
        <v>193.42500000000001</v>
      </c>
      <c r="C748" s="5">
        <v>194.16</v>
      </c>
      <c r="D748" s="5">
        <v>191.96</v>
      </c>
      <c r="E748" s="5">
        <v>193.62</v>
      </c>
      <c r="F748" s="6">
        <v>3929288</v>
      </c>
    </row>
    <row r="749" spans="1:6" x14ac:dyDescent="0.2">
      <c r="A749" s="4">
        <v>45555</v>
      </c>
      <c r="B749" s="5">
        <v>193</v>
      </c>
      <c r="C749" s="5">
        <v>193.821</v>
      </c>
      <c r="D749" s="5">
        <v>192.13</v>
      </c>
      <c r="E749" s="5">
        <v>193.47</v>
      </c>
      <c r="F749" s="6">
        <v>11661190</v>
      </c>
    </row>
    <row r="750" spans="1:6" x14ac:dyDescent="0.2">
      <c r="A750" s="4">
        <v>45558</v>
      </c>
      <c r="B750" s="5">
        <v>193.7</v>
      </c>
      <c r="C750" s="5">
        <v>194.3</v>
      </c>
      <c r="D750" s="5">
        <v>192.2</v>
      </c>
      <c r="E750" s="5">
        <v>193.83</v>
      </c>
      <c r="F750" s="6">
        <v>3177996</v>
      </c>
    </row>
    <row r="751" spans="1:6" x14ac:dyDescent="0.2">
      <c r="A751" s="4">
        <v>45559</v>
      </c>
      <c r="B751" s="5">
        <v>192.95</v>
      </c>
      <c r="C751" s="5">
        <v>195.21</v>
      </c>
      <c r="D751" s="5">
        <v>191.5872</v>
      </c>
      <c r="E751" s="5">
        <v>193.51</v>
      </c>
      <c r="F751" s="6">
        <v>4286499</v>
      </c>
    </row>
    <row r="752" spans="1:6" x14ac:dyDescent="0.2">
      <c r="A752" s="4">
        <v>45560</v>
      </c>
      <c r="B752" s="5">
        <v>194</v>
      </c>
      <c r="C752" s="5">
        <v>194.57</v>
      </c>
      <c r="D752" s="5">
        <v>190.96</v>
      </c>
      <c r="E752" s="5">
        <v>191.26</v>
      </c>
      <c r="F752" s="6">
        <v>5589494</v>
      </c>
    </row>
    <row r="753" spans="1:6" x14ac:dyDescent="0.2">
      <c r="A753" s="4">
        <v>45561</v>
      </c>
      <c r="B753" s="5">
        <v>190.1</v>
      </c>
      <c r="C753" s="5">
        <v>192.87</v>
      </c>
      <c r="D753" s="5">
        <v>189.61500000000001</v>
      </c>
      <c r="E753" s="5">
        <v>191.9</v>
      </c>
      <c r="F753" s="6">
        <v>6215788</v>
      </c>
    </row>
    <row r="754" spans="1:6" x14ac:dyDescent="0.2">
      <c r="A754" s="4">
        <v>45562</v>
      </c>
      <c r="B754" s="5">
        <v>192.6</v>
      </c>
      <c r="C754" s="5">
        <v>196.13</v>
      </c>
      <c r="D754" s="5">
        <v>190.27</v>
      </c>
      <c r="E754" s="5">
        <v>194.79</v>
      </c>
      <c r="F754" s="6">
        <v>4892025</v>
      </c>
    </row>
    <row r="755" spans="1:6" x14ac:dyDescent="0.2">
      <c r="A755" s="4">
        <v>45565</v>
      </c>
      <c r="B755" s="5">
        <v>194.85</v>
      </c>
      <c r="C755" s="5">
        <v>197.62</v>
      </c>
      <c r="D755" s="5">
        <v>194.36689999999999</v>
      </c>
      <c r="E755" s="5">
        <v>197.48</v>
      </c>
      <c r="F755" s="6">
        <v>4550849</v>
      </c>
    </row>
    <row r="756" spans="1:6" x14ac:dyDescent="0.2">
      <c r="A756" s="4">
        <v>45566</v>
      </c>
      <c r="B756" s="5">
        <v>197.65</v>
      </c>
      <c r="C756" s="5">
        <v>198.97</v>
      </c>
      <c r="D756" s="5">
        <v>196.42</v>
      </c>
      <c r="E756" s="5">
        <v>196.96</v>
      </c>
      <c r="F756" s="6">
        <v>3924607</v>
      </c>
    </row>
    <row r="757" spans="1:6" x14ac:dyDescent="0.2">
      <c r="A757" s="4">
        <v>45567</v>
      </c>
      <c r="B757" s="5">
        <v>195.66</v>
      </c>
      <c r="C757" s="5">
        <v>197</v>
      </c>
      <c r="D757" s="5">
        <v>194.45</v>
      </c>
      <c r="E757" s="5">
        <v>196.82</v>
      </c>
      <c r="F757" s="6">
        <v>2946883</v>
      </c>
    </row>
    <row r="758" spans="1:6" x14ac:dyDescent="0.2">
      <c r="A758" s="4">
        <v>45568</v>
      </c>
      <c r="B758" s="5">
        <v>196.87</v>
      </c>
      <c r="C758" s="5">
        <v>197.05</v>
      </c>
      <c r="D758" s="5">
        <v>194.74</v>
      </c>
      <c r="E758" s="5">
        <v>195.45</v>
      </c>
      <c r="F758" s="6">
        <v>3453796</v>
      </c>
    </row>
    <row r="759" spans="1:6" x14ac:dyDescent="0.2">
      <c r="A759" s="4">
        <v>45569</v>
      </c>
      <c r="B759" s="5">
        <v>195.1</v>
      </c>
      <c r="C759" s="5">
        <v>195.64</v>
      </c>
      <c r="D759" s="5">
        <v>193.04499999999999</v>
      </c>
      <c r="E759" s="5">
        <v>194.29</v>
      </c>
      <c r="F759" s="6">
        <v>4749856</v>
      </c>
    </row>
    <row r="760" spans="1:6" x14ac:dyDescent="0.2">
      <c r="A760" s="4">
        <v>45572</v>
      </c>
      <c r="B760" s="5">
        <v>194.41499999999999</v>
      </c>
      <c r="C760" s="5">
        <v>195.09180000000001</v>
      </c>
      <c r="D760" s="5">
        <v>192.83500000000001</v>
      </c>
      <c r="E760" s="5">
        <v>193.61</v>
      </c>
      <c r="F760" s="6">
        <v>5033832</v>
      </c>
    </row>
    <row r="761" spans="1:6" x14ac:dyDescent="0.2">
      <c r="A761" s="4">
        <v>45573</v>
      </c>
      <c r="B761" s="5">
        <v>194.34</v>
      </c>
      <c r="C761" s="5">
        <v>195</v>
      </c>
      <c r="D761" s="5">
        <v>192.245</v>
      </c>
      <c r="E761" s="5">
        <v>193.01</v>
      </c>
      <c r="F761" s="6">
        <v>4419016</v>
      </c>
    </row>
    <row r="762" spans="1:6" x14ac:dyDescent="0.2">
      <c r="A762" s="4">
        <v>45574</v>
      </c>
      <c r="B762" s="5">
        <v>192.85</v>
      </c>
      <c r="C762" s="5">
        <v>194.88499999999999</v>
      </c>
      <c r="D762" s="5">
        <v>191.95</v>
      </c>
      <c r="E762" s="5">
        <v>194.75</v>
      </c>
      <c r="F762" s="6">
        <v>4479107</v>
      </c>
    </row>
    <row r="763" spans="1:6" x14ac:dyDescent="0.2">
      <c r="A763" s="4">
        <v>45575</v>
      </c>
      <c r="B763" s="5">
        <v>194.54</v>
      </c>
      <c r="C763" s="5">
        <v>194.82</v>
      </c>
      <c r="D763" s="5">
        <v>193.27500000000001</v>
      </c>
      <c r="E763" s="5">
        <v>194.35</v>
      </c>
      <c r="F763" s="6">
        <v>3562476</v>
      </c>
    </row>
    <row r="764" spans="1:6" x14ac:dyDescent="0.2">
      <c r="A764" s="4">
        <v>45576</v>
      </c>
      <c r="B764" s="5">
        <v>195</v>
      </c>
      <c r="C764" s="5">
        <v>195.2362</v>
      </c>
      <c r="D764" s="5">
        <v>193.58</v>
      </c>
      <c r="E764" s="5">
        <v>194.19</v>
      </c>
      <c r="F764" s="6">
        <v>2973025</v>
      </c>
    </row>
    <row r="765" spans="1:6" x14ac:dyDescent="0.2">
      <c r="A765" s="4">
        <v>45579</v>
      </c>
      <c r="B765" s="5">
        <v>194.24</v>
      </c>
      <c r="C765" s="5">
        <v>196.34</v>
      </c>
      <c r="D765" s="5">
        <v>193.66200000000001</v>
      </c>
      <c r="E765" s="5">
        <v>195.65</v>
      </c>
      <c r="F765" s="6">
        <v>3624123</v>
      </c>
    </row>
    <row r="766" spans="1:6" x14ac:dyDescent="0.2">
      <c r="A766" s="4">
        <v>45580</v>
      </c>
      <c r="B766" s="5">
        <v>194.73</v>
      </c>
      <c r="C766" s="5">
        <v>196.25</v>
      </c>
      <c r="D766" s="5">
        <v>191.215</v>
      </c>
      <c r="E766" s="5">
        <v>191.86</v>
      </c>
      <c r="F766" s="6">
        <v>6553712</v>
      </c>
    </row>
    <row r="767" spans="1:6" x14ac:dyDescent="0.2">
      <c r="A767" s="4">
        <v>45581</v>
      </c>
      <c r="B767" s="5">
        <v>190.45</v>
      </c>
      <c r="C767" s="5">
        <v>191.035</v>
      </c>
      <c r="D767" s="5">
        <v>188.73</v>
      </c>
      <c r="E767" s="5">
        <v>190.46</v>
      </c>
      <c r="F767" s="6">
        <v>5575983</v>
      </c>
    </row>
    <row r="768" spans="1:6" x14ac:dyDescent="0.2">
      <c r="A768" s="4">
        <v>45582</v>
      </c>
      <c r="B768" s="5">
        <v>190.54</v>
      </c>
      <c r="C768" s="5">
        <v>191.62</v>
      </c>
      <c r="D768" s="5">
        <v>188.46</v>
      </c>
      <c r="E768" s="5">
        <v>188.57</v>
      </c>
      <c r="F768" s="6">
        <v>4419002</v>
      </c>
    </row>
    <row r="769" spans="1:6" x14ac:dyDescent="0.2">
      <c r="A769" s="4">
        <v>45583</v>
      </c>
      <c r="B769" s="5">
        <v>188.97</v>
      </c>
      <c r="C769" s="5">
        <v>189.69</v>
      </c>
      <c r="D769" s="5">
        <v>188.16399999999999</v>
      </c>
      <c r="E769" s="5">
        <v>188.86</v>
      </c>
      <c r="F769" s="6">
        <v>5607902</v>
      </c>
    </row>
    <row r="770" spans="1:6" x14ac:dyDescent="0.2">
      <c r="A770" s="4">
        <v>45586</v>
      </c>
      <c r="B770" s="5">
        <v>188.71</v>
      </c>
      <c r="C770" s="5">
        <v>189.38</v>
      </c>
      <c r="D770" s="5">
        <v>185.89</v>
      </c>
      <c r="E770" s="5">
        <v>186.54</v>
      </c>
      <c r="F770" s="6">
        <v>4496592</v>
      </c>
    </row>
    <row r="771" spans="1:6" x14ac:dyDescent="0.2">
      <c r="A771" s="4">
        <v>45587</v>
      </c>
      <c r="B771" s="5">
        <v>186.32</v>
      </c>
      <c r="C771" s="5">
        <v>189.1</v>
      </c>
      <c r="D771" s="5">
        <v>186.23</v>
      </c>
      <c r="E771" s="5">
        <v>188.76</v>
      </c>
      <c r="F771" s="6">
        <v>4210359</v>
      </c>
    </row>
    <row r="772" spans="1:6" x14ac:dyDescent="0.2">
      <c r="A772" s="4">
        <v>45588</v>
      </c>
      <c r="B772" s="5">
        <v>188.7</v>
      </c>
      <c r="C772" s="5">
        <v>189.27</v>
      </c>
      <c r="D772" s="5">
        <v>187.5</v>
      </c>
      <c r="E772" s="5">
        <v>187.88</v>
      </c>
      <c r="F772" s="6">
        <v>4267078</v>
      </c>
    </row>
    <row r="773" spans="1:6" x14ac:dyDescent="0.2">
      <c r="A773" s="4">
        <v>45589</v>
      </c>
      <c r="B773" s="5">
        <v>188.43</v>
      </c>
      <c r="C773" s="5">
        <v>190.47</v>
      </c>
      <c r="D773" s="5">
        <v>188.17</v>
      </c>
      <c r="E773" s="5">
        <v>189.65</v>
      </c>
      <c r="F773" s="6">
        <v>6742024</v>
      </c>
    </row>
    <row r="774" spans="1:6" x14ac:dyDescent="0.2">
      <c r="A774" s="4">
        <v>45590</v>
      </c>
      <c r="B774" s="5">
        <v>189.68</v>
      </c>
      <c r="C774" s="5">
        <v>189.88</v>
      </c>
      <c r="D774" s="5">
        <v>187.17</v>
      </c>
      <c r="E774" s="5">
        <v>187.85</v>
      </c>
      <c r="F774" s="6">
        <v>4017525</v>
      </c>
    </row>
    <row r="775" spans="1:6" x14ac:dyDescent="0.2">
      <c r="A775" s="4">
        <v>45593</v>
      </c>
      <c r="B775" s="5">
        <v>188.09</v>
      </c>
      <c r="C775" s="5">
        <v>190.14</v>
      </c>
      <c r="D775" s="5">
        <v>187.52</v>
      </c>
      <c r="E775" s="5">
        <v>189.68</v>
      </c>
      <c r="F775" s="6">
        <v>5383733</v>
      </c>
    </row>
    <row r="776" spans="1:6" x14ac:dyDescent="0.2">
      <c r="A776" s="4">
        <v>45594</v>
      </c>
      <c r="B776" s="5">
        <v>190.49</v>
      </c>
      <c r="C776" s="5">
        <v>191.16</v>
      </c>
      <c r="D776" s="5">
        <v>188.51499999999999</v>
      </c>
      <c r="E776" s="5">
        <v>189.45</v>
      </c>
      <c r="F776" s="6">
        <v>6131530</v>
      </c>
    </row>
    <row r="777" spans="1:6" x14ac:dyDescent="0.2">
      <c r="A777" s="4">
        <v>45595</v>
      </c>
      <c r="B777" s="5">
        <v>191.62</v>
      </c>
      <c r="C777" s="5">
        <v>202.34989999999999</v>
      </c>
      <c r="D777" s="5">
        <v>188.54499999999999</v>
      </c>
      <c r="E777" s="5">
        <v>201.5</v>
      </c>
      <c r="F777" s="6">
        <v>10396360</v>
      </c>
    </row>
    <row r="778" spans="1:6" x14ac:dyDescent="0.2">
      <c r="A778" s="4">
        <v>45596</v>
      </c>
      <c r="B778" s="5">
        <v>201.97</v>
      </c>
      <c r="C778" s="5">
        <v>207.32</v>
      </c>
      <c r="D778" s="5">
        <v>201.42</v>
      </c>
      <c r="E778" s="5">
        <v>203.87</v>
      </c>
      <c r="F778" s="6">
        <v>8829278</v>
      </c>
    </row>
    <row r="779" spans="1:6" x14ac:dyDescent="0.2">
      <c r="A779" s="4">
        <v>45597</v>
      </c>
      <c r="B779" s="5">
        <v>204.37</v>
      </c>
      <c r="C779" s="5">
        <v>204.73</v>
      </c>
      <c r="D779" s="5">
        <v>202.32</v>
      </c>
      <c r="E779" s="5">
        <v>203.55</v>
      </c>
      <c r="F779" s="6">
        <v>4493880</v>
      </c>
    </row>
    <row r="780" spans="1:6" x14ac:dyDescent="0.2">
      <c r="A780" s="4">
        <v>45600</v>
      </c>
      <c r="B780" s="5">
        <v>203.79</v>
      </c>
      <c r="C780" s="5">
        <v>204.24</v>
      </c>
      <c r="D780" s="5">
        <v>200.22</v>
      </c>
      <c r="E780" s="5">
        <v>200.47</v>
      </c>
      <c r="F780" s="6">
        <v>3531804</v>
      </c>
    </row>
    <row r="781" spans="1:6" x14ac:dyDescent="0.2">
      <c r="A781" s="4">
        <v>45601</v>
      </c>
      <c r="B781" s="5">
        <v>200.49</v>
      </c>
      <c r="C781" s="5">
        <v>202.42</v>
      </c>
      <c r="D781" s="5">
        <v>198.35</v>
      </c>
      <c r="E781" s="5">
        <v>201.68</v>
      </c>
      <c r="F781" s="6">
        <v>5109348</v>
      </c>
    </row>
    <row r="782" spans="1:6" x14ac:dyDescent="0.2">
      <c r="A782" s="4">
        <v>45602</v>
      </c>
      <c r="B782" s="5">
        <v>205.79</v>
      </c>
      <c r="C782" s="5">
        <v>206.15</v>
      </c>
      <c r="D782" s="5">
        <v>200.85</v>
      </c>
      <c r="E782" s="5">
        <v>201.2</v>
      </c>
      <c r="F782" s="6">
        <v>7194757</v>
      </c>
    </row>
    <row r="783" spans="1:6" x14ac:dyDescent="0.2">
      <c r="A783" s="4">
        <v>45603</v>
      </c>
      <c r="B783" s="5">
        <v>201.95</v>
      </c>
      <c r="C783" s="5">
        <v>202.315</v>
      </c>
      <c r="D783" s="5">
        <v>199.215</v>
      </c>
      <c r="E783" s="5">
        <v>200.51</v>
      </c>
      <c r="F783" s="6">
        <v>4520190</v>
      </c>
    </row>
    <row r="784" spans="1:6" x14ac:dyDescent="0.2">
      <c r="A784" s="4">
        <v>45604</v>
      </c>
      <c r="B784" s="5">
        <v>201.155</v>
      </c>
      <c r="C784" s="5">
        <v>201.8939</v>
      </c>
      <c r="D784" s="5">
        <v>199.48</v>
      </c>
      <c r="E784" s="5">
        <v>199.5</v>
      </c>
      <c r="F784" s="6">
        <v>4596949</v>
      </c>
    </row>
    <row r="785" spans="1:6" x14ac:dyDescent="0.2">
      <c r="A785" s="4">
        <v>45607</v>
      </c>
      <c r="B785" s="5">
        <v>178.57</v>
      </c>
      <c r="C785" s="5">
        <v>178.57</v>
      </c>
      <c r="D785" s="5">
        <v>172.70009999999999</v>
      </c>
      <c r="E785" s="5">
        <v>174.43</v>
      </c>
      <c r="F785" s="6">
        <v>20760250</v>
      </c>
    </row>
    <row r="786" spans="1:6" x14ac:dyDescent="0.2">
      <c r="A786" s="4">
        <v>45608</v>
      </c>
      <c r="B786" s="5">
        <v>176.01</v>
      </c>
      <c r="C786" s="5">
        <v>176.63</v>
      </c>
      <c r="D786" s="5">
        <v>171.03</v>
      </c>
      <c r="E786" s="5">
        <v>171.09</v>
      </c>
      <c r="F786" s="6">
        <v>10556980</v>
      </c>
    </row>
    <row r="787" spans="1:6" x14ac:dyDescent="0.2">
      <c r="A787" s="4">
        <v>45609</v>
      </c>
      <c r="B787" s="5">
        <v>171.67</v>
      </c>
      <c r="C787" s="5">
        <v>172.64</v>
      </c>
      <c r="D787" s="5">
        <v>169.65</v>
      </c>
      <c r="E787" s="5">
        <v>170.35</v>
      </c>
      <c r="F787" s="6">
        <v>8483499</v>
      </c>
    </row>
    <row r="788" spans="1:6" x14ac:dyDescent="0.2">
      <c r="A788" s="4">
        <v>45610</v>
      </c>
      <c r="B788" s="5">
        <v>170</v>
      </c>
      <c r="C788" s="5">
        <v>171.62</v>
      </c>
      <c r="D788" s="5">
        <v>168.59</v>
      </c>
      <c r="E788" s="5">
        <v>169.63</v>
      </c>
      <c r="F788" s="6">
        <v>8442546</v>
      </c>
    </row>
    <row r="789" spans="1:6" x14ac:dyDescent="0.2">
      <c r="A789" s="4">
        <v>45611</v>
      </c>
      <c r="B789" s="5">
        <v>169.63</v>
      </c>
      <c r="C789" s="5">
        <v>169.63</v>
      </c>
      <c r="D789" s="5">
        <v>164.72</v>
      </c>
      <c r="E789" s="5">
        <v>164.99</v>
      </c>
      <c r="F789" s="6">
        <v>11265400</v>
      </c>
    </row>
    <row r="790" spans="1:6" x14ac:dyDescent="0.2">
      <c r="A790" s="4">
        <v>45614</v>
      </c>
      <c r="B790" s="5">
        <v>165.62</v>
      </c>
      <c r="C790" s="5">
        <v>166.74</v>
      </c>
      <c r="D790" s="5">
        <v>164.8</v>
      </c>
      <c r="E790" s="5">
        <v>166.28</v>
      </c>
      <c r="F790" s="6">
        <v>8341413</v>
      </c>
    </row>
    <row r="791" spans="1:6" x14ac:dyDescent="0.2">
      <c r="A791" s="4">
        <v>45615</v>
      </c>
      <c r="B791" s="5">
        <v>165.27</v>
      </c>
      <c r="C791" s="5">
        <v>167.1</v>
      </c>
      <c r="D791" s="5">
        <v>163.81</v>
      </c>
      <c r="E791" s="5">
        <v>166.57</v>
      </c>
      <c r="F791" s="6">
        <v>5245994</v>
      </c>
    </row>
    <row r="792" spans="1:6" x14ac:dyDescent="0.2">
      <c r="A792" s="4">
        <v>45616</v>
      </c>
      <c r="B792" s="5">
        <v>166.91</v>
      </c>
      <c r="C792" s="5">
        <v>167.91</v>
      </c>
      <c r="D792" s="5">
        <v>165.65</v>
      </c>
      <c r="E792" s="5">
        <v>167.76</v>
      </c>
      <c r="F792" s="6">
        <v>7135608</v>
      </c>
    </row>
    <row r="793" spans="1:6" x14ac:dyDescent="0.2">
      <c r="A793" s="4">
        <v>45617</v>
      </c>
      <c r="B793" s="5">
        <v>168.59</v>
      </c>
      <c r="C793" s="5">
        <v>172.45500000000001</v>
      </c>
      <c r="D793" s="5">
        <v>166.92</v>
      </c>
      <c r="E793" s="5">
        <v>171.73</v>
      </c>
      <c r="F793" s="6">
        <v>6847695</v>
      </c>
    </row>
    <row r="794" spans="1:6" x14ac:dyDescent="0.2">
      <c r="A794" s="4">
        <v>45618</v>
      </c>
      <c r="B794" s="5">
        <v>174.34</v>
      </c>
      <c r="C794" s="5">
        <v>178.864</v>
      </c>
      <c r="D794" s="5">
        <v>173.5</v>
      </c>
      <c r="E794" s="5">
        <v>176.95</v>
      </c>
      <c r="F794" s="6">
        <v>11328620</v>
      </c>
    </row>
    <row r="795" spans="1:6" x14ac:dyDescent="0.2">
      <c r="A795" s="4">
        <v>45621</v>
      </c>
      <c r="B795" s="5">
        <v>177.02</v>
      </c>
      <c r="C795" s="5">
        <v>180.19</v>
      </c>
      <c r="D795" s="5">
        <v>176.75</v>
      </c>
      <c r="E795" s="5">
        <v>177.06</v>
      </c>
      <c r="F795" s="6">
        <v>12464960</v>
      </c>
    </row>
    <row r="796" spans="1:6" x14ac:dyDescent="0.2">
      <c r="A796" s="4">
        <v>45622</v>
      </c>
      <c r="B796" s="5">
        <v>177.09</v>
      </c>
      <c r="C796" s="5">
        <v>181.65</v>
      </c>
      <c r="D796" s="5">
        <v>176.67</v>
      </c>
      <c r="E796" s="5">
        <v>181.14</v>
      </c>
      <c r="F796" s="6">
        <v>6947512</v>
      </c>
    </row>
    <row r="797" spans="1:6" x14ac:dyDescent="0.2">
      <c r="A797" s="4">
        <v>45623</v>
      </c>
      <c r="B797" s="5">
        <v>181.14</v>
      </c>
      <c r="C797" s="5">
        <v>184.24</v>
      </c>
      <c r="D797" s="5">
        <v>180.89</v>
      </c>
      <c r="E797" s="5">
        <v>183.08</v>
      </c>
      <c r="F797" s="6">
        <v>5271481</v>
      </c>
    </row>
    <row r="798" spans="1:6" x14ac:dyDescent="0.2">
      <c r="A798" s="4">
        <v>45625</v>
      </c>
      <c r="B798" s="5">
        <v>183.14</v>
      </c>
      <c r="C798" s="5">
        <v>183.54</v>
      </c>
      <c r="D798" s="5">
        <v>182.5</v>
      </c>
      <c r="E798" s="5">
        <v>182.93</v>
      </c>
      <c r="F798" s="6">
        <v>2710732</v>
      </c>
    </row>
    <row r="799" spans="1:6" x14ac:dyDescent="0.2">
      <c r="A799" s="4">
        <v>45628</v>
      </c>
      <c r="B799" s="5">
        <v>182.27500000000001</v>
      </c>
      <c r="C799" s="5">
        <v>182.7</v>
      </c>
      <c r="D799" s="5">
        <v>178.86</v>
      </c>
      <c r="E799" s="5">
        <v>181.77</v>
      </c>
      <c r="F799" s="6">
        <v>3936877</v>
      </c>
    </row>
    <row r="800" spans="1:6" x14ac:dyDescent="0.2">
      <c r="A800" s="4">
        <v>45629</v>
      </c>
      <c r="B800" s="5">
        <v>182.28</v>
      </c>
      <c r="C800" s="5">
        <v>183.51</v>
      </c>
      <c r="D800" s="5">
        <v>181.48</v>
      </c>
      <c r="E800" s="5">
        <v>181.5</v>
      </c>
      <c r="F800" s="6">
        <v>4107553</v>
      </c>
    </row>
    <row r="801" spans="1:6" x14ac:dyDescent="0.2">
      <c r="A801" s="4">
        <v>45630</v>
      </c>
      <c r="B801" s="5">
        <v>180.1</v>
      </c>
      <c r="C801" s="5">
        <v>180.45</v>
      </c>
      <c r="D801" s="5">
        <v>175.91</v>
      </c>
      <c r="E801" s="5">
        <v>176.46</v>
      </c>
      <c r="F801" s="6">
        <v>6125479</v>
      </c>
    </row>
    <row r="802" spans="1:6" x14ac:dyDescent="0.2">
      <c r="A802" s="4">
        <v>45631</v>
      </c>
      <c r="B802" s="5">
        <v>174.98</v>
      </c>
      <c r="C802" s="5">
        <v>176.72</v>
      </c>
      <c r="D802" s="5">
        <v>173.53</v>
      </c>
      <c r="E802" s="5">
        <v>176.17</v>
      </c>
      <c r="F802" s="6">
        <v>5444240</v>
      </c>
    </row>
    <row r="803" spans="1:6" x14ac:dyDescent="0.2">
      <c r="A803" s="4">
        <v>45632</v>
      </c>
      <c r="B803" s="5">
        <v>176</v>
      </c>
      <c r="C803" s="5">
        <v>176.74</v>
      </c>
      <c r="D803" s="5">
        <v>174.16</v>
      </c>
      <c r="E803" s="5">
        <v>176.19</v>
      </c>
      <c r="F803" s="6">
        <v>4839640</v>
      </c>
    </row>
    <row r="804" spans="1:6" x14ac:dyDescent="0.2">
      <c r="A804" s="4">
        <v>45635</v>
      </c>
      <c r="B804" s="5">
        <v>175.59</v>
      </c>
      <c r="C804" s="5">
        <v>178.13</v>
      </c>
      <c r="D804" s="5">
        <v>174.38</v>
      </c>
      <c r="E804" s="5">
        <v>176.57</v>
      </c>
      <c r="F804" s="6">
        <v>4394811</v>
      </c>
    </row>
    <row r="805" spans="1:6" x14ac:dyDescent="0.2">
      <c r="A805" s="4">
        <v>45636</v>
      </c>
      <c r="B805" s="5">
        <v>175.53</v>
      </c>
      <c r="C805" s="5">
        <v>176.92</v>
      </c>
      <c r="D805" s="5">
        <v>173.83</v>
      </c>
      <c r="E805" s="5">
        <v>175.67</v>
      </c>
      <c r="F805" s="6">
        <v>4089569</v>
      </c>
    </row>
    <row r="806" spans="1:6" x14ac:dyDescent="0.2">
      <c r="A806" s="4">
        <v>45637</v>
      </c>
      <c r="B806" s="5">
        <v>175.96</v>
      </c>
      <c r="C806" s="5">
        <v>176</v>
      </c>
      <c r="D806" s="5">
        <v>173.84</v>
      </c>
      <c r="E806" s="5">
        <v>174.37</v>
      </c>
      <c r="F806" s="6">
        <v>9492204</v>
      </c>
    </row>
    <row r="807" spans="1:6" x14ac:dyDescent="0.2">
      <c r="A807" s="4">
        <v>45638</v>
      </c>
      <c r="B807" s="5">
        <v>174.91</v>
      </c>
      <c r="C807" s="5">
        <v>175.90610000000001</v>
      </c>
      <c r="D807" s="5">
        <v>171.99</v>
      </c>
      <c r="E807" s="5">
        <v>173.19</v>
      </c>
      <c r="F807" s="6">
        <v>4999451</v>
      </c>
    </row>
    <row r="808" spans="1:6" x14ac:dyDescent="0.2">
      <c r="A808" s="4">
        <v>45639</v>
      </c>
      <c r="B808" s="5">
        <v>173.25</v>
      </c>
      <c r="C808" s="5">
        <v>174.92</v>
      </c>
      <c r="D808" s="5">
        <v>172.39</v>
      </c>
      <c r="E808" s="5">
        <v>173.37</v>
      </c>
      <c r="F808" s="6">
        <v>5471791</v>
      </c>
    </row>
    <row r="809" spans="1:6" x14ac:dyDescent="0.2">
      <c r="A809" s="4">
        <v>45642</v>
      </c>
      <c r="B809" s="5">
        <v>171.67400000000001</v>
      </c>
      <c r="C809" s="5">
        <v>173.34</v>
      </c>
      <c r="D809" s="5">
        <v>170.53</v>
      </c>
      <c r="E809" s="5">
        <v>171.63</v>
      </c>
      <c r="F809" s="6">
        <v>8157926</v>
      </c>
    </row>
    <row r="810" spans="1:6" x14ac:dyDescent="0.2">
      <c r="A810" s="4">
        <v>45643</v>
      </c>
      <c r="B810" s="5">
        <v>170.58</v>
      </c>
      <c r="C810" s="5">
        <v>176.5</v>
      </c>
      <c r="D810" s="5">
        <v>170.21</v>
      </c>
      <c r="E810" s="5">
        <v>175.38</v>
      </c>
      <c r="F810" s="6">
        <v>7664728</v>
      </c>
    </row>
    <row r="811" spans="1:6" x14ac:dyDescent="0.2">
      <c r="A811" s="4">
        <v>45644</v>
      </c>
      <c r="B811" s="5">
        <v>176.03</v>
      </c>
      <c r="C811" s="5">
        <v>176.5</v>
      </c>
      <c r="D811" s="5">
        <v>172.82</v>
      </c>
      <c r="E811" s="5">
        <v>173.02</v>
      </c>
      <c r="F811" s="6">
        <v>5471574</v>
      </c>
    </row>
    <row r="812" spans="1:6" x14ac:dyDescent="0.2">
      <c r="A812" s="4">
        <v>45645</v>
      </c>
      <c r="B812" s="5">
        <v>172.93</v>
      </c>
      <c r="C812" s="5">
        <v>173.88</v>
      </c>
      <c r="D812" s="5">
        <v>170.34110000000001</v>
      </c>
      <c r="E812" s="5">
        <v>171.52</v>
      </c>
      <c r="F812" s="6">
        <v>6110511</v>
      </c>
    </row>
    <row r="813" spans="1:6" x14ac:dyDescent="0.2">
      <c r="A813" s="4">
        <v>45646</v>
      </c>
      <c r="B813" s="5">
        <v>171.79400000000001</v>
      </c>
      <c r="C813" s="5">
        <v>176.8</v>
      </c>
      <c r="D813" s="5">
        <v>170.66</v>
      </c>
      <c r="E813" s="5">
        <v>175.58</v>
      </c>
      <c r="F813" s="6">
        <v>18950910</v>
      </c>
    </row>
    <row r="814" spans="1:6" x14ac:dyDescent="0.2">
      <c r="A814" s="4">
        <v>45649</v>
      </c>
      <c r="B814" s="5">
        <v>175.29</v>
      </c>
      <c r="C814" s="5">
        <v>178.65</v>
      </c>
      <c r="D814" s="5">
        <v>174.63</v>
      </c>
      <c r="E814" s="5">
        <v>178.39</v>
      </c>
      <c r="F814" s="6">
        <v>6945621</v>
      </c>
    </row>
    <row r="815" spans="1:6" x14ac:dyDescent="0.2">
      <c r="A815" s="4">
        <v>45650</v>
      </c>
      <c r="B815" s="5">
        <v>178.41</v>
      </c>
      <c r="C815" s="5">
        <v>180.17</v>
      </c>
      <c r="D815" s="5">
        <v>177.8408</v>
      </c>
      <c r="E815" s="5">
        <v>180</v>
      </c>
      <c r="F815" s="6">
        <v>2692814</v>
      </c>
    </row>
    <row r="816" spans="1:6" x14ac:dyDescent="0.2">
      <c r="A816" s="4">
        <v>45652</v>
      </c>
      <c r="B816" s="5">
        <v>179.02</v>
      </c>
      <c r="C816" s="5">
        <v>180.35</v>
      </c>
      <c r="D816" s="5">
        <v>178.63</v>
      </c>
      <c r="E816" s="5">
        <v>179.2</v>
      </c>
      <c r="F816" s="6">
        <v>2759421</v>
      </c>
    </row>
    <row r="817" spans="1:6" x14ac:dyDescent="0.2">
      <c r="A817" s="4">
        <v>45653</v>
      </c>
      <c r="B817" s="5">
        <v>177.92</v>
      </c>
      <c r="C817" s="5">
        <v>179.66</v>
      </c>
      <c r="D817" s="5">
        <v>177.29</v>
      </c>
      <c r="E817" s="5">
        <v>178.01</v>
      </c>
      <c r="F817" s="6">
        <v>2745373</v>
      </c>
    </row>
    <row r="818" spans="1:6" x14ac:dyDescent="0.2">
      <c r="A818" s="4">
        <v>45656</v>
      </c>
      <c r="B818" s="5">
        <v>177.02</v>
      </c>
      <c r="C818" s="5">
        <v>177.34</v>
      </c>
      <c r="D818" s="5">
        <v>175.51009999999999</v>
      </c>
      <c r="E818" s="5">
        <v>176.2</v>
      </c>
      <c r="F818" s="6">
        <v>3405687</v>
      </c>
    </row>
    <row r="819" spans="1:6" x14ac:dyDescent="0.2">
      <c r="A819" s="4">
        <v>45657</v>
      </c>
      <c r="B819" s="5">
        <v>176.35</v>
      </c>
      <c r="C819" s="5">
        <v>177.84</v>
      </c>
      <c r="D819" s="5">
        <v>175.92</v>
      </c>
      <c r="E819" s="5">
        <v>177.7</v>
      </c>
      <c r="F819" s="6">
        <v>3326732</v>
      </c>
    </row>
    <row r="820" spans="1:6" x14ac:dyDescent="0.2">
      <c r="A820" s="4">
        <v>45659</v>
      </c>
      <c r="B820" s="5">
        <v>178.66</v>
      </c>
      <c r="C820" s="5">
        <v>179.78</v>
      </c>
      <c r="D820" s="5">
        <v>177.9006</v>
      </c>
      <c r="E820" s="5">
        <v>179.44</v>
      </c>
      <c r="F820" s="6">
        <v>4094307</v>
      </c>
    </row>
    <row r="821" spans="1:6" x14ac:dyDescent="0.2">
      <c r="A821" s="4">
        <v>45660</v>
      </c>
      <c r="B821" s="5">
        <v>179.66</v>
      </c>
      <c r="C821" s="5">
        <v>181.57</v>
      </c>
      <c r="D821" s="5">
        <v>178.8</v>
      </c>
      <c r="E821" s="5">
        <v>181.22</v>
      </c>
      <c r="F821" s="6">
        <v>4380336</v>
      </c>
    </row>
    <row r="822" spans="1:6" x14ac:dyDescent="0.2">
      <c r="A822" s="4">
        <v>45663</v>
      </c>
      <c r="B822" s="5">
        <v>180.78</v>
      </c>
      <c r="C822" s="5">
        <v>181.98</v>
      </c>
      <c r="D822" s="5">
        <v>179.26</v>
      </c>
      <c r="E822" s="5">
        <v>180.1</v>
      </c>
      <c r="F822" s="6">
        <v>6302081</v>
      </c>
    </row>
    <row r="823" spans="1:6" x14ac:dyDescent="0.2">
      <c r="A823" s="4">
        <v>45664</v>
      </c>
      <c r="B823" s="5">
        <v>179.63</v>
      </c>
      <c r="C823" s="5">
        <v>182.17250000000001</v>
      </c>
      <c r="D823" s="5">
        <v>178.38900000000001</v>
      </c>
      <c r="E823" s="5">
        <v>179.53</v>
      </c>
      <c r="F823" s="6">
        <v>5905223</v>
      </c>
    </row>
    <row r="824" spans="1:6" x14ac:dyDescent="0.2">
      <c r="A824" s="4">
        <v>45665</v>
      </c>
      <c r="B824" s="5">
        <v>179.2</v>
      </c>
      <c r="C824" s="5">
        <v>179.24</v>
      </c>
      <c r="D824" s="5">
        <v>176.18</v>
      </c>
      <c r="E824" s="5">
        <v>178.5</v>
      </c>
      <c r="F824" s="6">
        <v>4488519</v>
      </c>
    </row>
    <row r="825" spans="1:6" x14ac:dyDescent="0.2">
      <c r="A825" s="4">
        <v>45667</v>
      </c>
      <c r="B825" s="5">
        <v>176.86</v>
      </c>
      <c r="C825" s="5">
        <v>177.54</v>
      </c>
      <c r="D825" s="5">
        <v>173.33</v>
      </c>
      <c r="E825" s="5">
        <v>175.17</v>
      </c>
      <c r="F825" s="6">
        <v>5372441</v>
      </c>
    </row>
    <row r="826" spans="1:6" x14ac:dyDescent="0.2">
      <c r="A826" s="4">
        <v>45670</v>
      </c>
      <c r="B826" s="5">
        <v>175.16</v>
      </c>
      <c r="C826" s="5">
        <v>177.98</v>
      </c>
      <c r="D826" s="5">
        <v>174.34</v>
      </c>
      <c r="E826" s="5">
        <v>176.74</v>
      </c>
      <c r="F826" s="6">
        <v>4734094</v>
      </c>
    </row>
    <row r="827" spans="1:6" x14ac:dyDescent="0.2">
      <c r="A827" s="4">
        <v>45671</v>
      </c>
      <c r="B827" s="5">
        <v>176.61</v>
      </c>
      <c r="C827" s="5">
        <v>176.78</v>
      </c>
      <c r="D827" s="5">
        <v>174.09</v>
      </c>
      <c r="E827" s="5">
        <v>175.55</v>
      </c>
      <c r="F827" s="6">
        <v>4779147</v>
      </c>
    </row>
    <row r="828" spans="1:6" x14ac:dyDescent="0.2">
      <c r="A828" s="4">
        <v>45672</v>
      </c>
      <c r="B828" s="5">
        <v>173.51499999999999</v>
      </c>
      <c r="C828" s="5">
        <v>174.46</v>
      </c>
      <c r="D828" s="5">
        <v>168.72</v>
      </c>
      <c r="E828" s="5">
        <v>171.35</v>
      </c>
      <c r="F828" s="6">
        <v>8048736</v>
      </c>
    </row>
    <row r="829" spans="1:6" x14ac:dyDescent="0.2">
      <c r="A829" s="4">
        <v>45673</v>
      </c>
      <c r="B829" s="5">
        <v>171.45</v>
      </c>
      <c r="C829" s="5">
        <v>173.95670000000001</v>
      </c>
      <c r="D829" s="5">
        <v>170.52</v>
      </c>
      <c r="E829" s="5">
        <v>173.7</v>
      </c>
      <c r="F829" s="6">
        <v>5235975</v>
      </c>
    </row>
    <row r="830" spans="1:6" x14ac:dyDescent="0.2">
      <c r="A830" s="4">
        <v>45674</v>
      </c>
      <c r="B830" s="5">
        <v>172.88</v>
      </c>
      <c r="C830" s="5">
        <v>173.99</v>
      </c>
      <c r="D830" s="5">
        <v>171.27</v>
      </c>
      <c r="E830" s="5">
        <v>171.56</v>
      </c>
      <c r="F830" s="6">
        <v>7852525</v>
      </c>
    </row>
    <row r="831" spans="1:6" x14ac:dyDescent="0.2">
      <c r="A831" s="4">
        <v>45678</v>
      </c>
      <c r="B831" s="5">
        <v>172.16</v>
      </c>
      <c r="C831" s="5">
        <v>175.66</v>
      </c>
      <c r="D831" s="5">
        <v>171.22</v>
      </c>
      <c r="E831" s="5">
        <v>172.61</v>
      </c>
      <c r="F831" s="6">
        <v>7548666</v>
      </c>
    </row>
    <row r="832" spans="1:6" x14ac:dyDescent="0.2">
      <c r="A832" s="4">
        <v>45679</v>
      </c>
      <c r="B832" s="5">
        <v>170.3</v>
      </c>
      <c r="C832" s="5">
        <v>170.86840000000001</v>
      </c>
      <c r="D832" s="5">
        <v>168.06</v>
      </c>
      <c r="E832" s="5">
        <v>169.2</v>
      </c>
      <c r="F832" s="6">
        <v>9464994</v>
      </c>
    </row>
    <row r="833" spans="1:6" x14ac:dyDescent="0.2">
      <c r="A833" s="4">
        <v>45680</v>
      </c>
      <c r="B833" s="5">
        <v>170.46</v>
      </c>
      <c r="C833" s="5">
        <v>170.69</v>
      </c>
      <c r="D833" s="5">
        <v>168.48</v>
      </c>
      <c r="E833" s="5">
        <v>170.67</v>
      </c>
      <c r="F833" s="6">
        <v>7116187</v>
      </c>
    </row>
    <row r="834" spans="1:6" x14ac:dyDescent="0.2">
      <c r="A834" s="4">
        <v>45681</v>
      </c>
      <c r="B834" s="5">
        <v>169.32</v>
      </c>
      <c r="C834" s="5">
        <v>171.11</v>
      </c>
      <c r="D834" s="5">
        <v>169.25</v>
      </c>
      <c r="E834" s="5">
        <v>170.3</v>
      </c>
      <c r="F834" s="6">
        <v>5584924</v>
      </c>
    </row>
    <row r="835" spans="1:6" x14ac:dyDescent="0.2">
      <c r="A835" s="4">
        <v>45684</v>
      </c>
      <c r="B835" s="5">
        <v>172.66</v>
      </c>
      <c r="C835" s="5">
        <v>177.45</v>
      </c>
      <c r="D835" s="5">
        <v>172.59</v>
      </c>
      <c r="E835" s="5">
        <v>176.9</v>
      </c>
      <c r="F835" s="6">
        <v>6985212</v>
      </c>
    </row>
    <row r="836" spans="1:6" x14ac:dyDescent="0.2">
      <c r="A836" s="4">
        <v>45685</v>
      </c>
      <c r="B836" s="5">
        <v>176.8</v>
      </c>
      <c r="C836" s="5">
        <v>177.16</v>
      </c>
      <c r="D836" s="5">
        <v>173.73</v>
      </c>
      <c r="E836" s="5">
        <v>174.81</v>
      </c>
      <c r="F836" s="6">
        <v>5604051</v>
      </c>
    </row>
    <row r="837" spans="1:6" x14ac:dyDescent="0.2">
      <c r="A837" s="4">
        <v>45686</v>
      </c>
      <c r="B837" s="5">
        <v>174.5</v>
      </c>
      <c r="C837" s="5">
        <v>176.92</v>
      </c>
      <c r="D837" s="5">
        <v>174.3</v>
      </c>
      <c r="E837" s="5">
        <v>175.26</v>
      </c>
      <c r="F837" s="6">
        <v>3748422</v>
      </c>
    </row>
    <row r="838" spans="1:6" x14ac:dyDescent="0.2">
      <c r="A838" s="4">
        <v>45687</v>
      </c>
      <c r="B838" s="5">
        <v>176.01</v>
      </c>
      <c r="C838" s="5">
        <v>176.12</v>
      </c>
      <c r="D838" s="5">
        <v>173.98</v>
      </c>
      <c r="E838" s="5">
        <v>175.65</v>
      </c>
      <c r="F838" s="6">
        <v>5209206</v>
      </c>
    </row>
    <row r="839" spans="1:6" x14ac:dyDescent="0.2">
      <c r="A839" s="4">
        <v>45688</v>
      </c>
      <c r="B839" s="5">
        <v>187.3</v>
      </c>
      <c r="C839" s="5">
        <v>191.77</v>
      </c>
      <c r="D839" s="5">
        <v>183.67</v>
      </c>
      <c r="E839" s="5">
        <v>183.9</v>
      </c>
      <c r="F839" s="6">
        <v>11928320</v>
      </c>
    </row>
    <row r="840" spans="1:6" x14ac:dyDescent="0.2">
      <c r="A840" s="4">
        <v>45691</v>
      </c>
      <c r="B840" s="5">
        <v>183.18</v>
      </c>
      <c r="C840" s="5">
        <v>191.66</v>
      </c>
      <c r="D840" s="5">
        <v>182.15</v>
      </c>
      <c r="E840" s="5">
        <v>190.14</v>
      </c>
      <c r="F840" s="6">
        <v>9829956</v>
      </c>
    </row>
    <row r="841" spans="1:6" x14ac:dyDescent="0.2">
      <c r="A841" s="4">
        <v>45692</v>
      </c>
      <c r="B841" s="5">
        <v>187.63</v>
      </c>
      <c r="C841" s="5">
        <v>191.15</v>
      </c>
      <c r="D841" s="5">
        <v>187.05</v>
      </c>
      <c r="E841" s="5">
        <v>189.95</v>
      </c>
      <c r="F841" s="6">
        <v>7377753</v>
      </c>
    </row>
    <row r="842" spans="1:6" x14ac:dyDescent="0.2">
      <c r="A842" s="4">
        <v>45693</v>
      </c>
      <c r="B842" s="5">
        <v>190.52</v>
      </c>
      <c r="C842" s="5">
        <v>193.38</v>
      </c>
      <c r="D842" s="5">
        <v>189.92</v>
      </c>
      <c r="E842" s="5">
        <v>191.75</v>
      </c>
      <c r="F842" s="6">
        <v>6449920</v>
      </c>
    </row>
    <row r="843" spans="1:6" x14ac:dyDescent="0.2">
      <c r="A843" s="4">
        <v>45694</v>
      </c>
      <c r="B843" s="5">
        <v>191.9</v>
      </c>
      <c r="C843" s="5">
        <v>194.49</v>
      </c>
      <c r="D843" s="5">
        <v>190.56</v>
      </c>
      <c r="E843" s="5">
        <v>192.97</v>
      </c>
      <c r="F843" s="6">
        <v>4586688</v>
      </c>
    </row>
    <row r="844" spans="1:6" x14ac:dyDescent="0.2">
      <c r="A844" s="4">
        <v>45695</v>
      </c>
      <c r="B844" s="5">
        <v>193.16</v>
      </c>
      <c r="C844" s="5">
        <v>193.86</v>
      </c>
      <c r="D844" s="5">
        <v>190.435</v>
      </c>
      <c r="E844" s="5">
        <v>190.6</v>
      </c>
      <c r="F844" s="6">
        <v>3805940</v>
      </c>
    </row>
    <row r="845" spans="1:6" x14ac:dyDescent="0.2">
      <c r="A845" s="4">
        <v>45698</v>
      </c>
      <c r="B845" s="5">
        <v>191.46</v>
      </c>
      <c r="C845" s="5">
        <v>191.46</v>
      </c>
      <c r="D845" s="5">
        <v>189.09</v>
      </c>
      <c r="E845" s="5">
        <v>190.34</v>
      </c>
      <c r="F845" s="6">
        <v>3685699</v>
      </c>
    </row>
    <row r="846" spans="1:6" x14ac:dyDescent="0.2">
      <c r="A846" s="4">
        <v>45699</v>
      </c>
      <c r="B846" s="5">
        <v>189.8</v>
      </c>
      <c r="C846" s="5">
        <v>191.93</v>
      </c>
      <c r="D846" s="5">
        <v>188.26</v>
      </c>
      <c r="E846" s="5">
        <v>191.83</v>
      </c>
      <c r="F846" s="6">
        <v>3977033</v>
      </c>
    </row>
    <row r="847" spans="1:6" x14ac:dyDescent="0.2">
      <c r="A847" s="4">
        <v>45700</v>
      </c>
      <c r="B847" s="5">
        <v>190.5</v>
      </c>
      <c r="C847" s="5">
        <v>194.37</v>
      </c>
      <c r="D847" s="5">
        <v>190.39</v>
      </c>
      <c r="E847" s="5">
        <v>193</v>
      </c>
      <c r="F847" s="6">
        <v>4525009</v>
      </c>
    </row>
    <row r="848" spans="1:6" x14ac:dyDescent="0.2">
      <c r="A848" s="4">
        <v>45701</v>
      </c>
      <c r="B848" s="5">
        <v>194.28</v>
      </c>
      <c r="C848" s="5">
        <v>194.28</v>
      </c>
      <c r="D848" s="5">
        <v>191.43</v>
      </c>
      <c r="E848" s="5">
        <v>193.45</v>
      </c>
      <c r="F848" s="6">
        <v>4108920</v>
      </c>
    </row>
    <row r="849" spans="1:6" x14ac:dyDescent="0.2">
      <c r="A849" s="4">
        <v>45702</v>
      </c>
      <c r="B849" s="5">
        <v>193.95</v>
      </c>
      <c r="C849" s="5">
        <v>195.18</v>
      </c>
      <c r="D849" s="5">
        <v>192.78</v>
      </c>
      <c r="E849" s="5">
        <v>192.87</v>
      </c>
      <c r="F849" s="6">
        <v>3976903</v>
      </c>
    </row>
    <row r="850" spans="1:6" x14ac:dyDescent="0.2">
      <c r="A850" s="4">
        <v>45706</v>
      </c>
      <c r="B850" s="5">
        <v>192</v>
      </c>
      <c r="C850" s="5">
        <v>197.02</v>
      </c>
      <c r="D850" s="5">
        <v>190.66829999999999</v>
      </c>
      <c r="E850" s="5">
        <v>196.25</v>
      </c>
      <c r="F850" s="6">
        <v>6065546</v>
      </c>
    </row>
    <row r="851" spans="1:6" x14ac:dyDescent="0.2">
      <c r="A851" s="4">
        <v>45707</v>
      </c>
      <c r="B851" s="5">
        <v>196.79</v>
      </c>
      <c r="C851" s="5">
        <v>198.11</v>
      </c>
      <c r="D851" s="5">
        <v>196.01</v>
      </c>
      <c r="E851" s="5">
        <v>197.35</v>
      </c>
      <c r="F851" s="6">
        <v>4888865</v>
      </c>
    </row>
    <row r="852" spans="1:6" x14ac:dyDescent="0.2">
      <c r="A852" s="4">
        <v>45708</v>
      </c>
      <c r="B852" s="5">
        <v>198</v>
      </c>
      <c r="C852" s="5">
        <v>201.36</v>
      </c>
      <c r="D852" s="5">
        <v>196.83</v>
      </c>
      <c r="E852" s="5">
        <v>200.88</v>
      </c>
      <c r="F852" s="6">
        <v>5066999</v>
      </c>
    </row>
    <row r="853" spans="1:6" x14ac:dyDescent="0.2">
      <c r="A853" s="4">
        <v>45709</v>
      </c>
      <c r="B853" s="5">
        <v>200.32</v>
      </c>
      <c r="C853" s="5">
        <v>203.97499999999999</v>
      </c>
      <c r="D853" s="5">
        <v>200.01499999999999</v>
      </c>
      <c r="E853" s="5">
        <v>202.08</v>
      </c>
      <c r="F853" s="6">
        <v>5889360</v>
      </c>
    </row>
    <row r="854" spans="1:6" x14ac:dyDescent="0.2">
      <c r="A854" s="4">
        <v>45712</v>
      </c>
      <c r="B854" s="5">
        <v>201.83</v>
      </c>
      <c r="C854" s="5">
        <v>205.5</v>
      </c>
      <c r="D854" s="5">
        <v>201.28</v>
      </c>
      <c r="E854" s="5">
        <v>204.08</v>
      </c>
      <c r="F854" s="6">
        <v>6304982</v>
      </c>
    </row>
    <row r="855" spans="1:6" x14ac:dyDescent="0.2">
      <c r="A855" s="4">
        <v>45713</v>
      </c>
      <c r="B855" s="5">
        <v>205.17500000000001</v>
      </c>
      <c r="C855" s="5">
        <v>206.01</v>
      </c>
      <c r="D855" s="5">
        <v>202.35</v>
      </c>
      <c r="E855" s="5">
        <v>204.14</v>
      </c>
      <c r="F855" s="6">
        <v>7747037</v>
      </c>
    </row>
    <row r="856" spans="1:6" x14ac:dyDescent="0.2">
      <c r="A856" s="4">
        <v>45714</v>
      </c>
      <c r="B856" s="5">
        <v>203.59</v>
      </c>
      <c r="C856" s="5">
        <v>203.82499999999999</v>
      </c>
      <c r="D856" s="5">
        <v>201.43</v>
      </c>
      <c r="E856" s="5">
        <v>203.01</v>
      </c>
      <c r="F856" s="6">
        <v>4767261</v>
      </c>
    </row>
    <row r="857" spans="1:6" x14ac:dyDescent="0.2">
      <c r="A857" s="4">
        <v>45715</v>
      </c>
      <c r="B857" s="5">
        <v>203.06</v>
      </c>
      <c r="C857" s="5">
        <v>206.8</v>
      </c>
      <c r="D857" s="5">
        <v>202.25</v>
      </c>
      <c r="E857" s="5">
        <v>205.02</v>
      </c>
      <c r="F857" s="6">
        <v>5696853</v>
      </c>
    </row>
    <row r="858" spans="1:6" x14ac:dyDescent="0.2">
      <c r="A858" s="4">
        <v>45716</v>
      </c>
      <c r="B858" s="5">
        <v>205.12</v>
      </c>
      <c r="C858" s="5">
        <v>209.6</v>
      </c>
      <c r="D858" s="5">
        <v>204.41</v>
      </c>
      <c r="E858" s="5">
        <v>209.03</v>
      </c>
      <c r="F858" s="6">
        <v>13136420</v>
      </c>
    </row>
    <row r="859" spans="1:6" x14ac:dyDescent="0.2">
      <c r="A859" s="4">
        <v>45719</v>
      </c>
      <c r="B859" s="5">
        <v>209.98</v>
      </c>
      <c r="C859" s="5">
        <v>212.3</v>
      </c>
      <c r="D859" s="5">
        <v>208.91</v>
      </c>
      <c r="E859" s="5">
        <v>211.48</v>
      </c>
      <c r="F859" s="6">
        <v>7016425</v>
      </c>
    </row>
    <row r="860" spans="1:6" x14ac:dyDescent="0.2">
      <c r="A860" s="4">
        <v>45720</v>
      </c>
      <c r="B860" s="5">
        <v>214.47</v>
      </c>
      <c r="C860" s="5">
        <v>215.66</v>
      </c>
      <c r="D860" s="5">
        <v>207.67</v>
      </c>
      <c r="E860" s="5">
        <v>207.76</v>
      </c>
      <c r="F860" s="6">
        <v>7553973</v>
      </c>
    </row>
    <row r="861" spans="1:6" x14ac:dyDescent="0.2">
      <c r="A861" s="4">
        <v>45721</v>
      </c>
      <c r="B861" s="5">
        <v>207.07</v>
      </c>
      <c r="C861" s="5">
        <v>212.18</v>
      </c>
      <c r="D861" s="5">
        <v>206</v>
      </c>
      <c r="E861" s="5">
        <v>211.54</v>
      </c>
      <c r="F861" s="6">
        <v>5753191</v>
      </c>
    </row>
    <row r="862" spans="1:6" x14ac:dyDescent="0.2">
      <c r="A862" s="4">
        <v>45722</v>
      </c>
      <c r="B862" s="5">
        <v>211.45</v>
      </c>
      <c r="C862" s="5">
        <v>211.98</v>
      </c>
      <c r="D862" s="5">
        <v>208.5044</v>
      </c>
      <c r="E862" s="5">
        <v>210.75</v>
      </c>
      <c r="F862" s="6">
        <v>4345958</v>
      </c>
    </row>
    <row r="863" spans="1:6" x14ac:dyDescent="0.2">
      <c r="A863" s="4">
        <v>45723</v>
      </c>
      <c r="B863" s="5">
        <v>211.11</v>
      </c>
      <c r="C863" s="5">
        <v>214.99</v>
      </c>
      <c r="D863" s="5">
        <v>209</v>
      </c>
      <c r="E863" s="5">
        <v>214.29</v>
      </c>
      <c r="F863" s="6">
        <v>6806116</v>
      </c>
    </row>
    <row r="864" spans="1:6" x14ac:dyDescent="0.2">
      <c r="A864" s="4">
        <v>45726</v>
      </c>
      <c r="B864" s="5">
        <v>209.99</v>
      </c>
      <c r="C864" s="5">
        <v>218.66</v>
      </c>
      <c r="D864" s="5">
        <v>209.2</v>
      </c>
      <c r="E864" s="5">
        <v>216.66</v>
      </c>
      <c r="F864" s="6">
        <v>8604021</v>
      </c>
    </row>
    <row r="865" spans="1:6" x14ac:dyDescent="0.2">
      <c r="A865" s="4">
        <v>45727</v>
      </c>
      <c r="B865" s="5">
        <v>216.66</v>
      </c>
      <c r="C865" s="5">
        <v>216.66</v>
      </c>
      <c r="D865" s="5">
        <v>212.41</v>
      </c>
      <c r="E865" s="5">
        <v>213.59</v>
      </c>
      <c r="F865" s="6">
        <v>7144519</v>
      </c>
    </row>
    <row r="866" spans="1:6" x14ac:dyDescent="0.2">
      <c r="A866" s="4">
        <v>45728</v>
      </c>
      <c r="B866" s="5">
        <v>212</v>
      </c>
      <c r="C866" s="5">
        <v>213.87</v>
      </c>
      <c r="D866" s="5">
        <v>209.31</v>
      </c>
      <c r="E866" s="5">
        <v>212.06</v>
      </c>
      <c r="F866" s="6">
        <v>6139777</v>
      </c>
    </row>
    <row r="867" spans="1:6" x14ac:dyDescent="0.2">
      <c r="A867" s="4">
        <v>45729</v>
      </c>
      <c r="B867" s="5">
        <v>212</v>
      </c>
      <c r="C867" s="5">
        <v>213.8</v>
      </c>
      <c r="D867" s="5">
        <v>210.68</v>
      </c>
      <c r="E867" s="5">
        <v>211.55</v>
      </c>
      <c r="F867" s="6">
        <v>5559530</v>
      </c>
    </row>
    <row r="868" spans="1:6" x14ac:dyDescent="0.2">
      <c r="A868" s="4">
        <v>45730</v>
      </c>
      <c r="B868" s="5">
        <v>209.78</v>
      </c>
      <c r="C868" s="5">
        <v>212.82</v>
      </c>
      <c r="D868" s="5">
        <v>208.285</v>
      </c>
      <c r="E868" s="5">
        <v>211.77</v>
      </c>
      <c r="F868" s="6">
        <v>4511554</v>
      </c>
    </row>
    <row r="869" spans="1:6" x14ac:dyDescent="0.2">
      <c r="A869" s="4">
        <v>45733</v>
      </c>
      <c r="B869" s="5">
        <v>212.22</v>
      </c>
      <c r="C869" s="5">
        <v>215.5</v>
      </c>
      <c r="D869" s="5">
        <v>209.52</v>
      </c>
      <c r="E869" s="5">
        <v>214.47</v>
      </c>
      <c r="F869" s="6">
        <v>5075817</v>
      </c>
    </row>
    <row r="870" spans="1:6" x14ac:dyDescent="0.2">
      <c r="A870" s="4">
        <v>45734</v>
      </c>
      <c r="B870" s="5">
        <v>214.47</v>
      </c>
      <c r="C870" s="5">
        <v>215.18</v>
      </c>
      <c r="D870" s="5">
        <v>212.27</v>
      </c>
      <c r="E870" s="5">
        <v>213.85</v>
      </c>
      <c r="F870" s="6">
        <v>5088300</v>
      </c>
    </row>
    <row r="871" spans="1:6" x14ac:dyDescent="0.2">
      <c r="A871" s="4">
        <v>45735</v>
      </c>
      <c r="B871" s="5">
        <v>214.03</v>
      </c>
      <c r="C871" s="5">
        <v>214.5</v>
      </c>
      <c r="D871" s="5">
        <v>210.78</v>
      </c>
      <c r="E871" s="5">
        <v>212.25</v>
      </c>
      <c r="F871" s="6">
        <v>5413299</v>
      </c>
    </row>
    <row r="872" spans="1:6" x14ac:dyDescent="0.2">
      <c r="A872" s="4">
        <v>45736</v>
      </c>
      <c r="B872" s="5">
        <v>213.01</v>
      </c>
      <c r="C872" s="5">
        <v>213.42</v>
      </c>
      <c r="D872" s="5">
        <v>211.11</v>
      </c>
      <c r="E872" s="5">
        <v>211.96</v>
      </c>
      <c r="F872" s="6">
        <v>5836059</v>
      </c>
    </row>
    <row r="873" spans="1:6" x14ac:dyDescent="0.2">
      <c r="A873" s="4">
        <v>45737</v>
      </c>
      <c r="B873" s="5">
        <v>211.73</v>
      </c>
      <c r="C873" s="5">
        <v>212.88</v>
      </c>
      <c r="D873" s="5">
        <v>208.74</v>
      </c>
      <c r="E873" s="5">
        <v>210.01</v>
      </c>
      <c r="F873" s="6">
        <v>16657720</v>
      </c>
    </row>
    <row r="874" spans="1:6" x14ac:dyDescent="0.2">
      <c r="A874" s="4">
        <v>45740</v>
      </c>
      <c r="B874" s="5">
        <v>209.39</v>
      </c>
      <c r="C874" s="5">
        <v>211.02</v>
      </c>
      <c r="D874" s="5">
        <v>207.5</v>
      </c>
      <c r="E874" s="5">
        <v>209.17</v>
      </c>
      <c r="F874" s="6">
        <v>7393756</v>
      </c>
    </row>
    <row r="875" spans="1:6" x14ac:dyDescent="0.2">
      <c r="A875" s="4">
        <v>45741</v>
      </c>
      <c r="B875" s="5">
        <v>209.22</v>
      </c>
      <c r="C875" s="5">
        <v>209.26</v>
      </c>
      <c r="D875" s="5">
        <v>199.38</v>
      </c>
      <c r="E875" s="5">
        <v>201.34</v>
      </c>
      <c r="F875" s="6">
        <v>10089070</v>
      </c>
    </row>
    <row r="876" spans="1:6" x14ac:dyDescent="0.2">
      <c r="A876" s="4">
        <v>45742</v>
      </c>
      <c r="B876" s="5">
        <v>203.11500000000001</v>
      </c>
      <c r="C876" s="5">
        <v>203.11500000000001</v>
      </c>
      <c r="D876" s="5">
        <v>196.49</v>
      </c>
      <c r="E876" s="5">
        <v>201.3</v>
      </c>
      <c r="F876" s="6">
        <v>6743496</v>
      </c>
    </row>
    <row r="877" spans="1:6" x14ac:dyDescent="0.2">
      <c r="A877" s="4">
        <v>45743</v>
      </c>
      <c r="B877" s="5">
        <v>202.02</v>
      </c>
      <c r="C877" s="5">
        <v>203.68</v>
      </c>
      <c r="D877" s="5">
        <v>201.3</v>
      </c>
      <c r="E877" s="5">
        <v>202.72</v>
      </c>
      <c r="F877" s="6">
        <v>4995303</v>
      </c>
    </row>
    <row r="878" spans="1:6" x14ac:dyDescent="0.2">
      <c r="A878" s="4">
        <v>45744</v>
      </c>
      <c r="B878" s="5">
        <v>202.73</v>
      </c>
      <c r="C878" s="5">
        <v>206.02</v>
      </c>
      <c r="D878" s="5">
        <v>201.59</v>
      </c>
      <c r="E878" s="5">
        <v>205.29</v>
      </c>
      <c r="F878" s="6">
        <v>6478272</v>
      </c>
    </row>
    <row r="879" spans="1:6" x14ac:dyDescent="0.2">
      <c r="A879" s="4">
        <v>45747</v>
      </c>
      <c r="B879" s="5">
        <v>204.43</v>
      </c>
      <c r="C879" s="5">
        <v>210.80500000000001</v>
      </c>
      <c r="D879" s="5">
        <v>204.43</v>
      </c>
      <c r="E879" s="5">
        <v>209.52</v>
      </c>
      <c r="F879" s="6">
        <v>11093910</v>
      </c>
    </row>
    <row r="880" spans="1:6" x14ac:dyDescent="0.2">
      <c r="A880" s="4">
        <v>45748</v>
      </c>
      <c r="B880" s="5">
        <v>210.52</v>
      </c>
      <c r="C880" s="5">
        <v>212.15</v>
      </c>
      <c r="D880" s="5">
        <v>205.6</v>
      </c>
      <c r="E880" s="5">
        <v>206.27</v>
      </c>
      <c r="F880" s="6">
        <v>7853225</v>
      </c>
    </row>
    <row r="881" spans="1:6" x14ac:dyDescent="0.2">
      <c r="A881" s="4">
        <v>45749</v>
      </c>
      <c r="B881" s="5">
        <v>207.22</v>
      </c>
      <c r="C881" s="5">
        <v>207.22</v>
      </c>
      <c r="D881" s="5">
        <v>200.33500000000001</v>
      </c>
      <c r="E881" s="5">
        <v>205.19</v>
      </c>
      <c r="F881" s="6">
        <v>9262821</v>
      </c>
    </row>
    <row r="882" spans="1:6" x14ac:dyDescent="0.2">
      <c r="A882" s="4">
        <v>45750</v>
      </c>
      <c r="B882" s="5">
        <v>210.3</v>
      </c>
      <c r="C882" s="5">
        <v>210.69</v>
      </c>
      <c r="D882" s="5">
        <v>201.24</v>
      </c>
      <c r="E882" s="5">
        <v>201.64</v>
      </c>
      <c r="F882" s="6">
        <v>7593125</v>
      </c>
    </row>
    <row r="883" spans="1:6" x14ac:dyDescent="0.2">
      <c r="A883" s="4">
        <v>45751</v>
      </c>
      <c r="B883" s="5">
        <v>200</v>
      </c>
      <c r="C883" s="5">
        <v>200</v>
      </c>
      <c r="D883" s="5">
        <v>186.17</v>
      </c>
      <c r="E883" s="5">
        <v>186.96</v>
      </c>
      <c r="F883" s="6">
        <v>13505190</v>
      </c>
    </row>
    <row r="884" spans="1:6" x14ac:dyDescent="0.2">
      <c r="A884" s="4">
        <v>45754</v>
      </c>
      <c r="B884" s="5">
        <v>181.03</v>
      </c>
      <c r="C884" s="5">
        <v>188.2</v>
      </c>
      <c r="D884" s="5">
        <v>176.28</v>
      </c>
      <c r="E884" s="5">
        <v>186.55</v>
      </c>
      <c r="F884" s="6">
        <v>12581050</v>
      </c>
    </row>
    <row r="885" spans="1:6" x14ac:dyDescent="0.2">
      <c r="A885" s="4">
        <v>45755</v>
      </c>
      <c r="B885" s="5">
        <v>187.6</v>
      </c>
      <c r="C885" s="5">
        <v>188.39</v>
      </c>
      <c r="D885" s="5">
        <v>172.32400000000001</v>
      </c>
      <c r="E885" s="5">
        <v>175.67</v>
      </c>
      <c r="F885" s="6">
        <v>12517110</v>
      </c>
    </row>
    <row r="886" spans="1:6" x14ac:dyDescent="0.2">
      <c r="A886" s="4">
        <v>45756</v>
      </c>
      <c r="B886" s="5">
        <v>168.3</v>
      </c>
      <c r="C886" s="5">
        <v>180.6</v>
      </c>
      <c r="D886" s="5">
        <v>164.39</v>
      </c>
      <c r="E886" s="5">
        <v>179.84</v>
      </c>
      <c r="F886" s="6">
        <v>18977760</v>
      </c>
    </row>
    <row r="887" spans="1:6" x14ac:dyDescent="0.2">
      <c r="A887" s="4">
        <v>45757</v>
      </c>
      <c r="B887" s="5">
        <v>177.75</v>
      </c>
      <c r="C887" s="5">
        <v>178</v>
      </c>
      <c r="D887" s="5">
        <v>164.965</v>
      </c>
      <c r="E887" s="5">
        <v>174.2</v>
      </c>
      <c r="F887" s="6">
        <v>13969950</v>
      </c>
    </row>
    <row r="888" spans="1:6" x14ac:dyDescent="0.2">
      <c r="A888" s="4">
        <v>45758</v>
      </c>
      <c r="B888" s="5">
        <v>173.81</v>
      </c>
      <c r="C888" s="5">
        <v>176.97</v>
      </c>
      <c r="D888" s="5">
        <v>169.3304</v>
      </c>
      <c r="E888" s="5">
        <v>175.05</v>
      </c>
      <c r="F888" s="6">
        <v>9047688</v>
      </c>
    </row>
    <row r="889" spans="1:6" x14ac:dyDescent="0.2">
      <c r="A889" s="4">
        <v>45761</v>
      </c>
      <c r="B889" s="5">
        <v>177.44</v>
      </c>
      <c r="C889" s="5">
        <v>180.19</v>
      </c>
      <c r="D889" s="5">
        <v>176.2</v>
      </c>
      <c r="E889" s="5">
        <v>179.1</v>
      </c>
      <c r="F889" s="6">
        <v>7164364</v>
      </c>
    </row>
    <row r="890" spans="1:6" x14ac:dyDescent="0.2">
      <c r="A890" s="4">
        <v>45762</v>
      </c>
      <c r="B890" s="5">
        <v>177.7</v>
      </c>
      <c r="C890" s="5">
        <v>180.5</v>
      </c>
      <c r="D890" s="5">
        <v>176.31</v>
      </c>
      <c r="E890" s="5">
        <v>176.8</v>
      </c>
      <c r="F890" s="6">
        <v>8078530</v>
      </c>
    </row>
    <row r="891" spans="1:6" x14ac:dyDescent="0.2">
      <c r="A891" s="4">
        <v>45763</v>
      </c>
      <c r="B891" s="5">
        <v>176.52500000000001</v>
      </c>
      <c r="C891" s="5">
        <v>176.85</v>
      </c>
      <c r="D891" s="5">
        <v>169.74760000000001</v>
      </c>
      <c r="E891" s="5">
        <v>171.68</v>
      </c>
      <c r="F891" s="6">
        <v>9459653</v>
      </c>
    </row>
    <row r="892" spans="1:6" x14ac:dyDescent="0.2">
      <c r="A892" s="4">
        <v>45764</v>
      </c>
      <c r="B892" s="5">
        <v>172.57</v>
      </c>
      <c r="C892" s="5">
        <v>175.2</v>
      </c>
      <c r="D892" s="5">
        <v>171.90780000000001</v>
      </c>
      <c r="E892" s="5">
        <v>172.99</v>
      </c>
      <c r="F892" s="6">
        <v>8998056</v>
      </c>
    </row>
    <row r="893" spans="1:6" x14ac:dyDescent="0.2">
      <c r="A893" s="4">
        <v>45768</v>
      </c>
      <c r="B893" s="5">
        <v>173.47</v>
      </c>
      <c r="C893" s="5">
        <v>174.16720000000001</v>
      </c>
      <c r="D893" s="5">
        <v>168.54</v>
      </c>
      <c r="E893" s="5">
        <v>170.16</v>
      </c>
      <c r="F893" s="6">
        <v>7364554</v>
      </c>
    </row>
    <row r="894" spans="1:6" x14ac:dyDescent="0.2">
      <c r="A894" s="4">
        <v>45769</v>
      </c>
      <c r="B894" s="5">
        <v>171.08</v>
      </c>
      <c r="C894" s="5">
        <v>174.655</v>
      </c>
      <c r="D894" s="5">
        <v>170.91</v>
      </c>
      <c r="E894" s="5">
        <v>173.78</v>
      </c>
      <c r="F894" s="6">
        <v>6191935</v>
      </c>
    </row>
    <row r="895" spans="1:6" x14ac:dyDescent="0.2">
      <c r="A895" s="4">
        <v>45770</v>
      </c>
      <c r="B895" s="5">
        <v>175</v>
      </c>
      <c r="C895" s="5">
        <v>178.15</v>
      </c>
      <c r="D895" s="5">
        <v>174.4</v>
      </c>
      <c r="E895" s="5">
        <v>177.05</v>
      </c>
      <c r="F895" s="6">
        <v>7119729</v>
      </c>
    </row>
    <row r="896" spans="1:6" x14ac:dyDescent="0.2">
      <c r="A896" s="4">
        <v>45771</v>
      </c>
      <c r="B896" s="5">
        <v>177.61</v>
      </c>
      <c r="C896" s="5">
        <v>181.49</v>
      </c>
      <c r="D896" s="5">
        <v>176.11</v>
      </c>
      <c r="E896" s="5">
        <v>180.37</v>
      </c>
      <c r="F896" s="6">
        <v>8789373</v>
      </c>
    </row>
    <row r="897" spans="1:6" x14ac:dyDescent="0.2">
      <c r="A897" s="4">
        <v>45772</v>
      </c>
      <c r="B897" s="5">
        <v>187.12</v>
      </c>
      <c r="C897" s="5">
        <v>188.7</v>
      </c>
      <c r="D897" s="5">
        <v>179.99</v>
      </c>
      <c r="E897" s="5">
        <v>186.06</v>
      </c>
      <c r="F897" s="6">
        <v>10482070</v>
      </c>
    </row>
    <row r="898" spans="1:6" x14ac:dyDescent="0.2">
      <c r="A898" s="4">
        <v>45775</v>
      </c>
      <c r="B898" s="5">
        <v>188</v>
      </c>
      <c r="C898" s="5">
        <v>193.12</v>
      </c>
      <c r="D898" s="5">
        <v>187.63499999999999</v>
      </c>
      <c r="E898" s="5">
        <v>192.34</v>
      </c>
      <c r="F898" s="6">
        <v>10408020</v>
      </c>
    </row>
    <row r="899" spans="1:6" x14ac:dyDescent="0.2">
      <c r="A899" s="4">
        <v>45776</v>
      </c>
      <c r="B899" s="5">
        <v>192.58500000000001</v>
      </c>
      <c r="C899" s="5">
        <v>195.54</v>
      </c>
      <c r="D899" s="5">
        <v>190.5813</v>
      </c>
      <c r="E899" s="5">
        <v>193.51</v>
      </c>
      <c r="F899" s="6">
        <v>6671567</v>
      </c>
    </row>
    <row r="900" spans="1:6" x14ac:dyDescent="0.2">
      <c r="A900" s="4">
        <v>45777</v>
      </c>
      <c r="B900" s="5">
        <v>194.49</v>
      </c>
      <c r="C900" s="5">
        <v>195.78</v>
      </c>
      <c r="D900" s="5">
        <v>191.01</v>
      </c>
      <c r="E900" s="5">
        <v>195.1</v>
      </c>
      <c r="F900" s="6">
        <v>8400727</v>
      </c>
    </row>
    <row r="901" spans="1:6" x14ac:dyDescent="0.2">
      <c r="A901" s="4">
        <v>45778</v>
      </c>
      <c r="B901" s="5">
        <v>192.88</v>
      </c>
      <c r="C901" s="5">
        <v>195.815</v>
      </c>
      <c r="D901" s="5">
        <v>189.8</v>
      </c>
      <c r="E901" s="5">
        <v>193.34</v>
      </c>
      <c r="F901" s="6">
        <v>5823568</v>
      </c>
    </row>
    <row r="902" spans="1:6" x14ac:dyDescent="0.2">
      <c r="A902" s="4">
        <v>45779</v>
      </c>
      <c r="B902" s="5">
        <v>195.17</v>
      </c>
      <c r="C902" s="5">
        <v>198.98</v>
      </c>
      <c r="D902" s="5">
        <v>194.63</v>
      </c>
      <c r="E902" s="5">
        <v>198.47</v>
      </c>
      <c r="F902" s="6">
        <v>6425165</v>
      </c>
    </row>
    <row r="903" spans="1:6" x14ac:dyDescent="0.2">
      <c r="A903" s="4">
        <v>45782</v>
      </c>
      <c r="B903" s="5">
        <v>198.47</v>
      </c>
      <c r="C903" s="5">
        <v>198.495</v>
      </c>
      <c r="D903" s="5">
        <v>195.03</v>
      </c>
      <c r="E903" s="5">
        <v>196.07</v>
      </c>
      <c r="F903" s="6">
        <v>5121472</v>
      </c>
    </row>
    <row r="904" spans="1:6" x14ac:dyDescent="0.2">
      <c r="A904" s="4">
        <v>45783</v>
      </c>
      <c r="B904" s="5">
        <v>195.5</v>
      </c>
      <c r="C904" s="5">
        <v>195.82</v>
      </c>
      <c r="D904" s="5">
        <v>185.74</v>
      </c>
      <c r="E904" s="5">
        <v>187.15</v>
      </c>
      <c r="F904" s="6">
        <v>9392012</v>
      </c>
    </row>
    <row r="905" spans="1:6" x14ac:dyDescent="0.2">
      <c r="A905" s="4">
        <v>45784</v>
      </c>
      <c r="B905" s="5">
        <v>188.17</v>
      </c>
      <c r="C905" s="5">
        <v>190.18</v>
      </c>
      <c r="D905" s="5">
        <v>186.75</v>
      </c>
      <c r="E905" s="5">
        <v>188.09</v>
      </c>
      <c r="F905" s="6">
        <v>5773879</v>
      </c>
    </row>
    <row r="906" spans="1:6" x14ac:dyDescent="0.2">
      <c r="A906" s="4">
        <v>45785</v>
      </c>
      <c r="B906" s="5">
        <v>184.13</v>
      </c>
      <c r="C906" s="5">
        <v>186.66149999999999</v>
      </c>
      <c r="D906" s="5">
        <v>181.64</v>
      </c>
      <c r="E906" s="5">
        <v>185.58</v>
      </c>
      <c r="F906" s="6">
        <v>8816708</v>
      </c>
    </row>
    <row r="907" spans="1:6" x14ac:dyDescent="0.2">
      <c r="A907" s="4">
        <v>45786</v>
      </c>
      <c r="B907" s="5">
        <v>185.75</v>
      </c>
      <c r="C907" s="5">
        <v>189.77</v>
      </c>
      <c r="D907" s="5">
        <v>184.23</v>
      </c>
      <c r="E907" s="5">
        <v>184.6</v>
      </c>
      <c r="F907" s="6">
        <v>7806372</v>
      </c>
    </row>
    <row r="908" spans="1:6" x14ac:dyDescent="0.2">
      <c r="A908" s="4">
        <v>45789</v>
      </c>
      <c r="B908" s="5">
        <v>180</v>
      </c>
      <c r="C908" s="5">
        <v>192.69</v>
      </c>
      <c r="D908" s="5">
        <v>180</v>
      </c>
      <c r="E908" s="5">
        <v>190.07</v>
      </c>
      <c r="F908" s="6">
        <v>12792680</v>
      </c>
    </row>
    <row r="909" spans="1:6" x14ac:dyDescent="0.2">
      <c r="A909" s="4">
        <v>45790</v>
      </c>
      <c r="B909" s="5">
        <v>189.03</v>
      </c>
      <c r="C909" s="5">
        <v>189.76</v>
      </c>
      <c r="D909" s="5">
        <v>185.41</v>
      </c>
      <c r="E909" s="5">
        <v>188</v>
      </c>
      <c r="F909" s="6">
        <v>7523807</v>
      </c>
    </row>
    <row r="910" spans="1:6" x14ac:dyDescent="0.2">
      <c r="A910" s="4">
        <v>45791</v>
      </c>
      <c r="B910" s="5">
        <v>186.51499999999999</v>
      </c>
      <c r="C910" s="5">
        <v>187.64500000000001</v>
      </c>
      <c r="D910" s="5">
        <v>176.6</v>
      </c>
      <c r="E910" s="5">
        <v>177.44</v>
      </c>
      <c r="F910" s="6">
        <v>12211960</v>
      </c>
    </row>
    <row r="911" spans="1:6" x14ac:dyDescent="0.2">
      <c r="A911" s="4">
        <v>45792</v>
      </c>
      <c r="B911" s="5">
        <v>178.01499999999999</v>
      </c>
      <c r="C911" s="5">
        <v>182.11</v>
      </c>
      <c r="D911" s="5">
        <v>176.57</v>
      </c>
      <c r="E911" s="5">
        <v>181.68</v>
      </c>
      <c r="F911" s="6">
        <v>12073300</v>
      </c>
    </row>
    <row r="912" spans="1:6" x14ac:dyDescent="0.2">
      <c r="A912" s="4">
        <v>45793</v>
      </c>
      <c r="B912" s="5">
        <v>181.3</v>
      </c>
      <c r="C912" s="5">
        <v>184.07</v>
      </c>
      <c r="D912" s="5">
        <v>180.52</v>
      </c>
      <c r="E912" s="5">
        <v>184.02</v>
      </c>
      <c r="F912" s="6">
        <v>6152806</v>
      </c>
    </row>
    <row r="913" spans="1:6" x14ac:dyDescent="0.2">
      <c r="A913" s="4">
        <v>45796</v>
      </c>
      <c r="B913" s="5">
        <v>184.22</v>
      </c>
      <c r="C913" s="5">
        <v>185.8</v>
      </c>
      <c r="D913" s="5">
        <v>182.51</v>
      </c>
      <c r="E913" s="5">
        <v>185.71</v>
      </c>
      <c r="F913" s="6">
        <v>5216727</v>
      </c>
    </row>
    <row r="914" spans="1:6" x14ac:dyDescent="0.2">
      <c r="A914" s="4">
        <v>45797</v>
      </c>
      <c r="B914" s="5">
        <v>184.86</v>
      </c>
      <c r="C914" s="5">
        <v>186</v>
      </c>
      <c r="D914" s="5">
        <v>183.63499999999999</v>
      </c>
      <c r="E914" s="5">
        <v>184.85</v>
      </c>
      <c r="F914" s="6">
        <v>5505377</v>
      </c>
    </row>
    <row r="915" spans="1:6" x14ac:dyDescent="0.2">
      <c r="A915" s="4">
        <v>45798</v>
      </c>
      <c r="B915" s="5">
        <v>183.93</v>
      </c>
      <c r="C915" s="5">
        <v>184.8099</v>
      </c>
      <c r="D915" s="5">
        <v>181.54</v>
      </c>
      <c r="E915" s="5">
        <v>181.8</v>
      </c>
      <c r="F915" s="6">
        <v>5140901</v>
      </c>
    </row>
    <row r="916" spans="1:6" x14ac:dyDescent="0.2">
      <c r="A916" s="4">
        <v>45799</v>
      </c>
      <c r="B916" s="5">
        <v>181.41</v>
      </c>
      <c r="C916" s="5">
        <v>183.55500000000001</v>
      </c>
      <c r="D916" s="5">
        <v>180.25</v>
      </c>
      <c r="E916" s="5">
        <v>182.54</v>
      </c>
      <c r="F916" s="6">
        <v>4689223</v>
      </c>
    </row>
    <row r="917" spans="1:6" x14ac:dyDescent="0.2">
      <c r="A917" s="4">
        <v>45800</v>
      </c>
      <c r="B917" s="5">
        <v>182.37</v>
      </c>
      <c r="C917" s="5">
        <v>184.11500000000001</v>
      </c>
      <c r="D917" s="5">
        <v>181.715</v>
      </c>
      <c r="E917" s="5">
        <v>183.26</v>
      </c>
      <c r="F917" s="6">
        <v>4027044</v>
      </c>
    </row>
    <row r="918" spans="1:6" x14ac:dyDescent="0.2">
      <c r="A918" s="4">
        <v>45804</v>
      </c>
      <c r="B918" s="5">
        <v>184.27</v>
      </c>
      <c r="C918" s="5">
        <v>185.99</v>
      </c>
      <c r="D918" s="5">
        <v>183.9</v>
      </c>
      <c r="E918" s="5">
        <v>185.72</v>
      </c>
      <c r="F918" s="6">
        <v>5726691</v>
      </c>
    </row>
    <row r="919" spans="1:6" x14ac:dyDescent="0.2">
      <c r="A919" s="4">
        <v>45805</v>
      </c>
      <c r="B919" s="5">
        <v>185.35</v>
      </c>
      <c r="C919" s="5">
        <v>186.1</v>
      </c>
      <c r="D919" s="5">
        <v>182.37</v>
      </c>
      <c r="E919" s="5">
        <v>183.09</v>
      </c>
      <c r="F919" s="6">
        <v>4787790</v>
      </c>
    </row>
    <row r="920" spans="1:6" x14ac:dyDescent="0.2">
      <c r="A920" s="4">
        <v>45806</v>
      </c>
      <c r="B920" s="5">
        <v>183.46</v>
      </c>
      <c r="C920" s="5">
        <v>186.75</v>
      </c>
      <c r="D920" s="5">
        <v>182.68809999999999</v>
      </c>
      <c r="E920" s="5">
        <v>185.62</v>
      </c>
      <c r="F920" s="6">
        <v>4926034</v>
      </c>
    </row>
    <row r="921" spans="1:6" x14ac:dyDescent="0.2">
      <c r="A921" s="4">
        <v>45807</v>
      </c>
      <c r="B921" s="5">
        <v>185</v>
      </c>
      <c r="C921" s="5">
        <v>186.68989999999999</v>
      </c>
      <c r="D921" s="5">
        <v>183.01</v>
      </c>
      <c r="E921" s="5">
        <v>186.11</v>
      </c>
      <c r="F921" s="6">
        <v>11609040</v>
      </c>
    </row>
    <row r="922" spans="1:6" x14ac:dyDescent="0.2">
      <c r="A922" s="4">
        <v>45810</v>
      </c>
      <c r="B922" s="5">
        <v>185.73</v>
      </c>
      <c r="C922" s="5">
        <v>186.99</v>
      </c>
      <c r="D922" s="5">
        <v>183.1601</v>
      </c>
      <c r="E922" s="5">
        <v>186.99</v>
      </c>
      <c r="F922" s="6">
        <v>4435629</v>
      </c>
    </row>
    <row r="923" spans="1:6" x14ac:dyDescent="0.2">
      <c r="A923" s="4">
        <v>45811</v>
      </c>
      <c r="B923" s="5">
        <v>186.9</v>
      </c>
      <c r="C923" s="5">
        <v>188.73</v>
      </c>
      <c r="D923" s="5">
        <v>184.82</v>
      </c>
      <c r="E923" s="5">
        <v>187.25</v>
      </c>
      <c r="F923" s="6">
        <v>5335592</v>
      </c>
    </row>
    <row r="924" spans="1:6" x14ac:dyDescent="0.2">
      <c r="A924" s="4">
        <v>45812</v>
      </c>
      <c r="B924" s="5">
        <v>188.41</v>
      </c>
      <c r="C924" s="5">
        <v>190.18</v>
      </c>
      <c r="D924" s="5">
        <v>187.27</v>
      </c>
      <c r="E924" s="5">
        <v>187.34</v>
      </c>
      <c r="F924" s="6">
        <v>4382380</v>
      </c>
    </row>
    <row r="925" spans="1:6" x14ac:dyDescent="0.2">
      <c r="A925" s="4">
        <v>45813</v>
      </c>
      <c r="B925" s="5">
        <v>187.5</v>
      </c>
      <c r="C925" s="5">
        <v>188.6</v>
      </c>
      <c r="D925" s="5">
        <v>185.05</v>
      </c>
      <c r="E925" s="5">
        <v>187.47</v>
      </c>
      <c r="F925" s="6">
        <v>4418520</v>
      </c>
    </row>
    <row r="926" spans="1:6" x14ac:dyDescent="0.2">
      <c r="A926" s="4">
        <v>45814</v>
      </c>
      <c r="B926" s="5">
        <v>188.49</v>
      </c>
      <c r="C926" s="5">
        <v>190.49</v>
      </c>
      <c r="D926" s="5">
        <v>188.3</v>
      </c>
      <c r="E926" s="5">
        <v>189.83</v>
      </c>
      <c r="F926" s="6">
        <v>3607927</v>
      </c>
    </row>
    <row r="927" spans="1:6" x14ac:dyDescent="0.2">
      <c r="A927" s="4">
        <v>45817</v>
      </c>
      <c r="B927" s="5">
        <v>190.51</v>
      </c>
      <c r="C927" s="5">
        <v>191.79</v>
      </c>
      <c r="D927" s="5">
        <v>189.00800000000001</v>
      </c>
      <c r="E927" s="5">
        <v>189.16</v>
      </c>
      <c r="F927" s="6">
        <v>4661638</v>
      </c>
    </row>
    <row r="928" spans="1:6" x14ac:dyDescent="0.2">
      <c r="A928" s="4">
        <v>45818</v>
      </c>
      <c r="B928" s="5">
        <v>189.04</v>
      </c>
      <c r="C928" s="5">
        <v>191.88</v>
      </c>
      <c r="D928" s="5">
        <v>188.8</v>
      </c>
      <c r="E928" s="5">
        <v>189.5</v>
      </c>
      <c r="F928" s="6">
        <v>4087503</v>
      </c>
    </row>
    <row r="929" spans="1:6" x14ac:dyDescent="0.2">
      <c r="A929" s="4">
        <v>45819</v>
      </c>
      <c r="B929" s="5">
        <v>189.34</v>
      </c>
      <c r="C929" s="5">
        <v>192.72</v>
      </c>
      <c r="D929" s="5">
        <v>189.06</v>
      </c>
      <c r="E929" s="5">
        <v>191.5</v>
      </c>
      <c r="F929" s="6">
        <v>3907958</v>
      </c>
    </row>
    <row r="930" spans="1:6" x14ac:dyDescent="0.2">
      <c r="A930" s="4">
        <v>45820</v>
      </c>
      <c r="B930" s="5">
        <v>192.2</v>
      </c>
      <c r="C930" s="5">
        <v>193.58959999999999</v>
      </c>
      <c r="D930" s="5">
        <v>187.40780000000001</v>
      </c>
      <c r="E930" s="5">
        <v>192.42</v>
      </c>
      <c r="F930" s="6">
        <v>5781429</v>
      </c>
    </row>
    <row r="931" spans="1:6" x14ac:dyDescent="0.2">
      <c r="A931" s="4">
        <v>45821</v>
      </c>
      <c r="B931" s="5">
        <v>191.56</v>
      </c>
      <c r="C931" s="5">
        <v>193.47</v>
      </c>
      <c r="D931" s="5">
        <v>190.29</v>
      </c>
      <c r="E931" s="5">
        <v>191.08</v>
      </c>
      <c r="F931" s="6">
        <v>4965775</v>
      </c>
    </row>
    <row r="932" spans="1:6" x14ac:dyDescent="0.2">
      <c r="A932" s="4">
        <v>45824</v>
      </c>
      <c r="B932" s="5">
        <v>190.9</v>
      </c>
      <c r="C932" s="5">
        <v>191.65809999999999</v>
      </c>
      <c r="D932" s="5">
        <v>188.93</v>
      </c>
      <c r="E932" s="5">
        <v>190.86</v>
      </c>
      <c r="F932" s="6">
        <v>4203942</v>
      </c>
    </row>
    <row r="933" spans="1:6" x14ac:dyDescent="0.2">
      <c r="A933" s="4">
        <v>45825</v>
      </c>
      <c r="B933" s="5">
        <v>189.16</v>
      </c>
      <c r="C933" s="5">
        <v>190.61</v>
      </c>
      <c r="D933" s="5">
        <v>185.03</v>
      </c>
      <c r="E933" s="5">
        <v>185.48</v>
      </c>
      <c r="F933" s="6">
        <v>4733885</v>
      </c>
    </row>
    <row r="934" spans="1:6" x14ac:dyDescent="0.2">
      <c r="A934" s="4">
        <v>45826</v>
      </c>
      <c r="B934" s="5">
        <v>185.25</v>
      </c>
      <c r="C934" s="5">
        <v>187.12</v>
      </c>
      <c r="D934" s="5">
        <v>183.7</v>
      </c>
      <c r="E934" s="5">
        <v>185.49</v>
      </c>
      <c r="F934" s="6">
        <v>3573152</v>
      </c>
    </row>
    <row r="935" spans="1:6" x14ac:dyDescent="0.2">
      <c r="A935" s="4">
        <v>45828</v>
      </c>
      <c r="B935" s="5">
        <v>186.09</v>
      </c>
      <c r="C935" s="5">
        <v>187.1</v>
      </c>
      <c r="D935" s="5">
        <v>184.16</v>
      </c>
      <c r="E935" s="5">
        <v>185.3</v>
      </c>
      <c r="F935" s="6">
        <v>12158100</v>
      </c>
    </row>
    <row r="936" spans="1:6" x14ac:dyDescent="0.2">
      <c r="A936" s="4">
        <v>45831</v>
      </c>
      <c r="B936" s="5">
        <v>184.49</v>
      </c>
      <c r="C936" s="5">
        <v>185.8</v>
      </c>
      <c r="D936" s="5">
        <v>182.3</v>
      </c>
      <c r="E936" s="5">
        <v>183.76</v>
      </c>
      <c r="F936" s="6">
        <v>5157855</v>
      </c>
    </row>
    <row r="937" spans="1:6" x14ac:dyDescent="0.2">
      <c r="A937" s="4">
        <v>45832</v>
      </c>
      <c r="B937" s="5">
        <v>184.52</v>
      </c>
      <c r="C937" s="5">
        <v>186.13990000000001</v>
      </c>
      <c r="D937" s="5">
        <v>183.19</v>
      </c>
      <c r="E937" s="5">
        <v>185.55</v>
      </c>
      <c r="F937" s="6">
        <v>4074609</v>
      </c>
    </row>
    <row r="938" spans="1:6" x14ac:dyDescent="0.2">
      <c r="A938" s="4">
        <v>45833</v>
      </c>
      <c r="B938" s="5">
        <v>185.3</v>
      </c>
      <c r="C938" s="5">
        <v>187.09</v>
      </c>
      <c r="D938" s="5">
        <v>184.64</v>
      </c>
      <c r="E938" s="5">
        <v>185.39</v>
      </c>
      <c r="F938" s="6">
        <v>4471108</v>
      </c>
    </row>
    <row r="939" spans="1:6" x14ac:dyDescent="0.2">
      <c r="A939" s="4">
        <v>45834</v>
      </c>
      <c r="B939" s="5">
        <v>186.53</v>
      </c>
      <c r="C939" s="5">
        <v>188.99</v>
      </c>
      <c r="D939" s="5">
        <v>185.79</v>
      </c>
      <c r="E939" s="5">
        <v>186.79</v>
      </c>
      <c r="F939" s="6">
        <v>5734014</v>
      </c>
    </row>
    <row r="940" spans="1:6" x14ac:dyDescent="0.2">
      <c r="A940" s="4">
        <v>45835</v>
      </c>
      <c r="B940" s="5">
        <v>187.9</v>
      </c>
      <c r="C940" s="5">
        <v>188</v>
      </c>
      <c r="D940" s="5">
        <v>181.73</v>
      </c>
      <c r="E940" s="5">
        <v>182.31</v>
      </c>
      <c r="F940" s="6">
        <v>29264650</v>
      </c>
    </row>
    <row r="941" spans="1:6" x14ac:dyDescent="0.2">
      <c r="A941" s="4">
        <v>45838</v>
      </c>
      <c r="B941" s="5">
        <v>182.43</v>
      </c>
      <c r="C941" s="5">
        <v>186.2499</v>
      </c>
      <c r="D941" s="5">
        <v>181.75</v>
      </c>
      <c r="E941" s="5">
        <v>185.62</v>
      </c>
      <c r="F941" s="6">
        <v>6483021</v>
      </c>
    </row>
    <row r="942" spans="1:6" x14ac:dyDescent="0.2">
      <c r="A942" s="4">
        <v>45839</v>
      </c>
      <c r="B942" s="5">
        <v>185.01</v>
      </c>
      <c r="C942" s="5">
        <v>191.76</v>
      </c>
      <c r="D942" s="5">
        <v>184.38499999999999</v>
      </c>
      <c r="E942" s="5">
        <v>189.99</v>
      </c>
      <c r="F942" s="6">
        <v>5937604</v>
      </c>
    </row>
    <row r="943" spans="1:6" x14ac:dyDescent="0.2">
      <c r="A943" s="4">
        <v>45840</v>
      </c>
      <c r="B943" s="5">
        <v>189.7</v>
      </c>
      <c r="C943" s="5">
        <v>192.59</v>
      </c>
      <c r="D943" s="5">
        <v>189.53</v>
      </c>
      <c r="E943" s="5">
        <v>190.75</v>
      </c>
      <c r="F943" s="6">
        <v>4658511</v>
      </c>
    </row>
    <row r="944" spans="1:6" x14ac:dyDescent="0.2">
      <c r="A944" s="4">
        <v>45841</v>
      </c>
      <c r="B944" s="5">
        <v>191.15</v>
      </c>
      <c r="C944" s="5">
        <v>191.465</v>
      </c>
      <c r="D944" s="5">
        <v>188.87100000000001</v>
      </c>
      <c r="E944" s="5">
        <v>189.28</v>
      </c>
      <c r="F944" s="6">
        <v>3706217</v>
      </c>
    </row>
    <row r="945" spans="1:6" x14ac:dyDescent="0.2">
      <c r="A945" s="4">
        <v>45845</v>
      </c>
      <c r="B945" s="5">
        <v>189.44</v>
      </c>
      <c r="C945" s="5">
        <v>191.39</v>
      </c>
      <c r="D945" s="5">
        <v>186.82499999999999</v>
      </c>
      <c r="E945" s="5">
        <v>187.63</v>
      </c>
      <c r="F945" s="6">
        <v>11049430</v>
      </c>
    </row>
    <row r="946" spans="1:6" x14ac:dyDescent="0.2">
      <c r="A946" s="4">
        <v>45846</v>
      </c>
      <c r="B946" s="5">
        <v>186.79</v>
      </c>
      <c r="C946" s="5">
        <v>193</v>
      </c>
      <c r="D946" s="5">
        <v>186.67</v>
      </c>
      <c r="E946" s="5">
        <v>189.77</v>
      </c>
      <c r="F946" s="6">
        <v>7106896</v>
      </c>
    </row>
    <row r="947" spans="1:6" x14ac:dyDescent="0.2">
      <c r="A947" s="4">
        <v>45847</v>
      </c>
      <c r="B947" s="5">
        <v>188.5</v>
      </c>
      <c r="C947" s="5">
        <v>191.09209999999999</v>
      </c>
      <c r="D947" s="5">
        <v>188.32</v>
      </c>
      <c r="E947" s="5">
        <v>190.62</v>
      </c>
      <c r="F947" s="6">
        <v>5594464</v>
      </c>
    </row>
    <row r="948" spans="1:6" x14ac:dyDescent="0.2">
      <c r="A948" s="4">
        <v>45848</v>
      </c>
      <c r="B948" s="5">
        <v>190.5</v>
      </c>
      <c r="C948" s="5">
        <v>197.5</v>
      </c>
      <c r="D948" s="5">
        <v>189.56</v>
      </c>
      <c r="E948" s="5">
        <v>195</v>
      </c>
      <c r="F948" s="6">
        <v>6049615</v>
      </c>
    </row>
    <row r="949" spans="1:6" x14ac:dyDescent="0.2">
      <c r="A949" s="4">
        <v>45849</v>
      </c>
      <c r="B949" s="5">
        <v>193.89</v>
      </c>
      <c r="C949" s="5">
        <v>194</v>
      </c>
      <c r="D949" s="5">
        <v>191.16</v>
      </c>
      <c r="E949" s="5">
        <v>192.45</v>
      </c>
      <c r="F949" s="6">
        <v>4990981</v>
      </c>
    </row>
    <row r="950" spans="1:6" x14ac:dyDescent="0.2">
      <c r="A950" s="4">
        <v>45852</v>
      </c>
      <c r="B950" s="5">
        <v>191.72</v>
      </c>
      <c r="C950" s="5">
        <v>192.66499999999999</v>
      </c>
      <c r="D950" s="5">
        <v>190.04</v>
      </c>
      <c r="E950" s="5">
        <v>191.52</v>
      </c>
      <c r="F950" s="6">
        <v>4072779</v>
      </c>
    </row>
    <row r="951" spans="1:6" x14ac:dyDescent="0.2">
      <c r="A951" s="4">
        <v>45853</v>
      </c>
      <c r="B951" s="5">
        <v>190.21</v>
      </c>
      <c r="C951" s="5">
        <v>190.67</v>
      </c>
      <c r="D951" s="5">
        <v>185.01</v>
      </c>
      <c r="E951" s="5">
        <v>186.39</v>
      </c>
      <c r="F951" s="6">
        <v>6729235</v>
      </c>
    </row>
    <row r="952" spans="1:6" x14ac:dyDescent="0.2">
      <c r="A952" s="4">
        <v>45854</v>
      </c>
      <c r="B952" s="5">
        <v>186.92</v>
      </c>
      <c r="C952" s="5">
        <v>191.38499999999999</v>
      </c>
      <c r="D952" s="5">
        <v>186.5</v>
      </c>
      <c r="E952" s="5">
        <v>190.58</v>
      </c>
      <c r="F952" s="6">
        <v>6202725</v>
      </c>
    </row>
    <row r="953" spans="1:6" x14ac:dyDescent="0.2">
      <c r="A953" s="4">
        <v>45855</v>
      </c>
      <c r="B953" s="5">
        <v>189</v>
      </c>
      <c r="C953" s="5">
        <v>192.12</v>
      </c>
      <c r="D953" s="5">
        <v>188.26089999999999</v>
      </c>
      <c r="E953" s="5">
        <v>191.4</v>
      </c>
      <c r="F953" s="6">
        <v>4853051</v>
      </c>
    </row>
    <row r="954" spans="1:6" x14ac:dyDescent="0.2">
      <c r="A954" s="4">
        <v>45856</v>
      </c>
      <c r="B954" s="5">
        <v>191.505</v>
      </c>
      <c r="C954" s="5">
        <v>192.34</v>
      </c>
      <c r="D954" s="5">
        <v>188.57</v>
      </c>
      <c r="E954" s="5">
        <v>189.26</v>
      </c>
      <c r="F954" s="6">
        <v>5332163</v>
      </c>
    </row>
    <row r="955" spans="1:6" x14ac:dyDescent="0.2">
      <c r="A955" s="4">
        <v>45859</v>
      </c>
      <c r="B955" s="5">
        <v>189.62</v>
      </c>
      <c r="C955" s="5">
        <v>189.9</v>
      </c>
      <c r="D955" s="5">
        <v>184.63</v>
      </c>
      <c r="E955" s="5">
        <v>184.85</v>
      </c>
      <c r="F955" s="6">
        <v>4954794</v>
      </c>
    </row>
    <row r="956" spans="1:6" x14ac:dyDescent="0.2">
      <c r="A956" s="4">
        <v>45860</v>
      </c>
      <c r="B956" s="5">
        <v>184.94</v>
      </c>
      <c r="C956" s="5">
        <v>188.19919999999999</v>
      </c>
      <c r="D956" s="5">
        <v>184.9</v>
      </c>
      <c r="E956" s="5">
        <v>187.11</v>
      </c>
      <c r="F956" s="6">
        <v>4432061</v>
      </c>
    </row>
    <row r="957" spans="1:6" x14ac:dyDescent="0.2">
      <c r="A957" s="4">
        <v>45861</v>
      </c>
      <c r="B957" s="5">
        <v>187.04499999999999</v>
      </c>
      <c r="C957" s="5">
        <v>190.8</v>
      </c>
      <c r="D957" s="5">
        <v>186.77</v>
      </c>
      <c r="E957" s="5">
        <v>190.55</v>
      </c>
      <c r="F957" s="6">
        <v>4344466</v>
      </c>
    </row>
    <row r="958" spans="1:6" x14ac:dyDescent="0.2">
      <c r="A958" s="4">
        <v>45862</v>
      </c>
      <c r="B958" s="5">
        <v>190.76</v>
      </c>
      <c r="C958" s="5">
        <v>192.24</v>
      </c>
      <c r="D958" s="5">
        <v>189.99</v>
      </c>
      <c r="E958" s="5">
        <v>190.83</v>
      </c>
      <c r="F958" s="6">
        <v>3463089</v>
      </c>
    </row>
    <row r="959" spans="1:6" x14ac:dyDescent="0.2">
      <c r="A959" s="4">
        <v>45863</v>
      </c>
      <c r="B959" s="5">
        <v>191.4</v>
      </c>
      <c r="C959" s="5">
        <v>191.4</v>
      </c>
      <c r="D959" s="5">
        <v>188.53</v>
      </c>
      <c r="E959" s="5">
        <v>190.28</v>
      </c>
      <c r="F959" s="6">
        <v>3786776</v>
      </c>
    </row>
    <row r="960" spans="1:6" x14ac:dyDescent="0.2">
      <c r="A960" s="4">
        <v>45866</v>
      </c>
      <c r="B960" s="5">
        <v>191.21</v>
      </c>
      <c r="C960" s="5">
        <v>191.21</v>
      </c>
      <c r="D960" s="5">
        <v>187.64</v>
      </c>
      <c r="E960" s="5">
        <v>188.52</v>
      </c>
      <c r="F960" s="6">
        <v>3776900</v>
      </c>
    </row>
    <row r="961" spans="1:6" x14ac:dyDescent="0.2">
      <c r="A961" s="4">
        <v>45867</v>
      </c>
      <c r="B961" s="5">
        <v>189.15</v>
      </c>
      <c r="C961" s="5">
        <v>192.49</v>
      </c>
      <c r="D961" s="5">
        <v>187.86</v>
      </c>
      <c r="E961" s="5">
        <v>191.22</v>
      </c>
      <c r="F961" s="6">
        <v>6715496</v>
      </c>
    </row>
    <row r="962" spans="1:6" x14ac:dyDescent="0.2">
      <c r="A962" s="4">
        <v>45868</v>
      </c>
      <c r="B962" s="5">
        <v>191.77</v>
      </c>
      <c r="C962" s="5">
        <v>192.7</v>
      </c>
      <c r="D962" s="5">
        <v>188.01</v>
      </c>
      <c r="E962" s="5">
        <v>189.31</v>
      </c>
      <c r="F962" s="6">
        <v>5008390</v>
      </c>
    </row>
    <row r="963" spans="1:6" x14ac:dyDescent="0.2">
      <c r="A963" s="4">
        <v>45869</v>
      </c>
      <c r="B963" s="5">
        <v>197.06</v>
      </c>
      <c r="C963" s="5">
        <v>198.82560000000001</v>
      </c>
      <c r="D963" s="5">
        <v>187.62</v>
      </c>
      <c r="E963" s="5">
        <v>189.02</v>
      </c>
      <c r="F963" s="6">
        <v>10347930</v>
      </c>
    </row>
    <row r="964" spans="1:6" x14ac:dyDescent="0.2">
      <c r="A964" s="4">
        <v>45870</v>
      </c>
      <c r="B964" s="5">
        <v>189.92</v>
      </c>
      <c r="C964" s="5">
        <v>197.06</v>
      </c>
      <c r="D964" s="5">
        <v>189.785</v>
      </c>
      <c r="E964" s="5">
        <v>195.22</v>
      </c>
      <c r="F964" s="6">
        <v>8081951</v>
      </c>
    </row>
    <row r="965" spans="1:6" x14ac:dyDescent="0.2">
      <c r="A965" s="4">
        <v>45873</v>
      </c>
      <c r="B965" s="5">
        <v>194.81</v>
      </c>
      <c r="C965" s="5">
        <v>197.37</v>
      </c>
      <c r="D965" s="5">
        <v>193.72</v>
      </c>
      <c r="E965" s="5">
        <v>197.19</v>
      </c>
      <c r="F965" s="6">
        <v>4217462</v>
      </c>
    </row>
    <row r="966" spans="1:6" x14ac:dyDescent="0.2">
      <c r="A966" s="4">
        <v>45874</v>
      </c>
      <c r="B966" s="5">
        <v>197.55</v>
      </c>
      <c r="C966" s="5">
        <v>199.89</v>
      </c>
      <c r="D966" s="5">
        <v>196.48</v>
      </c>
      <c r="E966" s="5">
        <v>198.55</v>
      </c>
      <c r="F966" s="6">
        <v>4153422</v>
      </c>
    </row>
    <row r="967" spans="1:6" x14ac:dyDescent="0.2">
      <c r="A967" s="4">
        <v>45875</v>
      </c>
      <c r="B967" s="5">
        <v>197.23</v>
      </c>
      <c r="C967" s="5">
        <v>198.05</v>
      </c>
      <c r="D967" s="5">
        <v>194.67</v>
      </c>
      <c r="E967" s="5">
        <v>196.3</v>
      </c>
      <c r="F967" s="6">
        <v>4057267</v>
      </c>
    </row>
    <row r="968" spans="1:6" x14ac:dyDescent="0.2">
      <c r="A968" s="4">
        <v>45876</v>
      </c>
      <c r="B968" s="5">
        <v>197.05</v>
      </c>
      <c r="C968" s="5">
        <v>199.83</v>
      </c>
      <c r="D968" s="5">
        <v>196.5</v>
      </c>
      <c r="E968" s="5">
        <v>198.86</v>
      </c>
      <c r="F968" s="6">
        <v>4683382</v>
      </c>
    </row>
    <row r="969" spans="1:6" x14ac:dyDescent="0.2">
      <c r="A969" s="4">
        <v>45877</v>
      </c>
      <c r="B969" s="5">
        <v>199.08</v>
      </c>
      <c r="C969" s="5">
        <v>200.33</v>
      </c>
      <c r="D969" s="5">
        <v>197.14</v>
      </c>
      <c r="E969" s="5">
        <v>198.05</v>
      </c>
      <c r="F969" s="6">
        <v>4101771</v>
      </c>
    </row>
    <row r="970" spans="1:6" x14ac:dyDescent="0.2">
      <c r="A970" s="4">
        <v>45880</v>
      </c>
      <c r="B970" s="5">
        <v>198.18</v>
      </c>
      <c r="C970" s="5">
        <v>199.43</v>
      </c>
      <c r="D970" s="5">
        <v>196.89</v>
      </c>
      <c r="E970" s="5">
        <v>198.64</v>
      </c>
      <c r="F970" s="6">
        <v>6068073</v>
      </c>
    </row>
    <row r="971" spans="1:6" x14ac:dyDescent="0.2">
      <c r="A971" s="4">
        <v>45881</v>
      </c>
      <c r="B971" s="5">
        <v>198.09</v>
      </c>
      <c r="C971" s="5">
        <v>200.02</v>
      </c>
      <c r="D971" s="5">
        <v>197.05</v>
      </c>
      <c r="E971" s="5">
        <v>198.64</v>
      </c>
      <c r="F971" s="6">
        <v>3050118</v>
      </c>
    </row>
    <row r="972" spans="1:6" x14ac:dyDescent="0.2">
      <c r="A972" s="4">
        <v>45882</v>
      </c>
      <c r="B972" s="5">
        <v>199.76</v>
      </c>
      <c r="C972" s="5">
        <v>201.72</v>
      </c>
      <c r="D972" s="5">
        <v>199.21080000000001</v>
      </c>
      <c r="E972" s="5">
        <v>201.47</v>
      </c>
      <c r="F972" s="6">
        <v>3558497</v>
      </c>
    </row>
    <row r="973" spans="1:6" x14ac:dyDescent="0.2">
      <c r="A973" s="4">
        <v>45883</v>
      </c>
      <c r="B973" s="5">
        <v>201.8</v>
      </c>
      <c r="C973" s="5">
        <v>205.06</v>
      </c>
      <c r="D973" s="5">
        <v>200.86</v>
      </c>
      <c r="E973" s="5">
        <v>204.68</v>
      </c>
      <c r="F973" s="6">
        <v>4635784</v>
      </c>
    </row>
    <row r="974" spans="1:6" x14ac:dyDescent="0.2">
      <c r="A974" s="4">
        <v>45884</v>
      </c>
      <c r="B974" s="5">
        <v>205.91</v>
      </c>
      <c r="C974" s="5">
        <v>206.84</v>
      </c>
      <c r="D974" s="5">
        <v>204.32</v>
      </c>
      <c r="E974" s="5">
        <v>206.69</v>
      </c>
      <c r="F974" s="6">
        <v>4430974</v>
      </c>
    </row>
    <row r="975" spans="1:6" x14ac:dyDescent="0.2">
      <c r="A975" s="4">
        <v>45887</v>
      </c>
      <c r="B975" s="5">
        <v>206.6</v>
      </c>
      <c r="C975" s="5">
        <v>208.34</v>
      </c>
      <c r="D975" s="5">
        <v>205.96</v>
      </c>
      <c r="E975" s="5">
        <v>206.57</v>
      </c>
      <c r="F975" s="6">
        <v>6083570</v>
      </c>
    </row>
    <row r="976" spans="1:6" x14ac:dyDescent="0.2">
      <c r="A976" s="4">
        <v>45888</v>
      </c>
      <c r="B976" s="5">
        <v>206.53</v>
      </c>
      <c r="C976" s="5">
        <v>207.8</v>
      </c>
      <c r="D976" s="5">
        <v>205.1009</v>
      </c>
      <c r="E976" s="5">
        <v>206.19</v>
      </c>
      <c r="F976" s="6">
        <v>3975515</v>
      </c>
    </row>
    <row r="977" spans="1:6" x14ac:dyDescent="0.2">
      <c r="A977" s="4">
        <v>45889</v>
      </c>
      <c r="B977" s="5">
        <v>206.65</v>
      </c>
      <c r="C977" s="5">
        <v>211.69380000000001</v>
      </c>
      <c r="D977" s="5">
        <v>206.65</v>
      </c>
      <c r="E977" s="5">
        <v>209.15</v>
      </c>
      <c r="F977" s="6">
        <v>5782076</v>
      </c>
    </row>
    <row r="978" spans="1:6" x14ac:dyDescent="0.2">
      <c r="A978" s="4">
        <v>45890</v>
      </c>
      <c r="B978" s="5">
        <v>209.14</v>
      </c>
      <c r="C978" s="5">
        <v>212.45</v>
      </c>
      <c r="D978" s="5">
        <v>208.87</v>
      </c>
      <c r="E978" s="5">
        <v>209.5</v>
      </c>
      <c r="F978" s="6">
        <v>5324170</v>
      </c>
    </row>
    <row r="979" spans="1:6" x14ac:dyDescent="0.2">
      <c r="A979" s="4">
        <v>45891</v>
      </c>
      <c r="B979" s="5">
        <v>210.84</v>
      </c>
      <c r="C979" s="5">
        <v>211.47</v>
      </c>
      <c r="D979" s="5">
        <v>207.12</v>
      </c>
      <c r="E979" s="5">
        <v>210.6</v>
      </c>
      <c r="F979" s="6">
        <v>5516870</v>
      </c>
    </row>
    <row r="980" spans="1:6" x14ac:dyDescent="0.2">
      <c r="A980" s="4">
        <v>45894</v>
      </c>
      <c r="B980" s="5">
        <v>210.3</v>
      </c>
      <c r="C980" s="5">
        <v>211.29689999999999</v>
      </c>
      <c r="D980" s="5">
        <v>207.05</v>
      </c>
      <c r="E980" s="5">
        <v>207.55</v>
      </c>
      <c r="F980" s="6">
        <v>2796185</v>
      </c>
    </row>
    <row r="981" spans="1:6" x14ac:dyDescent="0.2">
      <c r="A981" s="4">
        <v>45895</v>
      </c>
      <c r="B981" s="5">
        <v>207.52</v>
      </c>
      <c r="C981" s="5">
        <v>208.58</v>
      </c>
      <c r="D981" s="5">
        <v>206.57</v>
      </c>
      <c r="E981" s="5">
        <v>208.36</v>
      </c>
      <c r="F981" s="6">
        <v>3702929</v>
      </c>
    </row>
    <row r="982" spans="1:6" x14ac:dyDescent="0.2">
      <c r="A982" s="4">
        <v>45896</v>
      </c>
      <c r="B982" s="5">
        <v>208.82</v>
      </c>
      <c r="C982" s="5">
        <v>210.42</v>
      </c>
      <c r="D982" s="5">
        <v>207.81</v>
      </c>
      <c r="E982" s="5">
        <v>208.06</v>
      </c>
      <c r="F982" s="6">
        <v>3459319</v>
      </c>
    </row>
    <row r="983" spans="1:6" x14ac:dyDescent="0.2">
      <c r="A983" s="4">
        <v>45897</v>
      </c>
      <c r="B983" s="5">
        <v>207.65</v>
      </c>
      <c r="C983" s="5">
        <v>208.01</v>
      </c>
      <c r="D983" s="5">
        <v>205.49010000000001</v>
      </c>
      <c r="E983" s="5">
        <v>207.92</v>
      </c>
      <c r="F983" s="6">
        <v>4523062</v>
      </c>
    </row>
    <row r="984" spans="1:6" x14ac:dyDescent="0.2">
      <c r="A984" s="4">
        <v>45898</v>
      </c>
      <c r="B984" s="5">
        <v>208</v>
      </c>
      <c r="C984" s="5">
        <v>211</v>
      </c>
      <c r="D984" s="5">
        <v>207.9</v>
      </c>
      <c r="E984" s="5">
        <v>210.4</v>
      </c>
      <c r="F984" s="6">
        <v>4265008</v>
      </c>
    </row>
    <row r="985" spans="1:6" x14ac:dyDescent="0.2">
      <c r="A985" s="4">
        <v>45902</v>
      </c>
      <c r="B985" s="5">
        <v>210.14</v>
      </c>
      <c r="C985" s="5">
        <v>212.15989999999999</v>
      </c>
      <c r="D985" s="5">
        <v>208.99</v>
      </c>
      <c r="E985" s="5">
        <v>211.92</v>
      </c>
      <c r="F985" s="6">
        <v>4335496</v>
      </c>
    </row>
    <row r="986" spans="1:6" x14ac:dyDescent="0.2">
      <c r="A986" s="4">
        <v>45903</v>
      </c>
      <c r="B986" s="5">
        <v>212.42</v>
      </c>
      <c r="C986" s="5">
        <v>213.42</v>
      </c>
      <c r="D986" s="5">
        <v>211.48</v>
      </c>
      <c r="E986" s="5">
        <v>211.86</v>
      </c>
      <c r="F986" s="6">
        <v>3973731</v>
      </c>
    </row>
    <row r="987" spans="1:6" x14ac:dyDescent="0.2">
      <c r="A987" s="4">
        <v>45904</v>
      </c>
      <c r="B987" s="5">
        <v>212.25</v>
      </c>
      <c r="C987" s="5">
        <v>214.19</v>
      </c>
      <c r="D987" s="5">
        <v>211.66</v>
      </c>
      <c r="E987" s="5">
        <v>213</v>
      </c>
      <c r="F987" s="6">
        <v>3531768</v>
      </c>
    </row>
    <row r="988" spans="1:6" x14ac:dyDescent="0.2">
      <c r="A988" s="4">
        <v>45905</v>
      </c>
      <c r="B988" s="5">
        <v>212.55</v>
      </c>
      <c r="C988" s="5">
        <v>214.34</v>
      </c>
      <c r="D988" s="5">
        <v>211</v>
      </c>
      <c r="E988" s="5">
        <v>212.56</v>
      </c>
      <c r="F988" s="6">
        <v>4465421</v>
      </c>
    </row>
    <row r="989" spans="1:6" x14ac:dyDescent="0.2">
      <c r="A989" s="4">
        <v>45908</v>
      </c>
      <c r="B989" s="5">
        <v>210.99</v>
      </c>
      <c r="C989" s="5">
        <v>212</v>
      </c>
      <c r="D989" s="5">
        <v>207.61160000000001</v>
      </c>
      <c r="E989" s="5">
        <v>209.79</v>
      </c>
      <c r="F989" s="6">
        <v>5525921</v>
      </c>
    </row>
    <row r="990" spans="1:6" x14ac:dyDescent="0.2">
      <c r="A990" s="4">
        <v>45909</v>
      </c>
      <c r="B990" s="5">
        <v>209.53</v>
      </c>
      <c r="C990" s="5">
        <v>210.72</v>
      </c>
      <c r="D990" s="5">
        <v>209.12</v>
      </c>
      <c r="E990" s="5">
        <v>210.42</v>
      </c>
      <c r="F990" s="6">
        <v>3097114</v>
      </c>
    </row>
    <row r="991" spans="1:6" x14ac:dyDescent="0.2">
      <c r="A991" s="4">
        <v>45910</v>
      </c>
      <c r="B991" s="5">
        <v>210.23</v>
      </c>
      <c r="C991" s="5">
        <v>212.27</v>
      </c>
      <c r="D991" s="5">
        <v>208.435</v>
      </c>
      <c r="E991" s="5">
        <v>211.64</v>
      </c>
      <c r="F991" s="6">
        <v>4520838</v>
      </c>
    </row>
    <row r="992" spans="1:6" x14ac:dyDescent="0.2">
      <c r="A992" s="4">
        <v>45911</v>
      </c>
      <c r="B992" s="5">
        <v>220.35</v>
      </c>
      <c r="C992" s="5">
        <v>221.76499999999999</v>
      </c>
      <c r="D992" s="5">
        <v>216.75</v>
      </c>
      <c r="E992" s="5">
        <v>220.22</v>
      </c>
      <c r="F992" s="6">
        <v>7648085</v>
      </c>
    </row>
    <row r="993" spans="1:6" x14ac:dyDescent="0.2">
      <c r="A993" s="4">
        <v>45912</v>
      </c>
      <c r="B993" s="5">
        <v>219.12</v>
      </c>
      <c r="C993" s="5">
        <v>220.375</v>
      </c>
      <c r="D993" s="5">
        <v>218.22499999999999</v>
      </c>
      <c r="E993" s="5">
        <v>218.34</v>
      </c>
      <c r="F993" s="6">
        <v>4419123</v>
      </c>
    </row>
    <row r="994" spans="1:6" x14ac:dyDescent="0.2">
      <c r="A994" s="4">
        <v>45915</v>
      </c>
      <c r="B994" s="5">
        <v>219.6</v>
      </c>
      <c r="C994" s="5">
        <v>219.6</v>
      </c>
      <c r="D994" s="5">
        <v>214.31</v>
      </c>
      <c r="E994" s="5">
        <v>217.61</v>
      </c>
      <c r="F994" s="6">
        <v>5162389</v>
      </c>
    </row>
    <row r="995" spans="1:6" x14ac:dyDescent="0.2">
      <c r="A995" s="4">
        <v>45916</v>
      </c>
      <c r="B995" s="5">
        <v>218.33</v>
      </c>
      <c r="C995" s="5">
        <v>218.71</v>
      </c>
      <c r="D995" s="5">
        <v>215.84</v>
      </c>
      <c r="E995" s="5">
        <v>216.26</v>
      </c>
      <c r="F995" s="6">
        <v>4251076</v>
      </c>
    </row>
    <row r="996" spans="1:6" x14ac:dyDescent="0.2">
      <c r="A996" s="4">
        <v>45917</v>
      </c>
      <c r="B996" s="5">
        <v>219.1</v>
      </c>
      <c r="C996" s="5">
        <v>221.55</v>
      </c>
      <c r="D996" s="5">
        <v>217.3</v>
      </c>
      <c r="E996" s="5">
        <v>220.81</v>
      </c>
      <c r="F996" s="6">
        <v>5258357</v>
      </c>
    </row>
    <row r="997" spans="1:6" x14ac:dyDescent="0.2">
      <c r="A997" s="4">
        <v>45918</v>
      </c>
      <c r="B997" s="5">
        <v>221.07</v>
      </c>
      <c r="C997" s="5">
        <v>222.07</v>
      </c>
      <c r="D997" s="5">
        <v>219.92</v>
      </c>
      <c r="E997" s="5">
        <v>221.99</v>
      </c>
      <c r="F997" s="6">
        <v>4445792</v>
      </c>
    </row>
    <row r="998" spans="1:6" x14ac:dyDescent="0.2">
      <c r="A998" s="4">
        <v>45919</v>
      </c>
      <c r="B998" s="5">
        <v>222.41499999999999</v>
      </c>
      <c r="C998" s="5">
        <v>223.49</v>
      </c>
      <c r="D998" s="5">
        <v>221.58500000000001</v>
      </c>
      <c r="E998" s="5">
        <v>222.47</v>
      </c>
      <c r="F998" s="6">
        <v>14415110</v>
      </c>
    </row>
    <row r="999" spans="1:6" x14ac:dyDescent="0.2">
      <c r="A999" s="4">
        <v>45922</v>
      </c>
      <c r="B999" s="5">
        <v>222.46</v>
      </c>
      <c r="C999" s="5">
        <v>225.16</v>
      </c>
      <c r="D999" s="5">
        <v>221.43</v>
      </c>
      <c r="E999" s="5">
        <v>222.59</v>
      </c>
      <c r="F999" s="6">
        <v>5990698</v>
      </c>
    </row>
    <row r="1000" spans="1:6" x14ac:dyDescent="0.2">
      <c r="A1000" s="4">
        <v>45923</v>
      </c>
      <c r="B1000" s="5">
        <v>222.01</v>
      </c>
      <c r="C1000" s="5">
        <v>224.4025</v>
      </c>
      <c r="D1000" s="5">
        <v>221.92500000000001</v>
      </c>
      <c r="E1000" s="5">
        <v>222.61</v>
      </c>
      <c r="F1000" s="6">
        <v>4630091</v>
      </c>
    </row>
    <row r="1001" spans="1:6" x14ac:dyDescent="0.2">
      <c r="A1001" s="4">
        <v>45924</v>
      </c>
      <c r="B1001" s="5">
        <v>222</v>
      </c>
      <c r="C1001" s="5">
        <v>222.23990000000001</v>
      </c>
      <c r="D1001" s="5">
        <v>218.54</v>
      </c>
      <c r="E1001" s="5">
        <v>219.99</v>
      </c>
      <c r="F1001" s="6">
        <v>5074766</v>
      </c>
    </row>
    <row r="1002" spans="1:6" x14ac:dyDescent="0.2">
      <c r="A1002" s="4">
        <v>45925</v>
      </c>
      <c r="B1002" s="5">
        <v>220.1</v>
      </c>
      <c r="C1002" s="5">
        <v>222.26</v>
      </c>
      <c r="D1002" s="5">
        <v>218.03</v>
      </c>
      <c r="E1002" s="5">
        <v>218.54</v>
      </c>
      <c r="F1002" s="6">
        <v>6666028</v>
      </c>
    </row>
    <row r="1003" spans="1:6" x14ac:dyDescent="0.2">
      <c r="A1003" s="4">
        <v>45926</v>
      </c>
      <c r="B1003" s="5">
        <v>220.63</v>
      </c>
      <c r="C1003" s="5">
        <v>221.48</v>
      </c>
      <c r="D1003" s="5">
        <v>217.67</v>
      </c>
      <c r="E1003" s="5">
        <v>220.61</v>
      </c>
      <c r="F1003" s="6">
        <v>4185796</v>
      </c>
    </row>
    <row r="1004" spans="1:6" x14ac:dyDescent="0.2">
      <c r="A1004" s="4">
        <v>45929</v>
      </c>
      <c r="B1004" s="5">
        <v>220.75</v>
      </c>
      <c r="C1004" s="5">
        <v>223.24</v>
      </c>
      <c r="D1004" s="5">
        <v>219.79</v>
      </c>
      <c r="E1004" s="5">
        <v>223.16</v>
      </c>
      <c r="F1004" s="6">
        <v>4958361</v>
      </c>
    </row>
    <row r="1005" spans="1:6" x14ac:dyDescent="0.2">
      <c r="A1005" s="4">
        <v>45930</v>
      </c>
      <c r="B1005" s="5">
        <v>223.06</v>
      </c>
      <c r="C1005" s="5">
        <v>232.35249999999999</v>
      </c>
      <c r="D1005" s="5">
        <v>222.565</v>
      </c>
      <c r="E1005" s="5">
        <v>231.54</v>
      </c>
      <c r="F1005" s="6">
        <v>9187338</v>
      </c>
    </row>
    <row r="1006" spans="1:6" x14ac:dyDescent="0.2">
      <c r="A1006" s="4">
        <v>45931</v>
      </c>
      <c r="B1006" s="5">
        <v>233.64</v>
      </c>
      <c r="C1006" s="5">
        <v>244.81</v>
      </c>
      <c r="D1006" s="5">
        <v>232</v>
      </c>
      <c r="E1006" s="5">
        <v>244.38</v>
      </c>
      <c r="F1006" s="6">
        <v>12243140</v>
      </c>
    </row>
    <row r="1007" spans="1:6" x14ac:dyDescent="0.2">
      <c r="A1007" s="4">
        <v>45932</v>
      </c>
      <c r="B1007" s="5">
        <v>240.89</v>
      </c>
      <c r="C1007" s="5">
        <v>242.67</v>
      </c>
      <c r="D1007" s="5">
        <v>234.52</v>
      </c>
      <c r="E1007" s="5">
        <v>236.56</v>
      </c>
      <c r="F1007" s="6">
        <v>8107666</v>
      </c>
    </row>
    <row r="1008" spans="1:6" x14ac:dyDescent="0.2">
      <c r="A1008" s="4">
        <v>45933</v>
      </c>
      <c r="B1008" s="5">
        <v>236.9</v>
      </c>
      <c r="C1008" s="5">
        <v>238.83959999999999</v>
      </c>
      <c r="D1008" s="5">
        <v>233.71</v>
      </c>
      <c r="E1008" s="5">
        <v>233.91</v>
      </c>
      <c r="F1008" s="6">
        <v>6547632</v>
      </c>
    </row>
    <row r="1009" spans="1:6" x14ac:dyDescent="0.2">
      <c r="A1009" s="4">
        <v>45936</v>
      </c>
      <c r="B1009" s="5">
        <v>231.71</v>
      </c>
      <c r="C1009" s="5">
        <v>232.95</v>
      </c>
      <c r="D1009" s="5">
        <v>227.92</v>
      </c>
      <c r="E1009" s="5">
        <v>230.19</v>
      </c>
      <c r="F1009" s="6">
        <v>11940290</v>
      </c>
    </row>
    <row r="1010" spans="1:6" x14ac:dyDescent="0.2">
      <c r="A1010" s="4">
        <v>45937</v>
      </c>
      <c r="B1010" s="5">
        <v>231.29</v>
      </c>
      <c r="C1010" s="5">
        <v>234.08</v>
      </c>
      <c r="D1010" s="5">
        <v>227.59</v>
      </c>
      <c r="E1010" s="5">
        <v>232.83</v>
      </c>
      <c r="F1010" s="6">
        <v>4901000</v>
      </c>
    </row>
    <row r="1011" spans="1:6" x14ac:dyDescent="0.2">
      <c r="A1011" s="4">
        <v>45938</v>
      </c>
      <c r="B1011" s="5">
        <v>231.48</v>
      </c>
      <c r="C1011" s="5">
        <v>233</v>
      </c>
      <c r="D1011" s="5">
        <v>229.68</v>
      </c>
      <c r="E1011" s="5">
        <v>231.24</v>
      </c>
      <c r="F1011" s="6">
        <v>5413013</v>
      </c>
    </row>
    <row r="1012" spans="1:6" x14ac:dyDescent="0.2">
      <c r="A1012" s="4">
        <v>45939</v>
      </c>
      <c r="B1012" s="5">
        <v>233.27</v>
      </c>
      <c r="C1012" s="5">
        <v>233.79</v>
      </c>
      <c r="D1012" s="5">
        <v>230.62</v>
      </c>
      <c r="E1012" s="5">
        <v>230.69</v>
      </c>
      <c r="F1012" s="6">
        <v>4607869</v>
      </c>
    </row>
    <row r="1013" spans="1:6" x14ac:dyDescent="0.2">
      <c r="A1013" s="4">
        <v>45940</v>
      </c>
      <c r="B1013" s="5">
        <v>231.51</v>
      </c>
      <c r="C1013" s="5">
        <v>234.68</v>
      </c>
      <c r="D1013" s="5">
        <v>230.5</v>
      </c>
      <c r="E1013" s="5">
        <v>230.5</v>
      </c>
      <c r="F1013" s="6">
        <v>6156932</v>
      </c>
    </row>
    <row r="1014" spans="1:6" x14ac:dyDescent="0.2">
      <c r="A1014" s="4">
        <v>45943</v>
      </c>
      <c r="B1014" s="5">
        <v>230</v>
      </c>
      <c r="C1014" s="5">
        <v>233.80500000000001</v>
      </c>
      <c r="D1014" s="5">
        <v>229.2244</v>
      </c>
      <c r="E1014" s="5">
        <v>230.3</v>
      </c>
      <c r="F1014" s="6">
        <v>5411890</v>
      </c>
    </row>
    <row r="1015" spans="1:6" x14ac:dyDescent="0.2">
      <c r="A1015" s="4">
        <v>45944</v>
      </c>
      <c r="B1015" s="5">
        <v>228.07</v>
      </c>
      <c r="C1015" s="5">
        <v>230.65</v>
      </c>
      <c r="D1015" s="5">
        <v>227.51</v>
      </c>
      <c r="E1015" s="5">
        <v>229.13</v>
      </c>
      <c r="F1015" s="6">
        <v>5527553</v>
      </c>
    </row>
    <row r="1016" spans="1:6" x14ac:dyDescent="0.2">
      <c r="A1016" s="4">
        <v>45945</v>
      </c>
      <c r="B1016" s="5">
        <v>227.2</v>
      </c>
      <c r="C1016" s="5">
        <v>228.95</v>
      </c>
      <c r="D1016" s="5">
        <v>225.32</v>
      </c>
      <c r="E1016" s="5">
        <v>226.22</v>
      </c>
      <c r="F1016" s="6">
        <v>5459705</v>
      </c>
    </row>
    <row r="1017" spans="1:6" x14ac:dyDescent="0.2">
      <c r="A1017" s="4">
        <v>45946</v>
      </c>
      <c r="B1017" s="5">
        <v>226.22</v>
      </c>
      <c r="C1017" s="5">
        <v>228.11</v>
      </c>
      <c r="D1017" s="5">
        <v>225.46</v>
      </c>
      <c r="E1017" s="5">
        <v>226.87</v>
      </c>
      <c r="F1017" s="6">
        <v>4737529</v>
      </c>
    </row>
    <row r="1018" spans="1:6" x14ac:dyDescent="0.2">
      <c r="A1018" s="4">
        <v>45947</v>
      </c>
      <c r="B1018" s="5">
        <v>227.52</v>
      </c>
      <c r="C1018" s="5">
        <v>230.71100000000001</v>
      </c>
      <c r="D1018" s="5">
        <v>226.80500000000001</v>
      </c>
      <c r="E1018" s="5">
        <v>229.57</v>
      </c>
      <c r="F1018" s="6">
        <v>7150042</v>
      </c>
    </row>
    <row r="1019" spans="1:6" x14ac:dyDescent="0.2">
      <c r="A1019" s="4">
        <v>45950</v>
      </c>
      <c r="B1019" s="5">
        <v>231</v>
      </c>
      <c r="C1019" s="5">
        <v>232.26</v>
      </c>
      <c r="D1019" s="5">
        <v>230</v>
      </c>
      <c r="E1019" s="5">
        <v>232.06</v>
      </c>
      <c r="F1019" s="6">
        <v>5246946</v>
      </c>
    </row>
    <row r="1020" spans="1:6" x14ac:dyDescent="0.2">
      <c r="A1020" s="4">
        <v>45951</v>
      </c>
      <c r="B1020" s="5">
        <v>232.15</v>
      </c>
      <c r="C1020" s="5">
        <v>232.81</v>
      </c>
      <c r="D1020" s="5">
        <v>229.83</v>
      </c>
      <c r="E1020" s="5">
        <v>231.39</v>
      </c>
      <c r="F1020" s="6">
        <v>3298131</v>
      </c>
    </row>
    <row r="1021" spans="1:6" x14ac:dyDescent="0.2">
      <c r="A1021" s="4">
        <v>45952</v>
      </c>
      <c r="B1021" s="5">
        <v>231.67</v>
      </c>
      <c r="C1021" s="5">
        <v>232.16</v>
      </c>
      <c r="D1021" s="5">
        <v>228.43</v>
      </c>
      <c r="E1021" s="5">
        <v>228.68</v>
      </c>
      <c r="F1021" s="6">
        <v>3523765</v>
      </c>
    </row>
    <row r="1022" spans="1:6" x14ac:dyDescent="0.2">
      <c r="A1022" s="4">
        <v>45953</v>
      </c>
      <c r="B1022" s="5">
        <v>228.99</v>
      </c>
      <c r="C1022" s="5">
        <v>229.86</v>
      </c>
      <c r="D1022" s="5">
        <v>227.25</v>
      </c>
      <c r="E1022" s="5">
        <v>228.25</v>
      </c>
      <c r="F1022" s="6">
        <v>5818006</v>
      </c>
    </row>
    <row r="1023" spans="1:6" x14ac:dyDescent="0.2">
      <c r="A1023" s="4">
        <v>45954</v>
      </c>
      <c r="B1023" s="5">
        <v>228.78</v>
      </c>
      <c r="C1023" s="5">
        <v>229.04</v>
      </c>
      <c r="D1023" s="5">
        <v>226.25</v>
      </c>
      <c r="E1023" s="5">
        <v>227.99</v>
      </c>
      <c r="F1023" s="6">
        <v>3554688</v>
      </c>
    </row>
    <row r="1024" spans="1:6" x14ac:dyDescent="0.2">
      <c r="A1024" s="4">
        <v>45957</v>
      </c>
      <c r="B1024" s="5">
        <v>227.95</v>
      </c>
      <c r="C1024" s="5">
        <v>228.6</v>
      </c>
      <c r="D1024" s="5">
        <v>227.12</v>
      </c>
      <c r="E1024" s="5">
        <v>228.03</v>
      </c>
      <c r="F1024" s="6">
        <v>2784402</v>
      </c>
    </row>
    <row r="1025" spans="1:6" x14ac:dyDescent="0.2">
      <c r="A1025" s="4">
        <v>45958</v>
      </c>
      <c r="B1025" s="5">
        <v>227</v>
      </c>
      <c r="C1025" s="5">
        <v>228.4</v>
      </c>
      <c r="D1025" s="5">
        <v>224.31</v>
      </c>
      <c r="E1025" s="5">
        <v>227.54</v>
      </c>
      <c r="F1025" s="6">
        <v>3724183</v>
      </c>
    </row>
    <row r="1026" spans="1:6" x14ac:dyDescent="0.2">
      <c r="A1026" s="4">
        <v>45959</v>
      </c>
      <c r="B1026" s="5">
        <v>227.62</v>
      </c>
      <c r="C1026" s="5">
        <v>227.9999</v>
      </c>
      <c r="D1026" s="5">
        <v>224.04</v>
      </c>
      <c r="E1026" s="5">
        <v>225.14</v>
      </c>
      <c r="F1026" s="6">
        <v>5469686</v>
      </c>
    </row>
    <row r="1027" spans="1:6" x14ac:dyDescent="0.2">
      <c r="A1027" s="4">
        <v>45960</v>
      </c>
      <c r="B1027" s="5">
        <v>227.05</v>
      </c>
      <c r="C1027" s="5">
        <v>229.65</v>
      </c>
      <c r="D1027" s="5">
        <v>226.41</v>
      </c>
      <c r="E1027" s="5">
        <v>228.2</v>
      </c>
      <c r="F1027" s="6">
        <v>5020654</v>
      </c>
    </row>
    <row r="1028" spans="1:6" x14ac:dyDescent="0.2">
      <c r="A1028" s="4">
        <v>45961</v>
      </c>
      <c r="B1028" s="5">
        <v>223</v>
      </c>
      <c r="C1028" s="5">
        <v>223.87</v>
      </c>
      <c r="D1028" s="5">
        <v>216</v>
      </c>
      <c r="E1028" s="5">
        <v>218.04</v>
      </c>
      <c r="F1028" s="6">
        <v>10825330</v>
      </c>
    </row>
    <row r="1029" spans="1:6" x14ac:dyDescent="0.2">
      <c r="A1029" s="4">
        <v>45964</v>
      </c>
      <c r="B1029" s="5">
        <v>216.68</v>
      </c>
      <c r="C1029" s="5">
        <v>219</v>
      </c>
      <c r="D1029" s="5">
        <v>211.69</v>
      </c>
      <c r="E1029" s="5">
        <v>211.96</v>
      </c>
      <c r="F1029" s="6">
        <v>8874341</v>
      </c>
    </row>
    <row r="1030" spans="1:6" x14ac:dyDescent="0.2">
      <c r="A1030" s="4">
        <v>45965</v>
      </c>
      <c r="B1030" s="5">
        <v>212.37</v>
      </c>
      <c r="C1030" s="5">
        <v>217.08</v>
      </c>
      <c r="D1030" s="5">
        <v>212.37</v>
      </c>
      <c r="E1030" s="5">
        <v>215.89</v>
      </c>
      <c r="F1030" s="6">
        <v>6184010</v>
      </c>
    </row>
    <row r="1031" spans="1:6" x14ac:dyDescent="0.2">
      <c r="A1031" s="4">
        <v>45966</v>
      </c>
      <c r="B1031" s="5">
        <v>215.74</v>
      </c>
      <c r="C1031" s="5">
        <v>217.43</v>
      </c>
      <c r="D1031" s="5">
        <v>212.6</v>
      </c>
      <c r="E1031" s="5">
        <v>216.77</v>
      </c>
      <c r="F1031" s="6">
        <v>4928394</v>
      </c>
    </row>
    <row r="1032" spans="1:6" x14ac:dyDescent="0.2">
      <c r="A1032" s="4">
        <v>45967</v>
      </c>
      <c r="B1032" s="5">
        <v>215.89</v>
      </c>
      <c r="C1032" s="5">
        <v>219.684</v>
      </c>
      <c r="D1032" s="5">
        <v>215.65</v>
      </c>
      <c r="E1032" s="5">
        <v>219.04</v>
      </c>
      <c r="F1032" s="6">
        <v>6615338</v>
      </c>
    </row>
    <row r="1033" spans="1:6" x14ac:dyDescent="0.2">
      <c r="A1033" s="4">
        <v>45968</v>
      </c>
      <c r="B1033" s="5">
        <v>219.31</v>
      </c>
      <c r="C1033" s="5">
        <v>220.99</v>
      </c>
      <c r="D1033" s="5">
        <v>217.09</v>
      </c>
      <c r="E1033" s="5">
        <v>219.16</v>
      </c>
      <c r="F1033" s="6">
        <v>4647894</v>
      </c>
    </row>
    <row r="1034" spans="1:6" x14ac:dyDescent="0.2">
      <c r="A1034" s="4">
        <v>45971</v>
      </c>
      <c r="B1034" s="5">
        <v>217</v>
      </c>
      <c r="C1034" s="5">
        <v>219.86</v>
      </c>
      <c r="D1034" s="5">
        <v>216.1498</v>
      </c>
      <c r="E1034" s="5">
        <v>218.71</v>
      </c>
      <c r="F1034" s="6">
        <v>4530984</v>
      </c>
    </row>
    <row r="1035" spans="1:6" x14ac:dyDescent="0.2">
      <c r="A1035" s="4">
        <v>45972</v>
      </c>
      <c r="B1035" s="5">
        <v>219</v>
      </c>
      <c r="C1035" s="5">
        <v>225.42</v>
      </c>
      <c r="D1035" s="5">
        <v>219</v>
      </c>
      <c r="E1035" s="5">
        <v>225.17</v>
      </c>
      <c r="F1035" s="6">
        <v>4802442</v>
      </c>
    </row>
    <row r="1036" spans="1:6" x14ac:dyDescent="0.2">
      <c r="A1036" s="4">
        <v>45973</v>
      </c>
      <c r="B1036" s="5">
        <v>225.4</v>
      </c>
      <c r="C1036" s="5">
        <v>234</v>
      </c>
      <c r="D1036" s="5">
        <v>225.29</v>
      </c>
      <c r="E1036" s="5">
        <v>233.23</v>
      </c>
      <c r="F1036" s="6">
        <v>8583201</v>
      </c>
    </row>
    <row r="1037" spans="1:6" x14ac:dyDescent="0.2">
      <c r="A1037" s="4">
        <v>45974</v>
      </c>
      <c r="B1037" s="5">
        <v>233.74</v>
      </c>
      <c r="C1037" s="5">
        <v>239.29</v>
      </c>
      <c r="D1037" s="5">
        <v>232.16</v>
      </c>
      <c r="E1037" s="5">
        <v>232.29</v>
      </c>
      <c r="F1037" s="6">
        <v>7968822</v>
      </c>
    </row>
    <row r="1038" spans="1:6" x14ac:dyDescent="0.2">
      <c r="A1038" s="4">
        <v>45975</v>
      </c>
      <c r="B1038" s="5">
        <v>233.61</v>
      </c>
      <c r="C1038" s="5">
        <v>235</v>
      </c>
      <c r="D1038" s="5">
        <v>230.3201</v>
      </c>
      <c r="E1038" s="5">
        <v>232.36</v>
      </c>
      <c r="F1038" s="6">
        <v>5461523</v>
      </c>
    </row>
    <row r="1039" spans="1:6" x14ac:dyDescent="0.2">
      <c r="A1039" s="4">
        <v>45978</v>
      </c>
      <c r="B1039" s="5">
        <v>233.26</v>
      </c>
      <c r="C1039" s="5">
        <v>235.35</v>
      </c>
      <c r="D1039" s="5">
        <v>229.23</v>
      </c>
      <c r="E1039" s="5">
        <v>234</v>
      </c>
      <c r="F1039" s="6">
        <v>5023149</v>
      </c>
    </row>
    <row r="1040" spans="1:6" x14ac:dyDescent="0.2">
      <c r="A1040" s="4">
        <v>45979</v>
      </c>
      <c r="B1040" s="5">
        <v>235</v>
      </c>
      <c r="C1040" s="5">
        <v>237.19</v>
      </c>
      <c r="D1040" s="5">
        <v>232.1131</v>
      </c>
      <c r="E1040" s="5">
        <v>233.87</v>
      </c>
      <c r="F1040" s="6">
        <v>6232602</v>
      </c>
    </row>
    <row r="1041" spans="1:6" x14ac:dyDescent="0.2">
      <c r="A1041" s="4">
        <v>45980</v>
      </c>
      <c r="B1041" s="5">
        <v>233.54</v>
      </c>
      <c r="C1041" s="5">
        <v>238.15</v>
      </c>
      <c r="D1041" s="5">
        <v>230.36</v>
      </c>
      <c r="E1041" s="5">
        <v>232.91</v>
      </c>
      <c r="F1041" s="6">
        <v>7618431</v>
      </c>
    </row>
    <row r="1042" spans="1:6" x14ac:dyDescent="0.2">
      <c r="A1042" s="4">
        <v>45981</v>
      </c>
      <c r="B1042" s="5">
        <v>233.26</v>
      </c>
      <c r="C1042" s="5">
        <v>234.95</v>
      </c>
      <c r="D1042" s="5">
        <v>228</v>
      </c>
      <c r="E1042" s="5">
        <v>229.45</v>
      </c>
      <c r="F1042" s="6">
        <v>4283604</v>
      </c>
    </row>
    <row r="1043" spans="1:6" x14ac:dyDescent="0.2">
      <c r="A1043" s="4">
        <v>45982</v>
      </c>
      <c r="B1043" s="5">
        <v>230.54499999999999</v>
      </c>
      <c r="C1043" s="5">
        <v>238.01</v>
      </c>
      <c r="D1043" s="5">
        <v>230.14</v>
      </c>
      <c r="E1043" s="5">
        <v>236.28</v>
      </c>
      <c r="F1043" s="6">
        <v>8017597</v>
      </c>
    </row>
    <row r="1044" spans="1:6" x14ac:dyDescent="0.2">
      <c r="A1044" s="4">
        <v>45985</v>
      </c>
      <c r="B1044" s="5">
        <v>236</v>
      </c>
      <c r="C1044" s="5">
        <v>237.62</v>
      </c>
      <c r="D1044" s="5">
        <v>228.48</v>
      </c>
      <c r="E1044" s="5">
        <v>229.51</v>
      </c>
      <c r="F1044" s="6">
        <v>10225860</v>
      </c>
    </row>
    <row r="1045" spans="1:6" x14ac:dyDescent="0.2">
      <c r="A1045" s="4">
        <v>45986</v>
      </c>
      <c r="B1045" s="5">
        <v>230.32</v>
      </c>
      <c r="C1045" s="5">
        <v>234.08</v>
      </c>
      <c r="D1045" s="5">
        <v>230.31</v>
      </c>
      <c r="E1045" s="5">
        <v>231.8</v>
      </c>
      <c r="F1045" s="6">
        <v>7134461</v>
      </c>
    </row>
    <row r="1046" spans="1:6" x14ac:dyDescent="0.2">
      <c r="A1046" s="4">
        <v>45987</v>
      </c>
      <c r="B1046" s="5">
        <v>232.04</v>
      </c>
      <c r="C1046" s="5">
        <v>232.48</v>
      </c>
      <c r="D1046" s="5">
        <v>226.64</v>
      </c>
      <c r="E1046" s="5">
        <v>227.66</v>
      </c>
      <c r="F1046" s="6">
        <v>5921088</v>
      </c>
    </row>
    <row r="1047" spans="1:6" x14ac:dyDescent="0.2">
      <c r="A1047" s="4">
        <v>45989</v>
      </c>
      <c r="B1047" s="5">
        <v>226.85</v>
      </c>
      <c r="C1047" s="5">
        <v>228.09</v>
      </c>
      <c r="D1047" s="5">
        <v>225.51</v>
      </c>
      <c r="E1047" s="5">
        <v>227.7</v>
      </c>
      <c r="F1047" s="6">
        <v>2655563</v>
      </c>
    </row>
    <row r="1048" spans="1:6" x14ac:dyDescent="0.2">
      <c r="A1048" s="4">
        <v>45992</v>
      </c>
      <c r="B1048" s="5">
        <v>227.19</v>
      </c>
      <c r="C1048" s="5">
        <v>229.49</v>
      </c>
      <c r="D1048" s="5">
        <v>223.98</v>
      </c>
      <c r="E1048" s="5">
        <v>225.11</v>
      </c>
      <c r="F1048" s="6">
        <v>5208509</v>
      </c>
    </row>
    <row r="1049" spans="1:6" x14ac:dyDescent="0.2">
      <c r="A1049" s="4">
        <v>45993</v>
      </c>
      <c r="B1049" s="5">
        <v>224.82</v>
      </c>
      <c r="C1049" s="5">
        <v>226.63480000000001</v>
      </c>
      <c r="D1049" s="5">
        <v>223.11</v>
      </c>
      <c r="E1049" s="5">
        <v>224.37</v>
      </c>
      <c r="F1049" s="6">
        <v>5096922</v>
      </c>
    </row>
    <row r="1050" spans="1:6" x14ac:dyDescent="0.2">
      <c r="A1050" s="4">
        <v>45994</v>
      </c>
      <c r="B1050" s="5">
        <v>224.84</v>
      </c>
      <c r="C1050" s="5">
        <v>230.79</v>
      </c>
      <c r="D1050" s="5">
        <v>224.52</v>
      </c>
      <c r="E1050" s="5">
        <v>230.24</v>
      </c>
      <c r="F1050" s="6">
        <v>4873263</v>
      </c>
    </row>
    <row r="1051" spans="1:6" x14ac:dyDescent="0.2">
      <c r="A1051" s="4">
        <v>45995</v>
      </c>
      <c r="B1051" s="5">
        <v>230.11</v>
      </c>
      <c r="C1051" s="5">
        <v>230.94</v>
      </c>
      <c r="D1051" s="5">
        <v>227.59</v>
      </c>
      <c r="E1051" s="5">
        <v>228.71</v>
      </c>
      <c r="F1051" s="6">
        <v>3733100</v>
      </c>
    </row>
    <row r="1052" spans="1:6" x14ac:dyDescent="0.2">
      <c r="A1052" s="4">
        <v>45996</v>
      </c>
      <c r="B1052" s="5">
        <v>228.93</v>
      </c>
      <c r="C1052" s="5">
        <v>229.25</v>
      </c>
      <c r="D1052" s="5">
        <v>225.05</v>
      </c>
      <c r="E1052" s="5">
        <v>226.08</v>
      </c>
      <c r="F1052" s="6">
        <v>3985199</v>
      </c>
    </row>
    <row r="1053" spans="1:6" x14ac:dyDescent="0.2">
      <c r="A1053" s="4">
        <v>45999</v>
      </c>
      <c r="B1053" s="5">
        <v>226.08</v>
      </c>
      <c r="C1053" s="5">
        <v>226.12</v>
      </c>
      <c r="D1053" s="5">
        <v>222.39</v>
      </c>
      <c r="E1053" s="5">
        <v>223.12</v>
      </c>
      <c r="F1053" s="6">
        <v>4006095</v>
      </c>
    </row>
    <row r="1054" spans="1:6" x14ac:dyDescent="0.2">
      <c r="A1054" s="4">
        <v>46000</v>
      </c>
      <c r="B1054" s="5">
        <v>223.89</v>
      </c>
      <c r="C1054" s="5">
        <v>224.82</v>
      </c>
      <c r="D1054" s="5">
        <v>220.23009999999999</v>
      </c>
      <c r="E1054" s="5">
        <v>222.99</v>
      </c>
      <c r="F1054" s="6">
        <v>4268052</v>
      </c>
    </row>
    <row r="1055" spans="1:6" x14ac:dyDescent="0.2">
      <c r="A1055" s="4">
        <v>46001</v>
      </c>
      <c r="B1055" s="5">
        <v>225</v>
      </c>
      <c r="C1055" s="5">
        <v>225.98</v>
      </c>
      <c r="D1055" s="5">
        <v>221</v>
      </c>
      <c r="E1055" s="5">
        <v>225.18</v>
      </c>
      <c r="F1055" s="6">
        <v>8735154</v>
      </c>
    </row>
    <row r="1056" spans="1:6" x14ac:dyDescent="0.2">
      <c r="A1056" s="4">
        <v>46002</v>
      </c>
      <c r="B1056" s="5">
        <v>225.54</v>
      </c>
      <c r="C1056" s="5">
        <v>225.96</v>
      </c>
      <c r="D1056" s="5">
        <v>222.24</v>
      </c>
      <c r="E1056" s="5">
        <v>223.98</v>
      </c>
      <c r="F1056" s="6">
        <v>4170630</v>
      </c>
    </row>
    <row r="1057" spans="1:6" x14ac:dyDescent="0.2">
      <c r="A1057" s="4">
        <v>46003</v>
      </c>
      <c r="B1057" s="5">
        <v>223.685</v>
      </c>
      <c r="C1057" s="5">
        <v>223.82</v>
      </c>
      <c r="D1057" s="5">
        <v>221.1</v>
      </c>
      <c r="E1057" s="5">
        <v>223.32</v>
      </c>
      <c r="F1057" s="6">
        <v>5467638</v>
      </c>
    </row>
    <row r="1058" spans="1:6" x14ac:dyDescent="0.2">
      <c r="A1058" s="4">
        <v>46006</v>
      </c>
      <c r="B1058" s="5">
        <v>224.23500000000001</v>
      </c>
      <c r="C1058" s="5">
        <v>228.3</v>
      </c>
      <c r="D1058" s="5">
        <v>223.56</v>
      </c>
      <c r="E1058" s="5">
        <v>227.45</v>
      </c>
      <c r="F1058" s="6">
        <v>5972176</v>
      </c>
    </row>
    <row r="1059" spans="1:6" x14ac:dyDescent="0.2">
      <c r="A1059" s="4">
        <v>46007</v>
      </c>
      <c r="B1059" s="5">
        <v>226.41</v>
      </c>
      <c r="C1059" s="5">
        <v>226.84</v>
      </c>
      <c r="D1059" s="5">
        <v>221.91</v>
      </c>
      <c r="E1059" s="5">
        <v>223.67</v>
      </c>
      <c r="F1059" s="6">
        <v>6405940</v>
      </c>
    </row>
    <row r="1060" spans="1:6" x14ac:dyDescent="0.2">
      <c r="A1060" s="4">
        <v>46008</v>
      </c>
      <c r="B1060" s="5">
        <v>223.88</v>
      </c>
      <c r="C1060" s="5">
        <v>226.41</v>
      </c>
      <c r="D1060" s="5">
        <v>222.86</v>
      </c>
      <c r="E1060" s="5">
        <v>224.31</v>
      </c>
      <c r="F1060" s="6">
        <v>5243829</v>
      </c>
    </row>
    <row r="1061" spans="1:6" x14ac:dyDescent="0.2">
      <c r="A1061" s="4">
        <v>46009</v>
      </c>
      <c r="B1061" s="5">
        <v>224</v>
      </c>
      <c r="C1061" s="5">
        <v>226.26</v>
      </c>
      <c r="D1061" s="5">
        <v>222.79</v>
      </c>
      <c r="E1061" s="5">
        <v>222.82</v>
      </c>
      <c r="F1061" s="6">
        <v>4760352</v>
      </c>
    </row>
    <row r="1062" spans="1:6" x14ac:dyDescent="0.2">
      <c r="A1062" s="4">
        <v>46010</v>
      </c>
      <c r="B1062" s="5">
        <v>222.94499999999999</v>
      </c>
      <c r="C1062" s="5">
        <v>229.47</v>
      </c>
      <c r="D1062" s="5">
        <v>222.35</v>
      </c>
      <c r="E1062" s="5">
        <v>226.82</v>
      </c>
      <c r="F1062" s="6">
        <v>18968830</v>
      </c>
    </row>
    <row r="1063" spans="1:6" x14ac:dyDescent="0.2">
      <c r="A1063" s="4">
        <v>46013</v>
      </c>
      <c r="B1063" s="5">
        <v>226.11</v>
      </c>
      <c r="C1063" s="5">
        <v>228.65</v>
      </c>
      <c r="D1063" s="5">
        <v>224.25</v>
      </c>
      <c r="E1063" s="5">
        <v>227.91</v>
      </c>
      <c r="F1063" s="6">
        <v>4828087</v>
      </c>
    </row>
    <row r="1064" spans="1:6" x14ac:dyDescent="0.2">
      <c r="A1064" s="4">
        <v>46014</v>
      </c>
      <c r="B1064" s="5">
        <v>228.22</v>
      </c>
      <c r="C1064" s="5">
        <v>230.79</v>
      </c>
      <c r="D1064" s="5">
        <v>227.91</v>
      </c>
      <c r="E1064" s="5">
        <v>228.79</v>
      </c>
      <c r="F1064" s="6">
        <v>3612223</v>
      </c>
    </row>
    <row r="1065" spans="1:6" x14ac:dyDescent="0.2">
      <c r="A1065" s="4">
        <v>46015</v>
      </c>
      <c r="B1065" s="5">
        <v>229.46</v>
      </c>
      <c r="C1065" s="5">
        <v>230.8</v>
      </c>
      <c r="D1065" s="5">
        <v>228.98009999999999</v>
      </c>
      <c r="E1065" s="5">
        <v>229.89</v>
      </c>
      <c r="F1065" s="6">
        <v>1744910</v>
      </c>
    </row>
    <row r="1066" spans="1:6" x14ac:dyDescent="0.2">
      <c r="A1066" s="4">
        <v>46017</v>
      </c>
      <c r="B1066" s="5">
        <v>229.82</v>
      </c>
      <c r="C1066" s="5">
        <v>230.60499999999999</v>
      </c>
      <c r="D1066" s="5">
        <v>228.68</v>
      </c>
      <c r="E1066" s="5">
        <v>229.98</v>
      </c>
      <c r="F1066" s="6">
        <v>1594000</v>
      </c>
    </row>
    <row r="1067" spans="1:6" x14ac:dyDescent="0.2">
      <c r="A1067" s="4">
        <v>46020</v>
      </c>
      <c r="B1067" s="5">
        <v>230.15</v>
      </c>
      <c r="C1067" s="5">
        <v>232.01499999999999</v>
      </c>
      <c r="D1067" s="5">
        <v>229.74</v>
      </c>
      <c r="E1067" s="5">
        <v>230.84</v>
      </c>
      <c r="F1067" s="6">
        <v>3803117</v>
      </c>
    </row>
    <row r="1068" spans="1:6" x14ac:dyDescent="0.2">
      <c r="A1068" s="4">
        <v>46021</v>
      </c>
      <c r="B1068" s="5">
        <v>230.77</v>
      </c>
      <c r="C1068" s="5">
        <v>231.20500000000001</v>
      </c>
      <c r="D1068" s="5">
        <v>228.62</v>
      </c>
      <c r="E1068" s="5">
        <v>229.74</v>
      </c>
      <c r="F1068" s="6">
        <v>2347973</v>
      </c>
    </row>
    <row r="1069" spans="1:6" x14ac:dyDescent="0.2">
      <c r="A1069" s="4">
        <v>46022</v>
      </c>
      <c r="B1069" s="5">
        <v>229.74</v>
      </c>
      <c r="C1069" s="5">
        <v>230.25</v>
      </c>
      <c r="D1069" s="5">
        <v>228.43</v>
      </c>
      <c r="E1069" s="5">
        <v>228.49</v>
      </c>
      <c r="F1069" s="6">
        <v>3197147</v>
      </c>
    </row>
    <row r="1070" spans="1:6" x14ac:dyDescent="0.2">
      <c r="A1070" s="4">
        <v>46024</v>
      </c>
      <c r="B1070" s="5">
        <v>228.74</v>
      </c>
      <c r="C1070" s="5">
        <v>230.74</v>
      </c>
      <c r="D1070" s="5">
        <v>225.71</v>
      </c>
      <c r="E1070" s="5">
        <v>229.31</v>
      </c>
      <c r="F1070" s="6">
        <v>3336885</v>
      </c>
    </row>
    <row r="1071" spans="1:6" x14ac:dyDescent="0.2">
      <c r="A1071" s="4">
        <v>46027</v>
      </c>
      <c r="B1071" s="5">
        <v>227</v>
      </c>
      <c r="C1071" s="5">
        <v>227.24250000000001</v>
      </c>
      <c r="D1071" s="5">
        <v>217.86</v>
      </c>
      <c r="E1071" s="5">
        <v>220.18</v>
      </c>
      <c r="F1071" s="6">
        <v>9341301</v>
      </c>
    </row>
    <row r="1072" spans="1:6" x14ac:dyDescent="0.2">
      <c r="A1072" s="4">
        <v>46028</v>
      </c>
      <c r="B1072" s="5">
        <v>219.75</v>
      </c>
      <c r="C1072" s="5">
        <v>224.2</v>
      </c>
      <c r="D1072" s="5">
        <v>219.55</v>
      </c>
      <c r="E1072" s="5">
        <v>223.93</v>
      </c>
      <c r="F1072" s="6">
        <v>9151710</v>
      </c>
    </row>
    <row r="1073" spans="1:6" x14ac:dyDescent="0.2">
      <c r="A1073" s="4">
        <v>46029</v>
      </c>
      <c r="B1073" s="5">
        <v>225.24</v>
      </c>
      <c r="C1073" s="5">
        <v>237.04</v>
      </c>
      <c r="D1073" s="5">
        <v>224.74</v>
      </c>
      <c r="E1073" s="5">
        <v>233.42</v>
      </c>
      <c r="F1073" s="6">
        <v>10285390</v>
      </c>
    </row>
    <row r="1074" spans="1:6" x14ac:dyDescent="0.2">
      <c r="A1074" s="4">
        <v>46030</v>
      </c>
      <c r="B1074" s="5">
        <v>231.125</v>
      </c>
      <c r="C1074" s="5">
        <v>231.54</v>
      </c>
      <c r="D1074" s="5">
        <v>223.1225</v>
      </c>
      <c r="E1074" s="5">
        <v>224.13</v>
      </c>
      <c r="F1074" s="6">
        <v>9365855</v>
      </c>
    </row>
    <row r="1075" spans="1:6" x14ac:dyDescent="0.2">
      <c r="A1075" s="4">
        <v>46031</v>
      </c>
      <c r="B1075" s="5">
        <v>223.75</v>
      </c>
      <c r="C1075" s="5">
        <v>225.12</v>
      </c>
      <c r="D1075" s="5">
        <v>219</v>
      </c>
      <c r="E1075" s="5">
        <v>220.08</v>
      </c>
      <c r="F1075" s="6">
        <v>6714160</v>
      </c>
    </row>
    <row r="1076" spans="1:6" x14ac:dyDescent="0.2">
      <c r="A1076" s="4">
        <v>46034</v>
      </c>
      <c r="B1076" s="5">
        <v>221.19</v>
      </c>
      <c r="C1076" s="5">
        <v>222.49</v>
      </c>
      <c r="D1076" s="5">
        <v>218.39</v>
      </c>
      <c r="E1076" s="5">
        <v>220.04</v>
      </c>
      <c r="F1076" s="6">
        <v>6546141</v>
      </c>
    </row>
    <row r="1077" spans="1:6" x14ac:dyDescent="0.2">
      <c r="A1077" s="4">
        <v>46035</v>
      </c>
      <c r="B1077" s="5">
        <v>219.53</v>
      </c>
      <c r="C1077" s="5">
        <v>220.75</v>
      </c>
      <c r="D1077" s="5">
        <v>215.85</v>
      </c>
      <c r="E1077" s="5">
        <v>220.75</v>
      </c>
      <c r="F1077" s="6">
        <v>4872602</v>
      </c>
    </row>
    <row r="1078" spans="1:6" x14ac:dyDescent="0.2">
      <c r="A1078" s="4">
        <v>46036</v>
      </c>
      <c r="B1078" s="5">
        <v>221</v>
      </c>
      <c r="C1078" s="5">
        <v>223.3383</v>
      </c>
      <c r="D1078" s="5">
        <v>217</v>
      </c>
      <c r="E1078" s="5">
        <v>221.89</v>
      </c>
      <c r="F1078" s="6">
        <v>8426842</v>
      </c>
    </row>
    <row r="1079" spans="1:6" x14ac:dyDescent="0.2">
      <c r="A1079" s="4">
        <v>46037</v>
      </c>
      <c r="B1079" s="5">
        <v>222.52</v>
      </c>
      <c r="C1079" s="5">
        <v>223.03</v>
      </c>
      <c r="D1079" s="5">
        <v>215.83</v>
      </c>
      <c r="E1079" s="5">
        <v>216.75</v>
      </c>
      <c r="F1079" s="6">
        <v>6954243</v>
      </c>
    </row>
    <row r="1080" spans="1:6" x14ac:dyDescent="0.2">
      <c r="A1080" s="4">
        <v>46038</v>
      </c>
      <c r="B1080" s="5">
        <v>215.61</v>
      </c>
      <c r="C1080" s="5">
        <v>217.345</v>
      </c>
      <c r="D1080" s="5">
        <v>213.88</v>
      </c>
      <c r="E1080" s="5">
        <v>214.35</v>
      </c>
      <c r="F1080" s="6">
        <v>8649746</v>
      </c>
    </row>
    <row r="1081" spans="1:6" x14ac:dyDescent="0.2">
      <c r="A1081" s="4">
        <v>46042</v>
      </c>
      <c r="B1081" s="5">
        <v>211.69499999999999</v>
      </c>
      <c r="C1081" s="5">
        <v>214.04</v>
      </c>
      <c r="D1081" s="5">
        <v>209.96</v>
      </c>
      <c r="E1081" s="5">
        <v>214.04</v>
      </c>
      <c r="F1081" s="6">
        <v>8251436</v>
      </c>
    </row>
    <row r="1082" spans="1:6" x14ac:dyDescent="0.2">
      <c r="A1082" s="4">
        <v>46043</v>
      </c>
      <c r="B1082" s="5">
        <v>212.47</v>
      </c>
      <c r="C1082" s="5">
        <v>218</v>
      </c>
      <c r="D1082" s="5">
        <v>211.57</v>
      </c>
      <c r="E1082" s="5">
        <v>216.15</v>
      </c>
      <c r="F1082" s="6">
        <v>10727120</v>
      </c>
    </row>
    <row r="1083" spans="1:6" x14ac:dyDescent="0.2">
      <c r="A1083" s="4">
        <v>46044</v>
      </c>
      <c r="B1083" s="5">
        <v>216.28</v>
      </c>
      <c r="C1083" s="5">
        <v>219.05</v>
      </c>
      <c r="D1083" s="5">
        <v>214.76</v>
      </c>
      <c r="E1083" s="5">
        <v>218.11</v>
      </c>
      <c r="F1083" s="6">
        <v>5650881</v>
      </c>
    </row>
    <row r="1084" spans="1:6" x14ac:dyDescent="0.2">
      <c r="A1084" s="4">
        <v>46045</v>
      </c>
      <c r="B1084" s="5">
        <v>217.26</v>
      </c>
      <c r="C1084" s="5">
        <v>219.82</v>
      </c>
      <c r="D1084" s="5">
        <v>215.88</v>
      </c>
      <c r="E1084" s="5">
        <v>219.26</v>
      </c>
      <c r="F1084" s="6">
        <v>5816700</v>
      </c>
    </row>
    <row r="1085" spans="1:6" x14ac:dyDescent="0.2">
      <c r="A1085" s="4">
        <v>46048</v>
      </c>
      <c r="B1085" s="5">
        <v>219.11</v>
      </c>
      <c r="C1085" s="5">
        <v>221.47710000000001</v>
      </c>
      <c r="D1085" s="5">
        <v>218.5</v>
      </c>
      <c r="E1085" s="5">
        <v>220.77</v>
      </c>
      <c r="F1085" s="6">
        <v>6553387</v>
      </c>
    </row>
    <row r="1086" spans="1:6" x14ac:dyDescent="0.2">
      <c r="A1086" s="4">
        <v>46049</v>
      </c>
      <c r="B1086" s="5">
        <v>220.88</v>
      </c>
      <c r="C1086" s="5">
        <v>226.86</v>
      </c>
      <c r="D1086" s="5">
        <v>220.65</v>
      </c>
      <c r="E1086" s="5">
        <v>223.93</v>
      </c>
      <c r="F1086" s="6">
        <v>5747444</v>
      </c>
    </row>
    <row r="1087" spans="1:6" x14ac:dyDescent="0.2">
      <c r="A1087" s="4">
        <v>46050</v>
      </c>
      <c r="B1087" s="5">
        <v>223.6</v>
      </c>
      <c r="C1087" s="5">
        <v>224.03</v>
      </c>
      <c r="D1087" s="5">
        <v>216.7</v>
      </c>
      <c r="E1087" s="5">
        <v>218.67</v>
      </c>
      <c r="F1087" s="6">
        <v>5215799</v>
      </c>
    </row>
    <row r="1088" spans="1:6" x14ac:dyDescent="0.2">
      <c r="A1088" s="4">
        <v>46051</v>
      </c>
      <c r="B1088" s="5">
        <v>218</v>
      </c>
      <c r="C1088" s="5">
        <v>224.14</v>
      </c>
      <c r="D1088" s="5">
        <v>218</v>
      </c>
      <c r="E1088" s="5">
        <v>220.43</v>
      </c>
      <c r="F1088" s="6">
        <v>7834002</v>
      </c>
    </row>
    <row r="1089" spans="1:6" x14ac:dyDescent="0.2">
      <c r="A1089" s="4">
        <v>46052</v>
      </c>
      <c r="B1089" s="5">
        <v>220.51</v>
      </c>
      <c r="C1089" s="5">
        <v>224.02</v>
      </c>
      <c r="D1089" s="5">
        <v>219.55500000000001</v>
      </c>
      <c r="E1089" s="5">
        <v>223.01</v>
      </c>
      <c r="F1089" s="6">
        <v>6622248</v>
      </c>
    </row>
    <row r="1090" spans="1:6" x14ac:dyDescent="0.2">
      <c r="A1090" s="4">
        <v>46055</v>
      </c>
      <c r="B1090" s="5">
        <v>224.85</v>
      </c>
      <c r="C1090" s="5">
        <v>229.785</v>
      </c>
      <c r="D1090" s="5">
        <v>224.42</v>
      </c>
      <c r="E1090" s="5">
        <v>225.64</v>
      </c>
      <c r="F1090" s="6">
        <v>5412997</v>
      </c>
    </row>
    <row r="1091" spans="1:6" x14ac:dyDescent="0.2">
      <c r="A1091" s="4">
        <v>46056</v>
      </c>
      <c r="B1091" s="5">
        <v>223.95</v>
      </c>
      <c r="C1091" s="5">
        <v>228.7</v>
      </c>
      <c r="D1091" s="5">
        <v>223.64099999999999</v>
      </c>
      <c r="E1091" s="5">
        <v>225.66</v>
      </c>
      <c r="F1091" s="6">
        <v>8158535</v>
      </c>
    </row>
    <row r="1092" spans="1:6" x14ac:dyDescent="0.2">
      <c r="A1092" s="4">
        <v>46057</v>
      </c>
      <c r="B1092" s="5">
        <v>209.77500000000001</v>
      </c>
      <c r="C1092" s="5">
        <v>220.85</v>
      </c>
      <c r="D1092" s="5">
        <v>204.27</v>
      </c>
      <c r="E1092" s="5">
        <v>217.11</v>
      </c>
      <c r="F1092" s="6">
        <v>15319670</v>
      </c>
    </row>
    <row r="1093" spans="1:6" x14ac:dyDescent="0.2">
      <c r="A1093" s="4">
        <v>46058</v>
      </c>
      <c r="B1093" s="5">
        <v>216.9</v>
      </c>
      <c r="C1093" s="5">
        <v>219.87</v>
      </c>
      <c r="D1093" s="5">
        <v>214.04</v>
      </c>
      <c r="E1093" s="5">
        <v>219.02</v>
      </c>
      <c r="F1093" s="6">
        <v>10794040</v>
      </c>
    </row>
    <row r="1094" spans="1:6" x14ac:dyDescent="0.2">
      <c r="A1094" s="4">
        <v>46059</v>
      </c>
      <c r="B1094" s="5">
        <v>218.75</v>
      </c>
      <c r="C1094" s="5">
        <v>225.82</v>
      </c>
      <c r="D1094" s="5">
        <v>218.5001</v>
      </c>
      <c r="E1094" s="5">
        <v>223.43</v>
      </c>
      <c r="F1094" s="6">
        <v>6067099</v>
      </c>
    </row>
    <row r="1095" spans="1:6" x14ac:dyDescent="0.2">
      <c r="A1095" s="4">
        <v>46062</v>
      </c>
      <c r="B1095" s="5">
        <v>223.42</v>
      </c>
      <c r="C1095" s="5">
        <v>223.96</v>
      </c>
      <c r="D1095" s="5">
        <v>220.12</v>
      </c>
      <c r="E1095" s="5">
        <v>223.26</v>
      </c>
      <c r="F1095" s="6">
        <v>6767650</v>
      </c>
    </row>
    <row r="1096" spans="1:6" x14ac:dyDescent="0.2">
      <c r="A1096" s="4">
        <v>46063</v>
      </c>
      <c r="B1096" s="5">
        <v>223.75</v>
      </c>
      <c r="C1096" s="5">
        <v>225.81</v>
      </c>
      <c r="D1096" s="5">
        <v>221.94</v>
      </c>
      <c r="E1096" s="5">
        <v>222.44</v>
      </c>
      <c r="F1096" s="6">
        <v>6044475</v>
      </c>
    </row>
    <row r="1097" spans="1:6" x14ac:dyDescent="0.2">
      <c r="A1097" s="4">
        <v>46064</v>
      </c>
      <c r="B1097" s="5">
        <v>222.27</v>
      </c>
      <c r="C1097" s="5">
        <v>224.15</v>
      </c>
      <c r="D1097" s="5">
        <v>218.05</v>
      </c>
      <c r="E1097" s="5">
        <v>220.89</v>
      </c>
      <c r="F1097" s="6">
        <v>8072636</v>
      </c>
    </row>
    <row r="1098" spans="1:6" x14ac:dyDescent="0.2">
      <c r="A1098" s="4">
        <v>46065</v>
      </c>
      <c r="B1098" s="5">
        <v>221.57</v>
      </c>
      <c r="C1098" s="5">
        <v>229.05</v>
      </c>
      <c r="D1098" s="5">
        <v>220.91</v>
      </c>
      <c r="E1098" s="5">
        <v>227.5</v>
      </c>
      <c r="F1098" s="6">
        <v>8712013</v>
      </c>
    </row>
    <row r="1099" spans="1:6" x14ac:dyDescent="0.2">
      <c r="A1099" s="4">
        <v>46066</v>
      </c>
      <c r="B1099" s="5">
        <v>228.42</v>
      </c>
      <c r="C1099" s="5">
        <v>234.74</v>
      </c>
      <c r="D1099" s="5">
        <v>228</v>
      </c>
      <c r="E1099" s="5">
        <v>231.5</v>
      </c>
      <c r="F1099" s="6">
        <v>8252480</v>
      </c>
    </row>
    <row r="1100" spans="1:6" x14ac:dyDescent="0.2">
      <c r="A1100" s="4">
        <v>46070</v>
      </c>
      <c r="B1100" s="5">
        <v>232.655</v>
      </c>
      <c r="C1100" s="5">
        <v>235.2499</v>
      </c>
      <c r="D1100" s="5">
        <v>231.19</v>
      </c>
      <c r="E1100" s="5">
        <v>232.86</v>
      </c>
      <c r="F1100" s="6">
        <v>7336770</v>
      </c>
    </row>
    <row r="1101" spans="1:6" x14ac:dyDescent="0.2">
      <c r="A1101" s="4">
        <v>46071</v>
      </c>
      <c r="B1101" s="5">
        <v>234</v>
      </c>
      <c r="C1101" s="5">
        <v>234</v>
      </c>
      <c r="D1101" s="5">
        <v>226.07</v>
      </c>
      <c r="E1101" s="5">
        <v>228.72</v>
      </c>
      <c r="F1101" s="6">
        <v>5495352</v>
      </c>
    </row>
    <row r="1102" spans="1:6" x14ac:dyDescent="0.2">
      <c r="A1102" s="4">
        <v>46072</v>
      </c>
      <c r="B1102" s="5">
        <v>228.97</v>
      </c>
      <c r="C1102" s="5">
        <v>229.37</v>
      </c>
      <c r="D1102" s="5">
        <v>223.02</v>
      </c>
      <c r="E1102" s="5">
        <v>224.35</v>
      </c>
      <c r="F1102" s="6">
        <v>5410847</v>
      </c>
    </row>
    <row r="1103" spans="1:6" x14ac:dyDescent="0.2">
      <c r="A1103" s="4">
        <v>46073</v>
      </c>
      <c r="B1103" s="5">
        <v>225.04</v>
      </c>
      <c r="C1103" s="5">
        <v>226.69</v>
      </c>
      <c r="D1103" s="5">
        <v>223.11</v>
      </c>
      <c r="E1103" s="5">
        <v>224.81</v>
      </c>
      <c r="F1103" s="6">
        <v>6830385</v>
      </c>
    </row>
    <row r="1104" spans="1:6" x14ac:dyDescent="0.2">
      <c r="A1104" s="4">
        <v>46076</v>
      </c>
      <c r="B1104" s="5">
        <v>225.82</v>
      </c>
      <c r="C1104" s="5">
        <v>231.43</v>
      </c>
      <c r="D1104" s="5">
        <v>225.79</v>
      </c>
      <c r="E1104" s="5">
        <v>229.48</v>
      </c>
      <c r="F1104" s="6">
        <v>5463188</v>
      </c>
    </row>
    <row r="1105" spans="1:6" x14ac:dyDescent="0.2">
      <c r="A1105" s="4">
        <v>46077</v>
      </c>
      <c r="B1105" s="5">
        <v>229</v>
      </c>
      <c r="C1105" s="5">
        <v>230.7585</v>
      </c>
      <c r="D1105" s="5">
        <v>227.67</v>
      </c>
      <c r="E1105" s="5">
        <v>228.44</v>
      </c>
      <c r="F1105" s="6">
        <v>4880790</v>
      </c>
    </row>
    <row r="1106" spans="1:6" x14ac:dyDescent="0.2">
      <c r="A1106" s="4">
        <v>46078</v>
      </c>
      <c r="B1106" s="5">
        <v>229.71</v>
      </c>
      <c r="C1106" s="5">
        <v>232.55</v>
      </c>
      <c r="D1106" s="5">
        <v>226.47499999999999</v>
      </c>
      <c r="E1106" s="5">
        <v>226.92</v>
      </c>
      <c r="F1106" s="6">
        <v>5411151</v>
      </c>
    </row>
    <row r="1107" spans="1:6" x14ac:dyDescent="0.2">
      <c r="A1107" s="4">
        <v>46079</v>
      </c>
      <c r="B1107" s="5">
        <v>227.59</v>
      </c>
      <c r="C1107" s="5">
        <v>227.78</v>
      </c>
      <c r="D1107" s="5">
        <v>221.125</v>
      </c>
      <c r="E1107" s="5">
        <v>224.69</v>
      </c>
      <c r="F1107" s="6">
        <v>5331541</v>
      </c>
    </row>
    <row r="1108" spans="1:6" x14ac:dyDescent="0.2">
      <c r="A1108" s="4">
        <v>46080</v>
      </c>
      <c r="B1108" s="5">
        <v>225.1</v>
      </c>
      <c r="C1108" s="5">
        <v>232.27</v>
      </c>
      <c r="D1108" s="5">
        <v>225.06</v>
      </c>
      <c r="E1108" s="5">
        <v>232.08</v>
      </c>
      <c r="F1108" s="6">
        <v>8018056</v>
      </c>
    </row>
    <row r="1109" spans="1:6" x14ac:dyDescent="0.2">
      <c r="A1109" s="4">
        <v>46083</v>
      </c>
      <c r="B1109" s="5">
        <v>233.66</v>
      </c>
      <c r="C1109" s="5">
        <v>235.66</v>
      </c>
      <c r="D1109" s="5">
        <v>231.9</v>
      </c>
      <c r="E1109" s="5">
        <v>234.26</v>
      </c>
      <c r="F1109" s="6">
        <v>7438994</v>
      </c>
    </row>
    <row r="1110" spans="1:6" x14ac:dyDescent="0.2">
      <c r="A1110" s="4">
        <v>46084</v>
      </c>
      <c r="B1110" s="5">
        <v>233.36</v>
      </c>
      <c r="C1110" s="5">
        <v>235.71</v>
      </c>
      <c r="D1110" s="5">
        <v>230.24</v>
      </c>
      <c r="E1110" s="5">
        <v>233.86</v>
      </c>
      <c r="F1110" s="6">
        <v>6595681</v>
      </c>
    </row>
    <row r="1111" spans="1:6" x14ac:dyDescent="0.2">
      <c r="A1111" s="4">
        <v>46085</v>
      </c>
      <c r="B1111" s="5">
        <v>233.56</v>
      </c>
      <c r="C1111" s="5">
        <v>237.11</v>
      </c>
      <c r="D1111" s="5">
        <v>232.077</v>
      </c>
      <c r="E1111" s="5">
        <v>236.19</v>
      </c>
      <c r="F1111" s="6">
        <v>5380807</v>
      </c>
    </row>
    <row r="1112" spans="1:6" x14ac:dyDescent="0.2">
      <c r="A1112" s="4">
        <v>46086</v>
      </c>
      <c r="B1112" s="5">
        <v>233.42</v>
      </c>
      <c r="C1112" s="5">
        <v>234.8</v>
      </c>
      <c r="D1112" s="5">
        <v>228</v>
      </c>
      <c r="E1112" s="5">
        <v>232.35</v>
      </c>
      <c r="F1112" s="6">
        <v>9429458</v>
      </c>
    </row>
    <row r="1113" spans="1:6" x14ac:dyDescent="0.2">
      <c r="A1113" s="4">
        <v>46087</v>
      </c>
      <c r="B1113" s="5">
        <v>230.36</v>
      </c>
      <c r="C1113" s="5">
        <v>231.6</v>
      </c>
      <c r="D1113" s="5">
        <v>226.8</v>
      </c>
      <c r="E1113" s="5">
        <v>230.11</v>
      </c>
      <c r="F1113" s="6">
        <v>6139830</v>
      </c>
    </row>
    <row r="1114" spans="1:6" x14ac:dyDescent="0.2">
      <c r="A1114" s="4">
        <v>46090</v>
      </c>
      <c r="B1114" s="5">
        <v>229.97</v>
      </c>
      <c r="C1114" s="5">
        <v>230.67500000000001</v>
      </c>
      <c r="D1114" s="5">
        <v>223.23</v>
      </c>
      <c r="E1114" s="5">
        <v>227.45</v>
      </c>
      <c r="F1114" s="6">
        <v>7915776</v>
      </c>
    </row>
    <row r="1115" spans="1:6" x14ac:dyDescent="0.2">
      <c r="A1115" s="4">
        <v>46091</v>
      </c>
      <c r="B1115" s="5">
        <v>227.66</v>
      </c>
      <c r="C1115" s="5">
        <v>231.26499999999999</v>
      </c>
      <c r="D1115" s="5">
        <v>226.16</v>
      </c>
      <c r="E1115" s="5">
        <v>227.01</v>
      </c>
      <c r="F1115" s="6">
        <v>6466831</v>
      </c>
    </row>
    <row r="1116" spans="1:6" x14ac:dyDescent="0.2">
      <c r="A1116" s="4">
        <v>46092</v>
      </c>
      <c r="B1116" s="5">
        <v>226.05</v>
      </c>
      <c r="C1116" s="5">
        <v>229.28989999999999</v>
      </c>
      <c r="D1116" s="5">
        <v>225.29499999999999</v>
      </c>
      <c r="E1116" s="5">
        <v>227.68</v>
      </c>
      <c r="F1116" s="6">
        <v>5300628</v>
      </c>
    </row>
    <row r="1117" spans="1:6" x14ac:dyDescent="0.2">
      <c r="A1117" s="4">
        <v>46093</v>
      </c>
      <c r="B1117" s="5">
        <v>225.12</v>
      </c>
      <c r="C1117" s="5">
        <v>227.80500000000001</v>
      </c>
      <c r="D1117" s="5">
        <v>223.57</v>
      </c>
      <c r="E1117" s="5">
        <v>225.37</v>
      </c>
      <c r="F1117" s="6">
        <v>7607237</v>
      </c>
    </row>
    <row r="1118" spans="1:6" x14ac:dyDescent="0.2">
      <c r="A1118" s="4">
        <v>46094</v>
      </c>
      <c r="B1118" s="5">
        <v>226.89</v>
      </c>
      <c r="C1118" s="5">
        <v>228.62</v>
      </c>
      <c r="D1118" s="5">
        <v>219.44</v>
      </c>
      <c r="E1118" s="5">
        <v>219.68</v>
      </c>
      <c r="F1118" s="6">
        <v>5676063</v>
      </c>
    </row>
    <row r="1119" spans="1:6" x14ac:dyDescent="0.2">
      <c r="A1119" s="4">
        <v>46097</v>
      </c>
      <c r="B1119" s="5">
        <v>221.09</v>
      </c>
      <c r="C1119" s="5">
        <v>224.3699</v>
      </c>
      <c r="D1119" s="5">
        <v>220.315</v>
      </c>
      <c r="E1119" s="5">
        <v>221.45</v>
      </c>
      <c r="F1119" s="6">
        <v>3991892</v>
      </c>
    </row>
    <row r="1120" spans="1:6" x14ac:dyDescent="0.2">
      <c r="A1120" s="4">
        <v>46098</v>
      </c>
      <c r="B1120" s="5">
        <v>222.04</v>
      </c>
      <c r="C1120" s="5">
        <v>223.27500000000001</v>
      </c>
      <c r="D1120" s="5">
        <v>219.76</v>
      </c>
      <c r="E1120" s="5">
        <v>219.76</v>
      </c>
      <c r="F1120" s="6">
        <v>4405702</v>
      </c>
    </row>
    <row r="1121" spans="1:6" x14ac:dyDescent="0.2">
      <c r="A1121" s="4">
        <v>46099</v>
      </c>
      <c r="B1121" s="5">
        <v>218.5</v>
      </c>
      <c r="C1121" s="5">
        <v>219</v>
      </c>
      <c r="D1121" s="5">
        <v>207.6</v>
      </c>
      <c r="E1121" s="5">
        <v>208.34</v>
      </c>
      <c r="F1121" s="6">
        <v>8597000</v>
      </c>
    </row>
    <row r="1122" spans="1:6" x14ac:dyDescent="0.2">
      <c r="A1122" s="4">
        <v>46100</v>
      </c>
      <c r="B1122" s="5">
        <v>208.36500000000001</v>
      </c>
      <c r="C1122" s="5">
        <v>210.42500000000001</v>
      </c>
      <c r="D1122" s="5">
        <v>204.3</v>
      </c>
      <c r="E1122" s="5">
        <v>206.23</v>
      </c>
      <c r="F1122" s="6">
        <v>7006809</v>
      </c>
    </row>
    <row r="1123" spans="1:6" x14ac:dyDescent="0.2">
      <c r="A1123" s="4">
        <v>46101</v>
      </c>
      <c r="B1123" s="5">
        <v>206.26499999999999</v>
      </c>
      <c r="C1123" s="5">
        <v>207.78</v>
      </c>
      <c r="D1123" s="5">
        <v>203.06</v>
      </c>
      <c r="E1123" s="5">
        <v>205.07</v>
      </c>
      <c r="F1123" s="6">
        <v>27982360</v>
      </c>
    </row>
    <row r="1124" spans="1:6" x14ac:dyDescent="0.2">
      <c r="A1124" s="4">
        <v>46104</v>
      </c>
      <c r="B1124" s="5">
        <v>207.36</v>
      </c>
      <c r="C1124" s="5">
        <v>208.61500000000001</v>
      </c>
      <c r="D1124" s="5">
        <v>203.22</v>
      </c>
      <c r="E1124" s="5">
        <v>204.93</v>
      </c>
      <c r="F1124" s="6">
        <v>7419862</v>
      </c>
    </row>
    <row r="1125" spans="1:6" x14ac:dyDescent="0.2">
      <c r="A1125" s="4">
        <v>46105</v>
      </c>
      <c r="B1125" s="5">
        <v>203.04</v>
      </c>
      <c r="C1125" s="5">
        <v>206.005</v>
      </c>
      <c r="D1125" s="5">
        <v>201.8</v>
      </c>
      <c r="E1125" s="5">
        <v>205.2</v>
      </c>
      <c r="F1125" s="6">
        <v>6990939</v>
      </c>
    </row>
    <row r="1126" spans="1:6" x14ac:dyDescent="0.2">
      <c r="A1126" s="4">
        <v>46106</v>
      </c>
      <c r="B1126" s="5">
        <v>206.86</v>
      </c>
      <c r="C1126" s="5">
        <v>209.68</v>
      </c>
      <c r="D1126" s="5">
        <v>205.85499999999999</v>
      </c>
      <c r="E1126" s="5">
        <v>207.18</v>
      </c>
      <c r="F1126" s="6">
        <v>6000359</v>
      </c>
    </row>
    <row r="1127" spans="1:6" x14ac:dyDescent="0.2">
      <c r="A1127" s="4">
        <v>46107</v>
      </c>
      <c r="B1127" s="5">
        <v>207.19</v>
      </c>
      <c r="C1127" s="5">
        <v>211.45</v>
      </c>
      <c r="D1127" s="5">
        <v>205.76</v>
      </c>
      <c r="E1127" s="5">
        <v>211.12</v>
      </c>
      <c r="F1127" s="6">
        <v>4576293</v>
      </c>
    </row>
    <row r="1128" spans="1:6" x14ac:dyDescent="0.2">
      <c r="A1128" s="4">
        <v>46108</v>
      </c>
      <c r="B1128" s="5">
        <v>211.42</v>
      </c>
      <c r="C1128" s="5">
        <v>213.49</v>
      </c>
      <c r="D1128" s="5">
        <v>209.12</v>
      </c>
      <c r="E1128" s="5">
        <v>209.4</v>
      </c>
      <c r="F1128" s="6">
        <v>5654015</v>
      </c>
    </row>
    <row r="1129" spans="1:6" x14ac:dyDescent="0.2">
      <c r="A1129" s="4">
        <v>46111</v>
      </c>
      <c r="B1129" s="5">
        <v>212.26</v>
      </c>
      <c r="C1129" s="5">
        <v>213.94</v>
      </c>
      <c r="D1129" s="5">
        <v>210.78</v>
      </c>
      <c r="E1129" s="5">
        <v>213.12</v>
      </c>
      <c r="F1129" s="6">
        <v>7491187</v>
      </c>
    </row>
    <row r="1130" spans="1:6" x14ac:dyDescent="0.2">
      <c r="A1130" s="4">
        <v>46112</v>
      </c>
      <c r="B1130" s="5">
        <v>215.06</v>
      </c>
      <c r="C1130" s="5">
        <v>219.17</v>
      </c>
      <c r="D1130" s="5">
        <v>214.85</v>
      </c>
      <c r="E1130" s="5">
        <v>217.49</v>
      </c>
      <c r="F1130" s="6">
        <v>8311654</v>
      </c>
    </row>
    <row r="1131" spans="1:6" x14ac:dyDescent="0.2">
      <c r="A1131" s="4">
        <v>46113</v>
      </c>
      <c r="B1131" s="5">
        <v>218.37</v>
      </c>
      <c r="C1131" s="5">
        <v>220.45</v>
      </c>
      <c r="D1131" s="5">
        <v>213.75</v>
      </c>
      <c r="E1131" s="5">
        <v>214.98</v>
      </c>
      <c r="F1131" s="6">
        <v>5702988</v>
      </c>
    </row>
    <row r="1132" spans="1:6" x14ac:dyDescent="0.2">
      <c r="A1132" s="4">
        <v>46114</v>
      </c>
      <c r="B1132" s="5">
        <v>213.99</v>
      </c>
      <c r="C1132" s="5">
        <v>214.56</v>
      </c>
      <c r="D1132" s="5">
        <v>207.71</v>
      </c>
      <c r="E1132" s="5">
        <v>208.84</v>
      </c>
      <c r="F1132" s="6">
        <v>5151109</v>
      </c>
    </row>
    <row r="1133" spans="1:6" x14ac:dyDescent="0.2">
      <c r="A1133" s="4">
        <v>46118</v>
      </c>
      <c r="B1133" s="5">
        <v>207.04</v>
      </c>
      <c r="C1133" s="5">
        <v>209</v>
      </c>
      <c r="D1133" s="5">
        <v>205.3</v>
      </c>
      <c r="E1133" s="5">
        <v>206.69</v>
      </c>
      <c r="F1133" s="6">
        <v>4929131</v>
      </c>
    </row>
    <row r="1134" spans="1:6" x14ac:dyDescent="0.2">
      <c r="A1134" s="4">
        <v>46119</v>
      </c>
      <c r="B1134" s="5">
        <v>206.23</v>
      </c>
      <c r="C1134" s="5">
        <v>206.49</v>
      </c>
      <c r="D1134" s="5">
        <v>201.6634</v>
      </c>
      <c r="E1134" s="5">
        <v>206.37</v>
      </c>
      <c r="F1134" s="6">
        <v>8801612</v>
      </c>
    </row>
    <row r="1135" spans="1:6" x14ac:dyDescent="0.2">
      <c r="A1135" s="4">
        <v>46120</v>
      </c>
      <c r="B1135" s="5">
        <v>206.26</v>
      </c>
      <c r="C1135" s="5">
        <v>212.22</v>
      </c>
      <c r="D1135" s="5">
        <v>204.56</v>
      </c>
      <c r="E1135" s="5">
        <v>211.59</v>
      </c>
      <c r="F1135" s="6">
        <v>5477736</v>
      </c>
    </row>
    <row r="1136" spans="1:6" x14ac:dyDescent="0.2">
      <c r="A1136" s="4">
        <v>46121</v>
      </c>
      <c r="B1136" s="5">
        <v>209.48</v>
      </c>
      <c r="C1136" s="5">
        <v>213.51</v>
      </c>
      <c r="D1136" s="5">
        <v>208.74</v>
      </c>
      <c r="E1136" s="5">
        <v>212.4</v>
      </c>
      <c r="F1136" s="6">
        <v>4478093</v>
      </c>
    </row>
    <row r="1137" spans="1:6" x14ac:dyDescent="0.2">
      <c r="A1137" s="4">
        <v>46122</v>
      </c>
      <c r="B1137" s="5">
        <v>213.55</v>
      </c>
      <c r="C1137" s="5">
        <v>214.1</v>
      </c>
      <c r="D1137" s="5">
        <v>207.75</v>
      </c>
      <c r="E1137" s="5">
        <v>207.94</v>
      </c>
      <c r="F1137" s="6">
        <v>4633169</v>
      </c>
    </row>
    <row r="1138" spans="1:6" x14ac:dyDescent="0.2">
      <c r="A1138" s="4">
        <v>46125</v>
      </c>
      <c r="B1138" s="5">
        <v>206.43</v>
      </c>
      <c r="C1138" s="5">
        <v>208.08</v>
      </c>
      <c r="D1138" s="5">
        <v>203.01</v>
      </c>
      <c r="E1138" s="5">
        <v>206.47</v>
      </c>
      <c r="F1138" s="6">
        <v>7532517</v>
      </c>
    </row>
    <row r="1139" spans="1:6" x14ac:dyDescent="0.2">
      <c r="A1139" s="4">
        <v>46126</v>
      </c>
      <c r="B1139" s="5">
        <v>204.8</v>
      </c>
      <c r="C1139" s="5">
        <v>210.42</v>
      </c>
      <c r="D1139" s="5">
        <v>204.06</v>
      </c>
      <c r="E1139" s="5">
        <v>210.26</v>
      </c>
      <c r="F1139" s="6">
        <v>6199445</v>
      </c>
    </row>
    <row r="1140" spans="1:6" x14ac:dyDescent="0.2">
      <c r="A1140" s="4">
        <v>46127</v>
      </c>
      <c r="B1140" s="5">
        <v>208.99</v>
      </c>
      <c r="C1140" s="5">
        <v>209.82</v>
      </c>
      <c r="D1140" s="5">
        <v>205.54499999999999</v>
      </c>
      <c r="E1140" s="5">
        <v>208.42</v>
      </c>
      <c r="F1140" s="6">
        <v>5952061</v>
      </c>
    </row>
    <row r="1141" spans="1:6" x14ac:dyDescent="0.2">
      <c r="A1141" s="4">
        <v>46128</v>
      </c>
      <c r="B1141" s="5">
        <v>207.78</v>
      </c>
      <c r="C1141" s="5">
        <v>209.66</v>
      </c>
      <c r="D1141" s="5">
        <v>206.52</v>
      </c>
      <c r="E1141" s="5">
        <v>208.99</v>
      </c>
      <c r="F1141" s="6">
        <v>5075394</v>
      </c>
    </row>
    <row r="1142" spans="1:6" x14ac:dyDescent="0.2">
      <c r="A1142" s="4">
        <v>46129</v>
      </c>
      <c r="B1142" s="5">
        <v>209.66</v>
      </c>
      <c r="C1142" s="5">
        <v>212.35</v>
      </c>
      <c r="D1142" s="5">
        <v>207.82</v>
      </c>
      <c r="E1142" s="5">
        <v>208.38</v>
      </c>
      <c r="F1142" s="6">
        <v>8986577</v>
      </c>
    </row>
    <row r="1143" spans="1:6" x14ac:dyDescent="0.2">
      <c r="A1143" s="4">
        <v>46132</v>
      </c>
      <c r="B1143" s="5">
        <v>207.94</v>
      </c>
      <c r="C1143" s="5">
        <v>208.33</v>
      </c>
      <c r="D1143" s="5">
        <v>202.84</v>
      </c>
      <c r="E1143" s="5">
        <v>203.71</v>
      </c>
      <c r="F1143" s="6">
        <v>5774268</v>
      </c>
    </row>
    <row r="1144" spans="1:6" x14ac:dyDescent="0.2">
      <c r="A1144" s="4">
        <v>46133</v>
      </c>
      <c r="B1144" s="5">
        <v>204.01</v>
      </c>
      <c r="C1144" s="5">
        <v>206.2</v>
      </c>
      <c r="D1144" s="5">
        <v>200.92</v>
      </c>
      <c r="E1144" s="5">
        <v>205.12</v>
      </c>
      <c r="F1144" s="6">
        <v>7772128</v>
      </c>
    </row>
    <row r="1145" spans="1:6" x14ac:dyDescent="0.2">
      <c r="A1145" s="4">
        <v>46134</v>
      </c>
      <c r="B1145" s="5">
        <v>205.17</v>
      </c>
      <c r="C1145" s="5">
        <v>205.99</v>
      </c>
      <c r="D1145" s="5">
        <v>199.81</v>
      </c>
      <c r="E1145" s="5">
        <v>200.5</v>
      </c>
      <c r="F1145" s="6">
        <v>7646222</v>
      </c>
    </row>
    <row r="1146" spans="1:6" x14ac:dyDescent="0.2">
      <c r="A1146" s="4">
        <v>46135</v>
      </c>
      <c r="B1146" s="5">
        <v>201.05</v>
      </c>
      <c r="C1146" s="5">
        <v>202.76</v>
      </c>
      <c r="D1146" s="5">
        <v>200.405</v>
      </c>
      <c r="E1146" s="5">
        <v>200.95</v>
      </c>
      <c r="F1146" s="6">
        <v>7461105</v>
      </c>
    </row>
    <row r="1147" spans="1:6" x14ac:dyDescent="0.2">
      <c r="A1147" s="4">
        <v>46136</v>
      </c>
      <c r="B1147" s="5">
        <v>198.93</v>
      </c>
      <c r="C1147" s="5">
        <v>200.245</v>
      </c>
      <c r="D1147" s="5">
        <v>197.14</v>
      </c>
      <c r="E1147" s="5">
        <v>198.71</v>
      </c>
      <c r="F1147" s="6">
        <v>7605836</v>
      </c>
    </row>
    <row r="1148" spans="1:6" x14ac:dyDescent="0.2">
      <c r="A1148" s="4">
        <v>46139</v>
      </c>
      <c r="B1148" s="5">
        <v>198</v>
      </c>
      <c r="C1148" s="5">
        <v>201.42</v>
      </c>
      <c r="D1148" s="5">
        <v>196.23220000000001</v>
      </c>
      <c r="E1148" s="5">
        <v>197.38</v>
      </c>
      <c r="F1148" s="6">
        <v>7467611</v>
      </c>
    </row>
    <row r="1149" spans="1:6" x14ac:dyDescent="0.2">
      <c r="A1149" s="4">
        <v>46140</v>
      </c>
      <c r="B1149" s="5">
        <v>198.67</v>
      </c>
      <c r="C1149" s="5">
        <v>199.18</v>
      </c>
      <c r="D1149" s="5">
        <v>196.44</v>
      </c>
      <c r="E1149" s="5">
        <v>197.69</v>
      </c>
      <c r="F1149" s="6">
        <v>6313097</v>
      </c>
    </row>
    <row r="1150" spans="1:6" x14ac:dyDescent="0.2">
      <c r="A1150" s="4">
        <v>46141</v>
      </c>
      <c r="B1150" s="5">
        <v>192</v>
      </c>
      <c r="C1150" s="5">
        <v>205.83</v>
      </c>
      <c r="D1150" s="5">
        <v>190.75</v>
      </c>
      <c r="E1150" s="5">
        <v>203.89</v>
      </c>
      <c r="F1150" s="6">
        <v>10406320</v>
      </c>
    </row>
    <row r="1151" spans="1:6" x14ac:dyDescent="0.2">
      <c r="A1151" s="4">
        <v>46142</v>
      </c>
      <c r="B1151" s="5">
        <v>209</v>
      </c>
      <c r="C1151" s="5">
        <v>214.87</v>
      </c>
      <c r="D1151" s="5">
        <v>208.17</v>
      </c>
      <c r="E1151" s="5">
        <v>211.32</v>
      </c>
      <c r="F1151" s="6">
        <v>10319240</v>
      </c>
    </row>
    <row r="1152" spans="1:6" x14ac:dyDescent="0.2">
      <c r="A1152" s="4">
        <v>46143</v>
      </c>
      <c r="B1152" s="5">
        <v>211</v>
      </c>
      <c r="C1152" s="5">
        <v>211</v>
      </c>
      <c r="D1152" s="5">
        <v>205.57</v>
      </c>
      <c r="E1152" s="5">
        <v>206.6</v>
      </c>
      <c r="F1152" s="6">
        <v>6343104</v>
      </c>
    </row>
    <row r="1153" spans="1:6" x14ac:dyDescent="0.2">
      <c r="A1153" s="4">
        <v>46146</v>
      </c>
      <c r="B1153" s="5">
        <v>205.71</v>
      </c>
      <c r="C1153" s="5">
        <v>208.33500000000001</v>
      </c>
      <c r="D1153" s="5">
        <v>204.87</v>
      </c>
      <c r="E1153" s="5">
        <v>208.16</v>
      </c>
      <c r="F1153" s="6">
        <v>4579477</v>
      </c>
    </row>
    <row r="1154" spans="1:6" x14ac:dyDescent="0.2">
      <c r="A1154" s="4">
        <v>46147</v>
      </c>
      <c r="B1154" s="5">
        <v>208.97</v>
      </c>
      <c r="C1154" s="5">
        <v>209.51499999999999</v>
      </c>
      <c r="D1154" s="5">
        <v>205.83</v>
      </c>
      <c r="E1154" s="5">
        <v>206.11</v>
      </c>
      <c r="F1154" s="6">
        <v>4490528</v>
      </c>
    </row>
    <row r="1155" spans="1:6" x14ac:dyDescent="0.2">
      <c r="A1155" s="4">
        <v>46148</v>
      </c>
      <c r="B1155" s="5">
        <v>206.11</v>
      </c>
      <c r="C1155" s="5">
        <v>207.01</v>
      </c>
      <c r="D1155" s="5">
        <v>203.55500000000001</v>
      </c>
      <c r="E1155" s="5">
        <v>205.03</v>
      </c>
      <c r="F1155" s="6">
        <v>7289987</v>
      </c>
    </row>
    <row r="1156" spans="1:6" x14ac:dyDescent="0.2">
      <c r="A1156" s="4">
        <v>46149</v>
      </c>
      <c r="B1156" s="5">
        <v>204.92</v>
      </c>
      <c r="C1156" s="5">
        <v>207</v>
      </c>
      <c r="D1156" s="5">
        <v>202.03</v>
      </c>
      <c r="E1156" s="5">
        <v>202.71</v>
      </c>
      <c r="F1156" s="6">
        <v>6681070</v>
      </c>
    </row>
    <row r="1157" spans="1:6" x14ac:dyDescent="0.2">
      <c r="A1157" s="4">
        <v>46150</v>
      </c>
      <c r="B1157" s="5">
        <v>201.92</v>
      </c>
      <c r="C1157" s="5">
        <v>202.4</v>
      </c>
      <c r="D1157" s="5">
        <v>200.02</v>
      </c>
      <c r="E1157" s="5">
        <v>201.55</v>
      </c>
      <c r="F1157" s="6">
        <v>4915719</v>
      </c>
    </row>
    <row r="1158" spans="1:6" x14ac:dyDescent="0.2">
      <c r="A1158" s="4">
        <v>46153</v>
      </c>
      <c r="B1158" s="5">
        <v>202.01</v>
      </c>
      <c r="C1158" s="5">
        <v>205.375</v>
      </c>
      <c r="D1158" s="5">
        <v>202.01</v>
      </c>
      <c r="E1158" s="5">
        <v>202.78</v>
      </c>
      <c r="F1158" s="6">
        <v>4931663</v>
      </c>
    </row>
    <row r="1159" spans="1:6" x14ac:dyDescent="0.2">
      <c r="A1159" s="4">
        <v>46154</v>
      </c>
      <c r="B1159" s="5">
        <v>204.59</v>
      </c>
      <c r="C1159" s="5">
        <v>211.31989999999999</v>
      </c>
      <c r="D1159" s="5">
        <v>203.51009999999999</v>
      </c>
      <c r="E1159" s="5">
        <v>207.86</v>
      </c>
      <c r="F1159" s="6">
        <v>7044065</v>
      </c>
    </row>
    <row r="1160" spans="1:6" x14ac:dyDescent="0.2">
      <c r="A1160" s="4">
        <v>46155</v>
      </c>
      <c r="B1160" s="5">
        <v>206.86</v>
      </c>
      <c r="C1160" s="5">
        <v>209.53</v>
      </c>
      <c r="D1160" s="5">
        <v>204.3</v>
      </c>
      <c r="E1160" s="5">
        <v>208.5</v>
      </c>
      <c r="F1160" s="6">
        <v>5705668</v>
      </c>
    </row>
    <row r="1161" spans="1:6" x14ac:dyDescent="0.2">
      <c r="A1161" s="4">
        <v>46156</v>
      </c>
      <c r="B1161" s="5">
        <v>209.5</v>
      </c>
      <c r="C1161" s="5">
        <v>213.51</v>
      </c>
      <c r="D1161" s="5">
        <v>208.352</v>
      </c>
      <c r="E1161" s="5">
        <v>210.77</v>
      </c>
      <c r="F1161" s="6">
        <v>5006510</v>
      </c>
    </row>
    <row r="1162" spans="1:6" x14ac:dyDescent="0.2">
      <c r="A1162" s="4">
        <v>46157</v>
      </c>
      <c r="B1162" s="5">
        <v>213.1</v>
      </c>
      <c r="C1162" s="5">
        <v>214.92</v>
      </c>
      <c r="D1162" s="5">
        <v>209.02</v>
      </c>
      <c r="E1162" s="5">
        <v>210.39</v>
      </c>
      <c r="F1162" s="6">
        <v>5385047</v>
      </c>
    </row>
    <row r="1163" spans="1:6" x14ac:dyDescent="0.2">
      <c r="A1163" s="4">
        <v>46160</v>
      </c>
      <c r="B1163" s="5">
        <v>210.37</v>
      </c>
      <c r="C1163" s="5">
        <v>211.36</v>
      </c>
      <c r="D1163" s="5">
        <v>207.68</v>
      </c>
      <c r="E1163" s="5">
        <v>209.41</v>
      </c>
      <c r="F1163" s="6">
        <v>5069366</v>
      </c>
    </row>
    <row r="1164" spans="1:6" x14ac:dyDescent="0.2">
      <c r="A1164" s="4">
        <v>46161</v>
      </c>
      <c r="B1164" s="5">
        <v>209.9</v>
      </c>
      <c r="C1164" s="5">
        <v>215.8</v>
      </c>
      <c r="D1164" s="5">
        <v>208.727</v>
      </c>
      <c r="E1164" s="5">
        <v>213.76</v>
      </c>
      <c r="F1164" s="6">
        <v>7220276</v>
      </c>
    </row>
    <row r="1165" spans="1:6" x14ac:dyDescent="0.2">
      <c r="A1165" s="4">
        <v>46162</v>
      </c>
      <c r="B1165" s="5">
        <v>213.36</v>
      </c>
      <c r="C1165" s="5">
        <v>214.4999</v>
      </c>
      <c r="D1165" s="5">
        <v>211.5</v>
      </c>
      <c r="E1165" s="5">
        <v>212.3</v>
      </c>
      <c r="F1165" s="6">
        <v>5128998</v>
      </c>
    </row>
    <row r="1166" spans="1:6" x14ac:dyDescent="0.2">
      <c r="A1166" s="4">
        <v>46163</v>
      </c>
      <c r="B1166" s="5">
        <v>210.95</v>
      </c>
      <c r="C1166" s="5">
        <v>215.64</v>
      </c>
      <c r="D1166" s="5">
        <v>209.5</v>
      </c>
      <c r="E1166" s="5">
        <v>214.5</v>
      </c>
      <c r="F1166" s="6">
        <v>3814054</v>
      </c>
    </row>
    <row r="1167" spans="1:6" x14ac:dyDescent="0.2">
      <c r="A1167" s="4">
        <v>46164</v>
      </c>
      <c r="B1167" s="5">
        <v>217</v>
      </c>
      <c r="C1167" s="5">
        <v>220.01</v>
      </c>
      <c r="D1167" s="5">
        <v>215.7</v>
      </c>
      <c r="E1167" s="5">
        <v>215.7</v>
      </c>
      <c r="F1167" s="6">
        <v>5407981</v>
      </c>
    </row>
    <row r="1168" spans="1:6" x14ac:dyDescent="0.2">
      <c r="A1168" s="4">
        <v>46168</v>
      </c>
      <c r="B1168" s="5">
        <v>215.92</v>
      </c>
      <c r="C1168" s="5">
        <v>217.05</v>
      </c>
      <c r="D1168" s="5">
        <v>211.91</v>
      </c>
      <c r="E1168" s="5">
        <v>213.12</v>
      </c>
      <c r="F1168" s="6">
        <v>4709782</v>
      </c>
    </row>
    <row r="1169" spans="1:6" x14ac:dyDescent="0.2">
      <c r="A1169" s="4">
        <v>46169</v>
      </c>
      <c r="B1169" s="5">
        <v>213.12</v>
      </c>
      <c r="C1169" s="5">
        <v>215.94</v>
      </c>
      <c r="D1169" s="5">
        <v>211.36</v>
      </c>
      <c r="E1169" s="5">
        <v>215.4</v>
      </c>
      <c r="F1169" s="6">
        <v>4640413</v>
      </c>
    </row>
    <row r="1170" spans="1:6" x14ac:dyDescent="0.2">
      <c r="A1170" s="4">
        <v>46170</v>
      </c>
      <c r="B1170" s="5">
        <v>215.9</v>
      </c>
      <c r="C1170" s="5">
        <v>219.375</v>
      </c>
      <c r="D1170" s="5">
        <v>215.9</v>
      </c>
      <c r="E1170" s="5">
        <v>218.63</v>
      </c>
      <c r="F1170" s="6">
        <v>5190923</v>
      </c>
    </row>
    <row r="1171" spans="1:6" x14ac:dyDescent="0.2">
      <c r="A1171" s="4">
        <v>46171</v>
      </c>
      <c r="B1171" s="5">
        <v>219.02</v>
      </c>
      <c r="C1171" s="5">
        <v>219.6</v>
      </c>
      <c r="D1171" s="5">
        <v>214.9</v>
      </c>
      <c r="E1171" s="5">
        <v>217.72</v>
      </c>
      <c r="F1171" s="6">
        <v>7620822</v>
      </c>
    </row>
    <row r="1172" spans="1:6" x14ac:dyDescent="0.2">
      <c r="A1172" s="4">
        <v>46174</v>
      </c>
      <c r="B1172" s="5">
        <v>215.26</v>
      </c>
      <c r="C1172" s="5">
        <v>216.49930000000001</v>
      </c>
      <c r="D1172" s="5">
        <v>211.51</v>
      </c>
      <c r="E1172" s="5">
        <v>212.93</v>
      </c>
      <c r="F1172" s="6">
        <v>4858421</v>
      </c>
    </row>
    <row r="1173" spans="1:6" x14ac:dyDescent="0.2">
      <c r="A1173" s="4">
        <v>46175</v>
      </c>
      <c r="B1173" s="5">
        <v>211.01</v>
      </c>
      <c r="C1173" s="5">
        <v>216.57</v>
      </c>
      <c r="D1173" s="5">
        <v>208.99</v>
      </c>
      <c r="E1173" s="5">
        <v>215.4</v>
      </c>
      <c r="F1173" s="6">
        <v>5861765</v>
      </c>
    </row>
    <row r="1174" spans="1:6" x14ac:dyDescent="0.2">
      <c r="A1174" s="4">
        <v>46176</v>
      </c>
      <c r="B1174" s="5">
        <v>214.8</v>
      </c>
      <c r="C1174" s="5">
        <v>219.54</v>
      </c>
      <c r="D1174" s="5">
        <v>213.72499999999999</v>
      </c>
      <c r="E1174" s="5">
        <v>217.13</v>
      </c>
      <c r="F1174" s="6">
        <v>5667521</v>
      </c>
    </row>
    <row r="1175" spans="1:6" x14ac:dyDescent="0.2">
      <c r="A1175" s="4">
        <v>46177</v>
      </c>
      <c r="B1175" s="5">
        <v>222.5</v>
      </c>
      <c r="C1175" s="5">
        <v>224.99</v>
      </c>
      <c r="D1175" s="5">
        <v>219.84</v>
      </c>
      <c r="E1175" s="5">
        <v>224.94</v>
      </c>
      <c r="F1175" s="6">
        <v>6782013</v>
      </c>
    </row>
    <row r="1176" spans="1:6" x14ac:dyDescent="0.2">
      <c r="A1176" s="4">
        <v>46178</v>
      </c>
      <c r="B1176" s="5">
        <v>227.37</v>
      </c>
      <c r="C1176" s="5">
        <v>230.47</v>
      </c>
      <c r="D1176" s="5">
        <v>226</v>
      </c>
      <c r="E1176" s="5">
        <v>227.23</v>
      </c>
      <c r="F1176" s="6">
        <v>6248888</v>
      </c>
    </row>
    <row r="1177" spans="1:6" x14ac:dyDescent="0.2">
      <c r="A1177" s="4">
        <v>46181</v>
      </c>
      <c r="B1177" s="5">
        <v>226.75</v>
      </c>
      <c r="C1177" s="5">
        <v>228.58</v>
      </c>
      <c r="D1177" s="5">
        <v>221.16499999999999</v>
      </c>
      <c r="E1177" s="5">
        <v>223.07</v>
      </c>
      <c r="F1177" s="6">
        <v>4915633</v>
      </c>
    </row>
    <row r="1178" spans="1:6" x14ac:dyDescent="0.2">
      <c r="A1178" s="4">
        <v>46182</v>
      </c>
      <c r="B1178" s="5">
        <v>224.8</v>
      </c>
      <c r="C1178" s="5">
        <v>227.14</v>
      </c>
      <c r="D1178" s="5">
        <v>221.72</v>
      </c>
      <c r="E1178" s="5">
        <v>225.42</v>
      </c>
      <c r="F1178" s="6">
        <v>4257921</v>
      </c>
    </row>
    <row r="1179" spans="1:6" x14ac:dyDescent="0.2">
      <c r="A1179" s="4">
        <v>46183</v>
      </c>
      <c r="B1179" s="5">
        <v>226.93</v>
      </c>
      <c r="C1179" s="5">
        <v>227.14</v>
      </c>
      <c r="D1179" s="5">
        <v>224.12</v>
      </c>
      <c r="E1179" s="5">
        <v>224.95</v>
      </c>
      <c r="F1179" s="6">
        <v>4147303</v>
      </c>
    </row>
    <row r="1180" spans="1:6" x14ac:dyDescent="0.2">
      <c r="A1180" s="4">
        <v>46184</v>
      </c>
      <c r="B1180" s="5">
        <v>226.01</v>
      </c>
      <c r="C1180" s="5">
        <v>227.55</v>
      </c>
      <c r="D1180" s="5">
        <v>224.04</v>
      </c>
      <c r="E1180" s="5">
        <v>224.77</v>
      </c>
      <c r="F1180" s="6">
        <v>4569353</v>
      </c>
    </row>
    <row r="1181" spans="1:6" x14ac:dyDescent="0.2">
      <c r="A1181" s="4">
        <v>46185</v>
      </c>
      <c r="B1181" s="5">
        <v>227.5</v>
      </c>
      <c r="C1181" s="5">
        <v>228.3999</v>
      </c>
      <c r="D1181" s="5">
        <v>224.32</v>
      </c>
      <c r="E1181" s="5">
        <v>227.73</v>
      </c>
      <c r="F1181" s="6">
        <v>4086503</v>
      </c>
    </row>
    <row r="1182" spans="1:6" x14ac:dyDescent="0.2">
      <c r="A1182" s="4">
        <v>46188</v>
      </c>
      <c r="B1182" s="5">
        <v>226</v>
      </c>
      <c r="C1182" s="5">
        <v>226.5</v>
      </c>
      <c r="D1182" s="5">
        <v>220</v>
      </c>
      <c r="E1182" s="5">
        <v>221.59</v>
      </c>
      <c r="F1182" s="6">
        <v>5261900</v>
      </c>
    </row>
    <row r="1183" spans="1:6" x14ac:dyDescent="0.2">
      <c r="A1183" s="4">
        <v>46189</v>
      </c>
      <c r="B1183" s="5">
        <v>223.31</v>
      </c>
      <c r="C1183" s="5">
        <v>223.5</v>
      </c>
      <c r="D1183" s="5">
        <v>219.15</v>
      </c>
      <c r="E1183" s="5">
        <v>222.47</v>
      </c>
      <c r="F1183" s="6">
        <v>5945518</v>
      </c>
    </row>
    <row r="1184" spans="1:6" x14ac:dyDescent="0.2">
      <c r="A1184" s="4">
        <v>46190</v>
      </c>
      <c r="B1184" s="5">
        <v>222.4</v>
      </c>
      <c r="C1184" s="5">
        <v>222.8399</v>
      </c>
      <c r="D1184" s="5">
        <v>218.83</v>
      </c>
      <c r="E1184" s="5">
        <v>221.23</v>
      </c>
      <c r="F1184" s="6">
        <v>5624375</v>
      </c>
    </row>
    <row r="1185" spans="1:6" x14ac:dyDescent="0.2">
      <c r="A1185" s="4">
        <v>46191</v>
      </c>
      <c r="B1185" s="5">
        <v>221.37</v>
      </c>
      <c r="C1185" s="5">
        <v>222.35</v>
      </c>
      <c r="D1185" s="5">
        <v>215.37</v>
      </c>
      <c r="E1185" s="5">
        <v>216.49</v>
      </c>
      <c r="F1185" s="6">
        <v>9646078</v>
      </c>
    </row>
    <row r="1186" spans="1:6" x14ac:dyDescent="0.2">
      <c r="A1186" s="4">
        <v>46195</v>
      </c>
      <c r="B1186" s="5">
        <v>221.94</v>
      </c>
      <c r="C1186" s="5">
        <v>232.32</v>
      </c>
      <c r="D1186" s="5">
        <v>221.94</v>
      </c>
      <c r="E1186" s="5">
        <v>230.01</v>
      </c>
      <c r="F1186" s="6">
        <v>9912770</v>
      </c>
    </row>
    <row r="1187" spans="1:6" x14ac:dyDescent="0.2">
      <c r="A1187" s="4">
        <v>46196</v>
      </c>
      <c r="B1187" s="5">
        <v>232.97</v>
      </c>
      <c r="C1187" s="5">
        <v>235.31</v>
      </c>
      <c r="D1187" s="5">
        <v>231.3</v>
      </c>
      <c r="E1187" s="5">
        <v>234.76</v>
      </c>
      <c r="F1187" s="6">
        <v>7366040</v>
      </c>
    </row>
    <row r="1188" spans="1:6" x14ac:dyDescent="0.2">
      <c r="A1188" s="4">
        <v>46197</v>
      </c>
      <c r="B1188" s="5">
        <v>236.35</v>
      </c>
      <c r="C1188" s="5">
        <v>237.36</v>
      </c>
      <c r="D1188" s="5">
        <v>232.85</v>
      </c>
      <c r="E1188" s="5">
        <v>234.89</v>
      </c>
      <c r="F1188" s="6">
        <v>7311033</v>
      </c>
    </row>
    <row r="1189" spans="1:6" x14ac:dyDescent="0.2">
      <c r="A1189" s="4">
        <v>46198</v>
      </c>
      <c r="B1189" s="5">
        <v>233.66</v>
      </c>
      <c r="C1189" s="5">
        <v>244.61</v>
      </c>
      <c r="D1189" s="5">
        <v>233.66</v>
      </c>
      <c r="E1189" s="5">
        <v>243.14</v>
      </c>
      <c r="F1189" s="6">
        <v>10281850</v>
      </c>
    </row>
    <row r="1190" spans="1:6" x14ac:dyDescent="0.2">
      <c r="A1190" s="4">
        <v>46199</v>
      </c>
      <c r="B1190" s="5">
        <v>245.255</v>
      </c>
      <c r="C1190" s="5">
        <v>253.35</v>
      </c>
      <c r="D1190" s="5">
        <v>244.66</v>
      </c>
      <c r="E1190" s="5">
        <v>253.35</v>
      </c>
      <c r="F1190" s="6">
        <v>52635080</v>
      </c>
    </row>
    <row r="1191" spans="1:6" x14ac:dyDescent="0.2">
      <c r="A1191" s="4">
        <v>46202</v>
      </c>
      <c r="B1191" s="5">
        <v>253.05</v>
      </c>
      <c r="C1191" s="5">
        <v>255.99</v>
      </c>
      <c r="D1191" s="5">
        <v>249.2</v>
      </c>
      <c r="E1191" s="5">
        <v>254.31</v>
      </c>
      <c r="F1191" s="6">
        <v>9760531</v>
      </c>
    </row>
    <row r="1192" spans="1:6" x14ac:dyDescent="0.2">
      <c r="A1192" s="4">
        <v>46203</v>
      </c>
      <c r="B1192" s="5">
        <v>255</v>
      </c>
      <c r="C1192" s="5">
        <v>255.49700000000001</v>
      </c>
      <c r="D1192" s="5">
        <v>250.1</v>
      </c>
      <c r="E1192" s="5">
        <v>251.64</v>
      </c>
      <c r="F1192" s="6">
        <v>6999707</v>
      </c>
    </row>
    <row r="1193" spans="1:6" x14ac:dyDescent="0.2">
      <c r="A1193" s="4">
        <v>46204</v>
      </c>
      <c r="B1193" s="5">
        <v>250.75</v>
      </c>
      <c r="C1193" s="5">
        <v>251.8</v>
      </c>
      <c r="D1193" s="5">
        <v>247.56</v>
      </c>
      <c r="E1193" s="5">
        <v>251.06</v>
      </c>
      <c r="F1193" s="6">
        <v>6987982</v>
      </c>
    </row>
    <row r="1194" spans="1:6" x14ac:dyDescent="0.2">
      <c r="A1194" s="4">
        <v>46205</v>
      </c>
      <c r="B1194" s="5">
        <v>252.3</v>
      </c>
      <c r="C1194" s="5">
        <v>261.63499999999999</v>
      </c>
      <c r="D1194" s="5">
        <v>250.51</v>
      </c>
      <c r="E1194" s="5">
        <v>261.07</v>
      </c>
      <c r="F1194" s="6">
        <v>7114422</v>
      </c>
    </row>
    <row r="1195" spans="1:6" x14ac:dyDescent="0.2">
      <c r="A1195" s="4">
        <v>46209</v>
      </c>
      <c r="B1195" s="5">
        <v>259.92</v>
      </c>
      <c r="C1195" s="5">
        <v>260.92</v>
      </c>
      <c r="D1195" s="5">
        <v>253.6001</v>
      </c>
      <c r="E1195" s="5">
        <v>254.76</v>
      </c>
      <c r="F1195" s="6">
        <v>8580220</v>
      </c>
    </row>
    <row r="1196" spans="1:6" x14ac:dyDescent="0.2">
      <c r="A1196" s="4">
        <v>46210</v>
      </c>
      <c r="B1196" s="5">
        <v>257.20999999999998</v>
      </c>
      <c r="C1196" s="5">
        <v>260.35000000000002</v>
      </c>
      <c r="D1196" s="5">
        <v>254.27</v>
      </c>
      <c r="E1196" s="5">
        <v>254.65</v>
      </c>
      <c r="F1196" s="6">
        <v>8238267</v>
      </c>
    </row>
    <row r="1197" spans="1:6" x14ac:dyDescent="0.2">
      <c r="A1197" s="4">
        <v>46211</v>
      </c>
      <c r="B1197" s="5">
        <v>253.25</v>
      </c>
      <c r="C1197" s="5">
        <v>255.82</v>
      </c>
      <c r="D1197" s="5">
        <v>250.7</v>
      </c>
      <c r="E1197" s="5">
        <v>252.74</v>
      </c>
      <c r="F1197" s="6">
        <v>7578707</v>
      </c>
    </row>
    <row r="1198" spans="1:6" x14ac:dyDescent="0.2">
      <c r="A1198" s="4">
        <v>46212</v>
      </c>
      <c r="B1198" s="5">
        <v>251.2</v>
      </c>
      <c r="C1198" s="5">
        <v>254.86</v>
      </c>
      <c r="D1198" s="5">
        <v>247.99</v>
      </c>
      <c r="E1198" s="5">
        <v>249.91</v>
      </c>
      <c r="F1198" s="6">
        <v>5526006</v>
      </c>
    </row>
    <row r="1199" spans="1:6" x14ac:dyDescent="0.2">
      <c r="A1199" s="4">
        <v>46213</v>
      </c>
      <c r="B1199" s="5">
        <v>251.005</v>
      </c>
      <c r="C1199" s="5">
        <v>251.6645</v>
      </c>
      <c r="D1199" s="5">
        <v>245.05</v>
      </c>
      <c r="E1199" s="5">
        <v>248.08</v>
      </c>
      <c r="F1199" s="6">
        <v>5780990</v>
      </c>
    </row>
    <row r="1200" spans="1:6" x14ac:dyDescent="0.2">
      <c r="A1200" s="4">
        <v>46216</v>
      </c>
      <c r="B1200" s="5">
        <v>248.37</v>
      </c>
      <c r="C1200" s="5">
        <v>249.7439</v>
      </c>
      <c r="D1200" s="5">
        <v>244.61009999999999</v>
      </c>
      <c r="E1200" s="5">
        <v>248</v>
      </c>
      <c r="F1200" s="6">
        <v>4156363</v>
      </c>
    </row>
    <row r="1201" spans="1:6" x14ac:dyDescent="0.2">
      <c r="A1201" s="4">
        <v>46217</v>
      </c>
      <c r="B1201" s="5">
        <v>245.99</v>
      </c>
      <c r="C1201" s="5">
        <v>246.41990000000001</v>
      </c>
      <c r="D1201" s="5">
        <v>243.19</v>
      </c>
      <c r="E1201" s="5">
        <v>244.78</v>
      </c>
      <c r="F1201" s="6">
        <v>5247223</v>
      </c>
    </row>
    <row r="1202" spans="1:6" x14ac:dyDescent="0.2">
      <c r="A1202" s="4">
        <v>46218</v>
      </c>
      <c r="B1202" s="5">
        <v>243.32</v>
      </c>
      <c r="C1202" s="5">
        <v>247.75</v>
      </c>
      <c r="D1202" s="5">
        <v>243.07</v>
      </c>
      <c r="E1202" s="5">
        <v>244.11</v>
      </c>
      <c r="F1202" s="6">
        <v>6388965</v>
      </c>
    </row>
    <row r="1203" spans="1:6" x14ac:dyDescent="0.2">
      <c r="A1203" s="4">
        <v>46219</v>
      </c>
      <c r="B1203" s="5">
        <v>244.75</v>
      </c>
      <c r="C1203" s="5">
        <v>254.54</v>
      </c>
      <c r="D1203" s="5">
        <v>243.5</v>
      </c>
      <c r="E1203" s="5">
        <v>254.39</v>
      </c>
      <c r="F1203" s="6">
        <v>6555488</v>
      </c>
    </row>
    <row r="1204" spans="1:6" x14ac:dyDescent="0.2">
      <c r="A1204" s="4">
        <v>46220</v>
      </c>
      <c r="B1204" s="5">
        <v>257</v>
      </c>
      <c r="C1204" s="5">
        <v>260.95999999999998</v>
      </c>
      <c r="D1204" s="5">
        <v>254.29</v>
      </c>
      <c r="E1204" s="5">
        <v>254.49</v>
      </c>
      <c r="F1204" s="6">
        <v>6872705</v>
      </c>
    </row>
    <row r="1205" spans="1:6" x14ac:dyDescent="0.2">
      <c r="A1205" s="4">
        <v>46223</v>
      </c>
      <c r="B1205" s="5">
        <v>253.1</v>
      </c>
      <c r="C1205" s="5">
        <v>256.14999999999998</v>
      </c>
      <c r="D1205" s="5">
        <v>252.68</v>
      </c>
      <c r="E1205" s="5">
        <v>253.38</v>
      </c>
      <c r="F1205" s="6">
        <v>4332803</v>
      </c>
    </row>
    <row r="1206" spans="1:6" x14ac:dyDescent="0.2">
      <c r="A1206" s="4">
        <v>46224</v>
      </c>
      <c r="B1206" s="5">
        <v>253.7</v>
      </c>
      <c r="C1206" s="5">
        <v>257.06</v>
      </c>
      <c r="D1206" s="5">
        <v>252.6001</v>
      </c>
      <c r="E1206" s="5">
        <v>256.10000000000002</v>
      </c>
      <c r="F1206" s="6">
        <v>4819291</v>
      </c>
    </row>
    <row r="1207" spans="1:6" x14ac:dyDescent="0.2">
      <c r="A1207" s="4">
        <v>46225</v>
      </c>
      <c r="B1207" s="5">
        <v>257.81</v>
      </c>
      <c r="C1207" s="5">
        <v>257.81</v>
      </c>
      <c r="D1207" s="5">
        <v>252.25</v>
      </c>
      <c r="E1207" s="5">
        <v>253.3</v>
      </c>
      <c r="F1207" s="6">
        <v>4953191</v>
      </c>
    </row>
    <row r="1208" spans="1:6" x14ac:dyDescent="0.2">
      <c r="A1208" s="4">
        <v>46226</v>
      </c>
      <c r="B1208" s="5">
        <v>253.98</v>
      </c>
      <c r="C1208" s="5">
        <v>258.38</v>
      </c>
      <c r="D1208" s="5">
        <v>253.1</v>
      </c>
      <c r="E1208" s="5">
        <v>256.92</v>
      </c>
      <c r="F1208" s="6">
        <v>4623010</v>
      </c>
    </row>
    <row r="1209" spans="1:6" x14ac:dyDescent="0.2">
      <c r="A1209" s="4">
        <v>46227</v>
      </c>
      <c r="B1209" s="5">
        <v>258.54000000000002</v>
      </c>
      <c r="C1209" s="5">
        <v>260.22000000000003</v>
      </c>
      <c r="D1209" s="5">
        <v>256.76499999999999</v>
      </c>
      <c r="E1209" s="5">
        <v>259.36</v>
      </c>
      <c r="F1209" s="6">
        <v>4195437</v>
      </c>
    </row>
    <row r="1210" spans="1:6" x14ac:dyDescent="0.2">
      <c r="A1210" s="4">
        <v>46230</v>
      </c>
      <c r="B1210" s="5">
        <v>259</v>
      </c>
      <c r="C1210" s="5">
        <v>262.10000000000002</v>
      </c>
      <c r="D1210" s="5">
        <v>256.77999999999997</v>
      </c>
      <c r="E1210" s="5">
        <v>256.91000000000003</v>
      </c>
      <c r="F1210" s="6">
        <v>5404809</v>
      </c>
    </row>
    <row r="1211" spans="1:6" x14ac:dyDescent="0.2">
      <c r="A1211" s="4">
        <v>46231</v>
      </c>
      <c r="B1211" s="5">
        <v>262.83</v>
      </c>
      <c r="C1211" s="5">
        <v>266.92</v>
      </c>
      <c r="D1211" s="5">
        <v>261.45</v>
      </c>
      <c r="E1211" s="5">
        <v>263.2</v>
      </c>
      <c r="F1211" s="6">
        <v>7060442</v>
      </c>
    </row>
    <row r="1212" spans="1:6" x14ac:dyDescent="0.2">
      <c r="A1212" s="4">
        <v>46232</v>
      </c>
      <c r="B1212" s="5">
        <v>264.20999999999998</v>
      </c>
      <c r="C1212" s="5">
        <v>267.47000000000003</v>
      </c>
      <c r="D1212" s="5">
        <v>262.755</v>
      </c>
      <c r="E1212" s="5">
        <v>263.3</v>
      </c>
      <c r="F1212" s="6">
        <v>5563736</v>
      </c>
    </row>
    <row r="1213" spans="1:6" x14ac:dyDescent="0.2">
      <c r="A1213" s="4">
        <v>46233</v>
      </c>
      <c r="B1213" s="5">
        <v>258.38</v>
      </c>
      <c r="C1213" s="5">
        <v>259.89</v>
      </c>
      <c r="D1213" s="5">
        <v>253.51</v>
      </c>
      <c r="E1213" s="5">
        <v>257.41000000000003</v>
      </c>
      <c r="F1213" s="6">
        <v>6406625</v>
      </c>
    </row>
    <row r="1214" spans="1:6" x14ac:dyDescent="0.2">
      <c r="A1214" s="4">
        <v>46234</v>
      </c>
      <c r="B1214" s="5">
        <v>252.54</v>
      </c>
      <c r="C1214" s="5">
        <v>255.52</v>
      </c>
      <c r="D1214" s="5">
        <v>247</v>
      </c>
      <c r="E1214" s="5">
        <v>250.94</v>
      </c>
      <c r="F1214" s="6">
        <v>7258176</v>
      </c>
    </row>
    <row r="1215" spans="1:6" x14ac:dyDescent="0.2">
      <c r="A1215" s="4">
        <v>46237</v>
      </c>
      <c r="B1215" s="5">
        <v>251.45</v>
      </c>
      <c r="C1215" s="5">
        <v>256.2</v>
      </c>
      <c r="D1215" s="5">
        <v>244.44</v>
      </c>
      <c r="E1215" s="5">
        <v>245.1</v>
      </c>
      <c r="F1215" s="6">
        <v>7435935</v>
      </c>
    </row>
    <row r="1216" spans="1:6" x14ac:dyDescent="0.2">
      <c r="A1216" s="4">
        <v>46238</v>
      </c>
      <c r="B1216" s="5">
        <v>246.74</v>
      </c>
      <c r="C1216" s="5">
        <v>246.91</v>
      </c>
      <c r="D1216" s="5">
        <v>242.38499999999999</v>
      </c>
      <c r="E1216" s="5">
        <v>243.8</v>
      </c>
      <c r="F1216" s="6">
        <v>8028831</v>
      </c>
    </row>
    <row r="1217" spans="1:6" x14ac:dyDescent="0.2">
      <c r="A1217" s="4">
        <v>46239</v>
      </c>
      <c r="B1217" s="5">
        <v>247</v>
      </c>
      <c r="C1217" s="5">
        <v>249.38</v>
      </c>
      <c r="D1217" s="5">
        <v>243.76</v>
      </c>
      <c r="E1217" s="5">
        <v>246.2</v>
      </c>
      <c r="F1217" s="6">
        <v>5193732</v>
      </c>
    </row>
    <row r="1218" spans="1:6" x14ac:dyDescent="0.2">
      <c r="A1218" s="4">
        <v>46240</v>
      </c>
      <c r="B1218" s="5">
        <v>249.04</v>
      </c>
      <c r="C1218" s="5">
        <v>249.95</v>
      </c>
      <c r="D1218" s="5">
        <v>241.2</v>
      </c>
      <c r="E1218" s="5">
        <v>243.87</v>
      </c>
      <c r="F1218" s="6">
        <v>4570167</v>
      </c>
    </row>
    <row r="1219" spans="1:6" x14ac:dyDescent="0.2">
      <c r="A1219" s="4">
        <v>46241</v>
      </c>
      <c r="B1219" s="5">
        <v>243.62</v>
      </c>
      <c r="C1219" s="5">
        <v>246.76</v>
      </c>
      <c r="D1219" s="5">
        <v>241.95</v>
      </c>
      <c r="E1219" s="5">
        <v>246.04</v>
      </c>
      <c r="F1219" s="6">
        <v>4930711</v>
      </c>
    </row>
    <row r="1220" spans="1:6" x14ac:dyDescent="0.2">
      <c r="A1220" s="4">
        <v>46244</v>
      </c>
      <c r="B1220" s="5">
        <v>245.65</v>
      </c>
      <c r="C1220" s="5">
        <v>248.01</v>
      </c>
      <c r="D1220" s="5">
        <v>244.03</v>
      </c>
      <c r="E1220" s="5">
        <v>247.97</v>
      </c>
      <c r="F1220" s="6">
        <v>4209941</v>
      </c>
    </row>
    <row r="1221" spans="1:6" x14ac:dyDescent="0.2">
      <c r="A1221" s="4">
        <v>46245</v>
      </c>
      <c r="B1221" s="5">
        <v>248.14</v>
      </c>
      <c r="C1221" s="5">
        <v>250.76499999999999</v>
      </c>
      <c r="D1221" s="5">
        <v>247.18</v>
      </c>
      <c r="E1221" s="5">
        <v>250.09</v>
      </c>
      <c r="F1221" s="6">
        <v>4485470</v>
      </c>
    </row>
    <row r="1222" spans="1:6" x14ac:dyDescent="0.2">
      <c r="A1222" s="4">
        <v>46246</v>
      </c>
      <c r="B1222" s="5">
        <v>245.98</v>
      </c>
      <c r="C1222" s="5">
        <v>250.09</v>
      </c>
      <c r="D1222" s="5">
        <v>245.52</v>
      </c>
      <c r="E1222" s="5">
        <v>248.76</v>
      </c>
      <c r="F1222" s="6">
        <v>3780452</v>
      </c>
    </row>
    <row r="1223" spans="1:6" x14ac:dyDescent="0.2">
      <c r="A1223" s="4">
        <v>46247</v>
      </c>
      <c r="B1223" s="5">
        <v>252.94</v>
      </c>
      <c r="C1223" s="5">
        <v>255.29499999999999</v>
      </c>
      <c r="D1223" s="5">
        <v>249.35</v>
      </c>
      <c r="E1223" s="5">
        <v>250.82</v>
      </c>
      <c r="F1223" s="6">
        <v>4370406</v>
      </c>
    </row>
    <row r="1224" spans="1:6" x14ac:dyDescent="0.2">
      <c r="A1224" s="4">
        <v>46248</v>
      </c>
      <c r="B1224" s="5">
        <v>250.6</v>
      </c>
      <c r="C1224" s="5">
        <v>250.61</v>
      </c>
      <c r="D1224" s="5">
        <v>247.68</v>
      </c>
      <c r="E1224" s="5">
        <v>249.46</v>
      </c>
      <c r="F1224" s="6">
        <v>4195386</v>
      </c>
    </row>
    <row r="1225" spans="1:6" x14ac:dyDescent="0.2">
      <c r="A1225" s="4">
        <v>46251</v>
      </c>
      <c r="B1225" s="5">
        <v>249.49</v>
      </c>
      <c r="C1225" s="5">
        <v>251.49</v>
      </c>
      <c r="D1225" s="5">
        <v>248.31</v>
      </c>
      <c r="E1225" s="5">
        <v>250.33</v>
      </c>
      <c r="F1225" s="6">
        <v>4648771</v>
      </c>
    </row>
    <row r="1226" spans="1:6" x14ac:dyDescent="0.2">
      <c r="A1226" s="4">
        <v>46252</v>
      </c>
      <c r="B1226" s="5">
        <v>253.93</v>
      </c>
      <c r="C1226" s="5">
        <v>259.18</v>
      </c>
      <c r="D1226" s="5">
        <v>252.41</v>
      </c>
      <c r="E1226" s="5">
        <v>258.92</v>
      </c>
      <c r="F1226" s="6">
        <v>5010229</v>
      </c>
    </row>
    <row r="1227" spans="1:6" x14ac:dyDescent="0.2">
      <c r="A1227" s="4">
        <v>46253</v>
      </c>
      <c r="B1227" s="5">
        <v>261.51</v>
      </c>
      <c r="C1227" s="5">
        <v>266.96499999999997</v>
      </c>
      <c r="D1227" s="5">
        <v>259.55</v>
      </c>
      <c r="E1227" s="5">
        <v>265.97000000000003</v>
      </c>
      <c r="F1227" s="6">
        <v>5535972</v>
      </c>
    </row>
    <row r="1228" spans="1:6" x14ac:dyDescent="0.2">
      <c r="A1228" s="4">
        <v>46254</v>
      </c>
      <c r="B1228" s="5">
        <v>265.69</v>
      </c>
      <c r="C1228" s="5">
        <v>265.93</v>
      </c>
      <c r="D1228" s="5">
        <v>260.4812</v>
      </c>
      <c r="E1228" s="5">
        <v>261.83</v>
      </c>
      <c r="F1228" s="6">
        <v>5228907</v>
      </c>
    </row>
    <row r="1229" spans="1:6" x14ac:dyDescent="0.2">
      <c r="A1229" s="4">
        <v>46255</v>
      </c>
      <c r="B1229" s="5">
        <v>260.7</v>
      </c>
      <c r="C1229" s="5">
        <v>266.83999999999997</v>
      </c>
      <c r="D1229" s="5">
        <v>260.101</v>
      </c>
      <c r="E1229" s="5">
        <v>264.95999999999998</v>
      </c>
      <c r="F1229" s="6">
        <v>5157192</v>
      </c>
    </row>
    <row r="1230" spans="1:6" x14ac:dyDescent="0.2">
      <c r="A1230" s="4">
        <v>46258</v>
      </c>
      <c r="B1230" s="5">
        <v>263.99</v>
      </c>
      <c r="C1230" s="5">
        <v>266.03949999999998</v>
      </c>
      <c r="D1230" s="5">
        <v>262.07</v>
      </c>
      <c r="E1230" s="5">
        <v>264.52</v>
      </c>
      <c r="F1230" s="6">
        <v>3883803</v>
      </c>
    </row>
    <row r="1231" spans="1:6" x14ac:dyDescent="0.2">
      <c r="A1231" s="4">
        <v>46259</v>
      </c>
      <c r="B1231" s="5">
        <v>264.5</v>
      </c>
      <c r="C1231" s="5">
        <v>266.90499999999997</v>
      </c>
      <c r="D1231" s="5">
        <v>263.02499999999998</v>
      </c>
      <c r="E1231" s="5">
        <v>265.79000000000002</v>
      </c>
      <c r="F1231" s="6">
        <v>3671623</v>
      </c>
    </row>
    <row r="1232" spans="1:6" x14ac:dyDescent="0.2">
      <c r="A1232" s="4">
        <v>46260</v>
      </c>
      <c r="B1232" s="5">
        <v>264.60000000000002</v>
      </c>
      <c r="C1232" s="5">
        <v>265</v>
      </c>
      <c r="D1232" s="5">
        <v>260.31</v>
      </c>
      <c r="E1232" s="5">
        <v>262.89999999999998</v>
      </c>
      <c r="F1232" s="6">
        <v>3308871</v>
      </c>
    </row>
    <row r="1233" spans="1:6" x14ac:dyDescent="0.2">
      <c r="A1233" s="4">
        <v>46261</v>
      </c>
      <c r="B1233" s="5">
        <v>260.81</v>
      </c>
      <c r="C1233" s="5">
        <v>262.49770000000001</v>
      </c>
      <c r="D1233" s="5">
        <v>257.25</v>
      </c>
      <c r="E1233" s="5">
        <v>258.14999999999998</v>
      </c>
      <c r="F1233" s="6">
        <v>4764797</v>
      </c>
    </row>
    <row r="1234" spans="1:6" x14ac:dyDescent="0.2">
      <c r="A1234" s="4">
        <v>46262</v>
      </c>
      <c r="B1234" s="5">
        <v>258.67</v>
      </c>
      <c r="C1234" s="5">
        <v>259</v>
      </c>
      <c r="D1234" s="5">
        <v>255.0797</v>
      </c>
      <c r="E1234" s="5">
        <v>255.48</v>
      </c>
      <c r="F1234" s="6">
        <v>3224862</v>
      </c>
    </row>
    <row r="1235" spans="1:6" x14ac:dyDescent="0.2">
      <c r="A1235" s="4">
        <v>46265</v>
      </c>
      <c r="B1235" s="5">
        <v>254.17</v>
      </c>
      <c r="C1235" s="5">
        <v>258.24</v>
      </c>
      <c r="D1235" s="5">
        <v>252.33</v>
      </c>
      <c r="E1235" s="5">
        <v>256.42</v>
      </c>
      <c r="F1235" s="6">
        <v>4315487</v>
      </c>
    </row>
    <row r="1236" spans="1:6" x14ac:dyDescent="0.2">
      <c r="A1236" s="4">
        <v>46266</v>
      </c>
      <c r="B1236" s="5">
        <v>260.99</v>
      </c>
      <c r="C1236" s="5">
        <v>262.26499999999999</v>
      </c>
      <c r="D1236" s="5">
        <v>257.79000000000002</v>
      </c>
      <c r="E1236" s="5">
        <v>259.99</v>
      </c>
      <c r="F1236" s="6">
        <v>3866739</v>
      </c>
    </row>
    <row r="1237" spans="1:6" x14ac:dyDescent="0.2">
      <c r="A1237" s="4">
        <v>46267</v>
      </c>
      <c r="B1237" s="5">
        <v>262.7</v>
      </c>
      <c r="C1237" s="5">
        <v>262.97000000000003</v>
      </c>
      <c r="D1237" s="5">
        <v>257.7</v>
      </c>
      <c r="E1237" s="5">
        <v>261.72000000000003</v>
      </c>
      <c r="F1237" s="6">
        <v>4225524</v>
      </c>
    </row>
    <row r="1238" spans="1:6" x14ac:dyDescent="0.2">
      <c r="A1238" s="4">
        <v>46268</v>
      </c>
      <c r="B1238" s="5">
        <v>264</v>
      </c>
      <c r="C1238" s="5">
        <v>264.25</v>
      </c>
      <c r="D1238" s="5">
        <v>257.14</v>
      </c>
      <c r="E1238" s="5">
        <v>260.20999999999998</v>
      </c>
      <c r="F1238" s="6">
        <v>2878739</v>
      </c>
    </row>
    <row r="1239" spans="1:6" x14ac:dyDescent="0.2">
      <c r="A1239" s="4">
        <v>46269</v>
      </c>
      <c r="B1239" s="5">
        <v>257.95999999999998</v>
      </c>
      <c r="C1239" s="5">
        <v>258.91000000000003</v>
      </c>
      <c r="D1239" s="5">
        <v>255.58</v>
      </c>
      <c r="E1239" s="5">
        <v>256.45999999999998</v>
      </c>
      <c r="F1239" s="6">
        <v>4729800</v>
      </c>
    </row>
    <row r="1240" spans="1:6" x14ac:dyDescent="0.2">
      <c r="A1240" s="4">
        <v>46273</v>
      </c>
      <c r="B1240" s="5">
        <v>251.84</v>
      </c>
      <c r="C1240" s="5">
        <v>254.61500000000001</v>
      </c>
      <c r="D1240" s="5">
        <v>248.41</v>
      </c>
      <c r="E1240" s="5">
        <v>248.78</v>
      </c>
      <c r="F1240" s="6">
        <v>5572102</v>
      </c>
    </row>
    <row r="1241" spans="1:6" x14ac:dyDescent="0.2">
      <c r="A1241" s="4">
        <v>46274</v>
      </c>
      <c r="B1241" s="5">
        <v>247.73</v>
      </c>
      <c r="C1241" s="5">
        <v>251.18</v>
      </c>
      <c r="D1241" s="5">
        <v>246.77010000000001</v>
      </c>
      <c r="E1241" s="5">
        <v>250.91</v>
      </c>
      <c r="F1241" s="6">
        <v>3866951</v>
      </c>
    </row>
    <row r="1242" spans="1:6" x14ac:dyDescent="0.2">
      <c r="A1242" s="4">
        <v>46275</v>
      </c>
      <c r="B1242" s="5">
        <v>251.23</v>
      </c>
      <c r="C1242" s="5">
        <v>255.31</v>
      </c>
      <c r="D1242" s="5">
        <v>249.73500000000001</v>
      </c>
      <c r="E1242" s="5">
        <v>255</v>
      </c>
      <c r="F1242" s="6">
        <v>4397653</v>
      </c>
    </row>
    <row r="1243" spans="1:6" x14ac:dyDescent="0.2">
      <c r="A1243" s="4">
        <v>46276</v>
      </c>
      <c r="B1243" s="5">
        <v>253.92</v>
      </c>
      <c r="C1243" s="5">
        <v>259.61</v>
      </c>
      <c r="D1243" s="5">
        <v>253.92</v>
      </c>
      <c r="E1243" s="5">
        <v>257.12</v>
      </c>
      <c r="F1243" s="6">
        <v>4308856</v>
      </c>
    </row>
    <row r="1244" spans="1:6" x14ac:dyDescent="0.2">
      <c r="A1244" s="4">
        <v>46279</v>
      </c>
      <c r="B1244" s="5">
        <v>261.67</v>
      </c>
      <c r="C1244" s="5">
        <v>264.6499</v>
      </c>
      <c r="D1244" s="5">
        <v>260.1001</v>
      </c>
      <c r="E1244" s="5">
        <v>261.77</v>
      </c>
      <c r="F1244" s="6">
        <v>4512420</v>
      </c>
    </row>
    <row r="1245" spans="1:6" x14ac:dyDescent="0.2">
      <c r="A1245" s="4">
        <v>46280</v>
      </c>
      <c r="B1245" s="5">
        <v>260</v>
      </c>
      <c r="C1245" s="5">
        <v>264.81</v>
      </c>
      <c r="D1245" s="5">
        <v>257.79500000000002</v>
      </c>
      <c r="E1245" s="5">
        <v>263.04000000000002</v>
      </c>
      <c r="F1245" s="6">
        <v>5120219</v>
      </c>
    </row>
    <row r="1246" spans="1:6" x14ac:dyDescent="0.2">
      <c r="A1246" s="4">
        <v>46281</v>
      </c>
      <c r="B1246" s="5">
        <v>261.99</v>
      </c>
      <c r="C1246" s="5">
        <v>264</v>
      </c>
      <c r="D1246" s="5">
        <v>260.97500000000002</v>
      </c>
      <c r="E1246" s="5">
        <v>262.51</v>
      </c>
      <c r="F1246" s="6">
        <v>3118268</v>
      </c>
    </row>
    <row r="1247" spans="1:6" x14ac:dyDescent="0.2">
      <c r="A1247" s="4">
        <v>46282</v>
      </c>
      <c r="B1247" s="5">
        <v>262.61</v>
      </c>
      <c r="C1247" s="5">
        <v>264.62</v>
      </c>
      <c r="D1247" s="5">
        <v>260.88</v>
      </c>
      <c r="E1247" s="5">
        <v>264.02</v>
      </c>
      <c r="F1247" s="6">
        <v>3509941</v>
      </c>
    </row>
    <row r="1248" spans="1:6" x14ac:dyDescent="0.2">
      <c r="A1248" s="4">
        <v>46283</v>
      </c>
      <c r="B1248" s="5">
        <v>263.29000000000002</v>
      </c>
      <c r="C1248" s="5">
        <v>266.33999999999997</v>
      </c>
      <c r="D1248" s="5">
        <v>262.44</v>
      </c>
      <c r="E1248" s="5">
        <v>263.95999999999998</v>
      </c>
      <c r="F1248" s="6">
        <v>8176607</v>
      </c>
    </row>
    <row r="1249" spans="1:6" x14ac:dyDescent="0.2">
      <c r="A1249" s="4">
        <v>46286</v>
      </c>
      <c r="B1249" s="5">
        <v>263.07</v>
      </c>
      <c r="C1249" s="5">
        <v>266.59980000000002</v>
      </c>
      <c r="D1249" s="5">
        <v>261.23</v>
      </c>
      <c r="E1249" s="5">
        <v>264.48</v>
      </c>
      <c r="F1249" s="6">
        <v>3438150</v>
      </c>
    </row>
    <row r="1250" spans="1:6" x14ac:dyDescent="0.2">
      <c r="A1250" s="4">
        <v>46287</v>
      </c>
      <c r="B1250" s="5">
        <v>263.10000000000002</v>
      </c>
      <c r="C1250" s="5">
        <v>266.82</v>
      </c>
      <c r="D1250" s="5">
        <v>262.14499999999998</v>
      </c>
      <c r="E1250" s="5">
        <v>265.20999999999998</v>
      </c>
      <c r="F1250" s="6">
        <v>2766286</v>
      </c>
    </row>
    <row r="1251" spans="1:6" x14ac:dyDescent="0.2">
      <c r="A1251" s="4">
        <v>46288</v>
      </c>
      <c r="B1251" s="5">
        <v>266</v>
      </c>
      <c r="C1251" s="5">
        <v>269.39</v>
      </c>
      <c r="D1251" s="5">
        <v>263.58850000000001</v>
      </c>
      <c r="E1251" s="5">
        <v>265.08</v>
      </c>
      <c r="F1251" s="6">
        <v>3469242</v>
      </c>
    </row>
    <row r="1252" spans="1:6" x14ac:dyDescent="0.2">
      <c r="A1252" s="4">
        <v>46289</v>
      </c>
      <c r="B1252" s="5">
        <v>265.37</v>
      </c>
      <c r="C1252" s="5">
        <v>267.41000000000003</v>
      </c>
      <c r="D1252" s="5">
        <v>263.08999999999997</v>
      </c>
      <c r="E1252" s="5">
        <v>265.12</v>
      </c>
      <c r="F1252" s="6">
        <v>3458166</v>
      </c>
    </row>
    <row r="1253" spans="1:6" x14ac:dyDescent="0.2">
      <c r="A1253" s="4">
        <v>46290</v>
      </c>
      <c r="B1253" s="5">
        <v>265.49</v>
      </c>
      <c r="C1253" s="5">
        <v>266</v>
      </c>
      <c r="D1253" s="5">
        <v>262.58999999999997</v>
      </c>
      <c r="E1253" s="5">
        <v>264.33999999999997</v>
      </c>
      <c r="F1253" s="6">
        <v>2541718</v>
      </c>
    </row>
    <row r="1254" spans="1:6" x14ac:dyDescent="0.2">
      <c r="A1254" s="4">
        <v>46293</v>
      </c>
      <c r="B1254" s="5">
        <v>264.33</v>
      </c>
      <c r="C1254" s="5">
        <v>267.73500000000001</v>
      </c>
      <c r="D1254" s="5">
        <v>263.38</v>
      </c>
      <c r="E1254" s="5">
        <v>266.27999999999997</v>
      </c>
      <c r="F1254" s="6">
        <v>4429512</v>
      </c>
    </row>
    <row r="1255" spans="1:6" x14ac:dyDescent="0.2">
      <c r="A1255" s="4">
        <v>46294</v>
      </c>
      <c r="B1255" s="5">
        <v>265.45</v>
      </c>
      <c r="C1255" s="5">
        <v>268.93</v>
      </c>
      <c r="D1255" s="5">
        <v>261.5213</v>
      </c>
      <c r="E1255" s="5">
        <v>263.29000000000002</v>
      </c>
      <c r="F1255" s="6">
        <v>4004368</v>
      </c>
    </row>
    <row r="1256" spans="1:6" x14ac:dyDescent="0.2">
      <c r="A1256" s="4">
        <v>46295</v>
      </c>
      <c r="B1256" s="5">
        <v>264.60000000000002</v>
      </c>
      <c r="C1256" s="5">
        <v>265.36</v>
      </c>
      <c r="D1256" s="5">
        <v>261.58999999999997</v>
      </c>
      <c r="E1256" s="5">
        <v>261.58999999999997</v>
      </c>
      <c r="F1256" s="6">
        <v>4389160</v>
      </c>
    </row>
    <row r="1257" spans="1:6" x14ac:dyDescent="0.2">
      <c r="A1257" s="4">
        <v>46296</v>
      </c>
      <c r="B1257" s="5">
        <v>260.51</v>
      </c>
      <c r="C1257" s="5">
        <v>262.31580000000002</v>
      </c>
      <c r="D1257" s="5">
        <v>259</v>
      </c>
      <c r="E1257" s="5">
        <v>259.93</v>
      </c>
      <c r="F1257" s="6">
        <v>3892076</v>
      </c>
    </row>
    <row r="1258" spans="1:6" x14ac:dyDescent="0.2">
      <c r="A1258" s="4">
        <v>46297</v>
      </c>
      <c r="B1258" s="5">
        <v>259.74</v>
      </c>
      <c r="C1258" s="5">
        <v>264.06</v>
      </c>
      <c r="D1258" s="5">
        <v>257.87</v>
      </c>
      <c r="E1258" s="5">
        <v>262.82</v>
      </c>
      <c r="F1258" s="6">
        <v>5863068</v>
      </c>
    </row>
  </sheetData>
  <autoFilter ref="A4:F1258" xr:uid="{3C988D5A-928E-49DC-A6FC-9B220BFE338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B9D30B2B-330C-412C-A88F-9F1C712CFB9C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3C3F7-4363-45E1-A9F3-23BCBE0086BA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109.51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230.93</v>
      </c>
      <c r="L5" s="18">
        <v>59.15</v>
      </c>
      <c r="M5" s="18">
        <v>159.58000000000001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1.3999634736553737</v>
      </c>
      <c r="AD5" s="34">
        <f ca="1">IF(AC5="","",AC5-ROW()*0.000000001)</f>
        <v>1.3999634686553737</v>
      </c>
      <c r="AE5" s="32">
        <f ca="1">IF(AD5="","",COUNTIF($AD$5:$AD$16,"&gt;"&amp;AD5)+1)</f>
        <v>2</v>
      </c>
      <c r="AF5" s="32" t="str">
        <f ca="1">IF(AC5="",AB5,AB5&amp;" "&amp;TEXT(AC5,"+0.0%;-0.0%;0.0%"))</f>
        <v>ABBV +140.0%</v>
      </c>
      <c r="AG5" s="34">
        <f ca="1">IF(AE5="","",INDEX($AK$5:$AK$16,AE5))</f>
        <v>1.7197380391584713</v>
      </c>
      <c r="AH5" s="32">
        <v>1</v>
      </c>
      <c r="AI5" s="34">
        <f ca="1">IF('Stock Price'!$I$11="OK",LARGE($AD$5:$AD$16,AH5),"")</f>
        <v>3.9489022507555531</v>
      </c>
      <c r="AJ5" s="34">
        <f ca="1">AI5</f>
        <v>3.9489022507555531</v>
      </c>
      <c r="AK5" s="34">
        <f ca="1">IF('Stock Price'!$I$11="OK",MAX(AJ5,AK6+$AL$5),"")</f>
        <v>3.9489022507555531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109.32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227.85</v>
      </c>
      <c r="L6" s="18">
        <v>59.19</v>
      </c>
      <c r="M6" s="18">
        <v>159.91</v>
      </c>
      <c r="O6" s="19">
        <f ca="1">IF('Stock Price'!$I$11="OK",B6/INDEX(B$5:B$1258,'Stock Price'!$I$9)-1,"")</f>
        <v>-1.7350013697380318E-3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-1.3337374962109738E-2</v>
      </c>
      <c r="Y6" s="19">
        <f ca="1">IF('Stock Price'!$I$11="OK",L6/INDEX(L$5:L$1258,'Stock Price'!$I$9)-1,"")</f>
        <v>6.762468300929303E-4</v>
      </c>
      <c r="Z6" s="19">
        <f ca="1">IF('Stock Price'!$I$11="OK",M6/INDEX(M$5:M$1258,'Stock Price'!$I$9)-1,"")</f>
        <v>2.0679283118183456E-3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1.3999634686553737</v>
      </c>
      <c r="AJ6" s="34">
        <f ca="1">IF('Stock Price'!$I$11="OK",MIN(AI6,AJ5-$AL$5),"")</f>
        <v>1.3999634686553737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110.87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233.18</v>
      </c>
      <c r="L7" s="18">
        <v>59.01</v>
      </c>
      <c r="M7" s="18">
        <v>161.34</v>
      </c>
      <c r="O7" s="19">
        <f ca="1">IF('Stock Price'!$I$11="OK",B7/INDEX(B$5:B$1258,'Stock Price'!$I$9)-1,"")</f>
        <v>1.2418957172861012E-2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9.7432122288139134E-3</v>
      </c>
      <c r="Y7" s="19">
        <f ca="1">IF('Stock Price'!$I$11="OK",L7/INDEX(L$5:L$1258,'Stock Price'!$I$9)-1,"")</f>
        <v>-2.3668639053254781E-3</v>
      </c>
      <c r="Z7" s="19">
        <f ca="1">IF('Stock Price'!$I$11="OK",M7/INDEX(M$5:M$1258,'Stock Price'!$I$9)-1,"")</f>
        <v>1.1028950996365472E-2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111.18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233.94</v>
      </c>
      <c r="L8" s="18">
        <v>57.26</v>
      </c>
      <c r="M8" s="18">
        <v>160.93</v>
      </c>
      <c r="O8" s="19">
        <f ca="1">IF('Stock Price'!$I$11="OK",B8/INDEX(B$5:B$1258,'Stock Price'!$I$9)-1,"")</f>
        <v>1.5249748881380754E-2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1.303425280387982E-2</v>
      </c>
      <c r="Y8" s="19">
        <f ca="1">IF('Stock Price'!$I$11="OK",L8/INDEX(L$5:L$1258,'Stock Price'!$I$9)-1,"")</f>
        <v>-3.1952662721893454E-2</v>
      </c>
      <c r="Z8" s="19">
        <f ca="1">IF('Stock Price'!$I$11="OK",M8/INDEX(M$5:M$1258,'Stock Price'!$I$9)-1,"")</f>
        <v>8.4597067301666051E-3</v>
      </c>
      <c r="AB8" s="32" t="s">
        <v>55</v>
      </c>
      <c r="AC8" s="34">
        <f ca="1">'Stock Price'!V52</f>
        <v>-1.5593929879644142E-2</v>
      </c>
      <c r="AD8" s="34">
        <f ca="1">IF(AC8="","",AC8-ROW()*0.000000001)</f>
        <v>-1.5593937879644141E-2</v>
      </c>
      <c r="AE8" s="32">
        <f ca="1">IF(AD8="","",COUNTIF($AD$5:$AD$16,"&gt;"&amp;AD8)+1)</f>
        <v>9</v>
      </c>
      <c r="AF8" s="32" t="str">
        <f ca="1">IF(AC8="",AB8,AB8&amp;" "&amp;TEXT(AC8,"+0.0%;-0.0%;0.0%"))</f>
        <v>GSK -1.6%</v>
      </c>
      <c r="AG8" s="34">
        <f ca="1">IF(AE8="","",INDEX($AK$5:$AK$16,AE8))</f>
        <v>0.10204726466641928</v>
      </c>
      <c r="AH8" s="32">
        <v>4</v>
      </c>
      <c r="AI8" s="34">
        <f ca="1">IF('Stock Price'!$I$11="OK",LARGE($AD$5:$AD$16,AH8),"")</f>
        <v>0.76838234094117663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110.34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233.67</v>
      </c>
      <c r="L9" s="18">
        <v>57.42</v>
      </c>
      <c r="M9" s="18">
        <v>160.25</v>
      </c>
      <c r="O9" s="19">
        <f ca="1">IF('Stock Price'!$I$11="OK",B9/INDEX(B$5:B$1258,'Stock Price'!$I$9)-1,"")</f>
        <v>7.5792165099077824E-3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1.186506733642223E-2</v>
      </c>
      <c r="Y9" s="19">
        <f ca="1">IF('Stock Price'!$I$11="OK",L9/INDEX(L$5:L$1258,'Stock Price'!$I$9)-1,"")</f>
        <v>-2.9247675401521511E-2</v>
      </c>
      <c r="Z9" s="19">
        <f ca="1">IF('Stock Price'!$I$11="OK",M9/INDEX(M$5:M$1258,'Stock Price'!$I$9)-1,"")</f>
        <v>4.1985211179345061E-3</v>
      </c>
      <c r="AB9" s="32" t="s">
        <v>56</v>
      </c>
      <c r="AC9" s="34">
        <f ca="1">'Stock Price'!V53</f>
        <v>0.11884368308351179</v>
      </c>
      <c r="AD9" s="34">
        <f ca="1">IF(AC9="","",AC9-ROW()*0.000000001)</f>
        <v>0.11884367408351179</v>
      </c>
      <c r="AE9" s="32">
        <f ca="1">IF(AD9="","",COUNTIF($AD$5:$AD$16,"&gt;"&amp;AD9)+1)</f>
        <v>7</v>
      </c>
      <c r="AF9" s="32" t="str">
        <f ca="1">IF(AC9="",AB9,AB9&amp;" "&amp;TEXT(AC9,"+0.0%;-0.0%;0.0%"))</f>
        <v>ROG +11.9%</v>
      </c>
      <c r="AG9" s="34">
        <f ca="1">IF(AE9="","",INDEX($AK$5:$AK$16,AE9))</f>
        <v>0.56424462880700554</v>
      </c>
      <c r="AH9" s="32">
        <v>5</v>
      </c>
      <c r="AI9" s="34">
        <f ca="1">IF('Stock Price'!$I$11="OK",LARGE($AD$5:$AD$16,AH9),"")</f>
        <v>0.60439903149968632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108.57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232.78</v>
      </c>
      <c r="L10" s="18">
        <v>57.06</v>
      </c>
      <c r="M10" s="18">
        <v>157.69</v>
      </c>
      <c r="O10" s="19">
        <f ca="1">IF('Stock Price'!$I$11="OK",B10/INDEX(B$5:B$1258,'Stock Price'!$I$9)-1,"")</f>
        <v>-8.5836909871245259E-3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8.0110856103581263E-3</v>
      </c>
      <c r="Y10" s="19">
        <f ca="1">IF('Stock Price'!$I$11="OK",L10/INDEX(L$5:L$1258,'Stock Price'!$I$9)-1,"")</f>
        <v>-3.5333896872358328E-2</v>
      </c>
      <c r="Z10" s="19">
        <f ca="1">IF('Stock Price'!$I$11="OK",M10/INDEX(M$5:M$1258,'Stock Price'!$I$9)-1,"")</f>
        <v>-1.1843589422233403E-2</v>
      </c>
      <c r="AB10" s="32" t="s">
        <v>57</v>
      </c>
      <c r="AC10" s="34">
        <f ca="1">'Stock Price'!V54</f>
        <v>-0.17384105960264895</v>
      </c>
      <c r="AD10" s="34">
        <f ca="1">IF(AC10="","",AC10-ROW()*0.000000001)</f>
        <v>-0.17384106960264895</v>
      </c>
      <c r="AE10" s="32">
        <f ca="1">IF(AD10="","",COUNTIF($AD$5:$AD$16,"&gt;"&amp;AD10)+1)</f>
        <v>11</v>
      </c>
      <c r="AF10" s="32" t="str">
        <f ca="1">IF(AC10="",AB10,AB10&amp;" "&amp;TEXT(AC10,"+0.0%;-0.0%;0.0%"))</f>
        <v>SNY -17.4%</v>
      </c>
      <c r="AG10" s="34">
        <f ca="1">IF(AE10="","",INDEX($AK$5:$AK$16,AE10))</f>
        <v>-0.36015009947416693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108.53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236.44</v>
      </c>
      <c r="L11" s="18">
        <v>57.07</v>
      </c>
      <c r="M11" s="18">
        <v>159.19999999999999</v>
      </c>
      <c r="O11" s="19">
        <f ca="1">IF('Stock Price'!$I$11="OK",B11/INDEX(B$5:B$1258,'Stock Price'!$I$9)-1,"")</f>
        <v>-8.94895443338517E-3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2.3860044169228711E-2</v>
      </c>
      <c r="Y11" s="19">
        <f ca="1">IF('Stock Price'!$I$11="OK",L11/INDEX(L$5:L$1258,'Stock Price'!$I$9)-1,"")</f>
        <v>-3.5164835164835151E-2</v>
      </c>
      <c r="Z11" s="19">
        <f ca="1">IF('Stock Price'!$I$11="OK",M11/INDEX(M$5:M$1258,'Stock Price'!$I$9)-1,"")</f>
        <v>-2.3812507833063101E-3</v>
      </c>
      <c r="AB11" s="32" t="s">
        <v>58</v>
      </c>
      <c r="AC11" s="34">
        <f ca="1">'Stock Price'!V55</f>
        <v>-2.6535253980288109E-2</v>
      </c>
      <c r="AD11" s="34">
        <f ca="1">IF(AC11="","",AC11-ROW()*0.000000001)</f>
        <v>-2.653526498028811E-2</v>
      </c>
      <c r="AE11" s="32">
        <f ca="1">IF(AD11="","",COUNTIF($AD$5:$AD$16,"&gt;"&amp;AD11)+1)</f>
        <v>10</v>
      </c>
      <c r="AF11" s="32" t="str">
        <f ca="1">IF(AC11="",AB11,AB11&amp;" "&amp;TEXT(AC11,"+0.0%;-0.0%;0.0%"))</f>
        <v>BAYNr -2.7%</v>
      </c>
      <c r="AG11" s="34">
        <f ca="1">IF(AE11="","",INDEX($AK$5:$AK$16,AE11))</f>
        <v>-0.12905141740387382</v>
      </c>
      <c r="AH11" s="32">
        <v>7</v>
      </c>
      <c r="AI11" s="34">
        <f ca="1">IF('Stock Price'!$I$11="OK",LARGE($AD$5:$AD$16,AH11),"")</f>
        <v>0.11884367408351179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108.91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236.69</v>
      </c>
      <c r="L12" s="18">
        <v>57.7</v>
      </c>
      <c r="M12" s="18">
        <v>160.11000000000001</v>
      </c>
      <c r="O12" s="19">
        <f ca="1">IF('Stock Price'!$I$11="OK",B12/INDEX(B$5:B$1258,'Stock Price'!$I$9)-1,"")</f>
        <v>-5.4789516939093286E-3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2.4942623305763689E-2</v>
      </c>
      <c r="Y12" s="19">
        <f ca="1">IF('Stock Price'!$I$11="OK",L12/INDEX(L$5:L$1258,'Stock Price'!$I$9)-1,"")</f>
        <v>-2.4513947590870555E-2</v>
      </c>
      <c r="Z12" s="19">
        <f ca="1">IF('Stock Price'!$I$11="OK",M12/INDEX(M$5:M$1258,'Stock Price'!$I$9)-1,"")</f>
        <v>3.3212181977690935E-3</v>
      </c>
      <c r="AB12" s="32" t="s">
        <v>59</v>
      </c>
      <c r="AC12" s="34">
        <f ca="1">'Stock Price'!V56</f>
        <v>0.76838235294117663</v>
      </c>
      <c r="AD12" s="34">
        <f ca="1">IF(AC12="","",AC12-ROW()*0.000000001)</f>
        <v>0.76838234094117663</v>
      </c>
      <c r="AE12" s="32">
        <f ca="1">IF(AD12="","",COUNTIF($AD$5:$AD$16,"&gt;"&amp;AD12)+1)</f>
        <v>4</v>
      </c>
      <c r="AF12" s="32" t="str">
        <f ca="1">IF(AC12="",AB12,AB12&amp;" "&amp;TEXT(AC12,"+0.0%;-0.0%;0.0%"))</f>
        <v>MRK +76.8%</v>
      </c>
      <c r="AG12" s="34">
        <f ca="1">IF(AE12="","",INDEX($AK$5:$AK$16,AE12))</f>
        <v>1.257540675017885</v>
      </c>
      <c r="AH12" s="32">
        <v>8</v>
      </c>
      <c r="AI12" s="34">
        <f ca="1">IF('Stock Price'!$I$11="OK",LARGE($AD$5:$AD$16,AH12),"")</f>
        <v>3.381232650464918E-2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109.33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237.88</v>
      </c>
      <c r="L13" s="18">
        <v>58.36</v>
      </c>
      <c r="M13" s="18">
        <v>161.30000000000001</v>
      </c>
      <c r="O13" s="19">
        <f ca="1">IF('Stock Price'!$I$11="OK",B13/INDEX(B$5:B$1258,'Stock Price'!$I$9)-1,"")</f>
        <v>-1.643685508172843E-3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3.0095699995669634E-2</v>
      </c>
      <c r="Y13" s="19">
        <f ca="1">IF('Stock Price'!$I$11="OK",L13/INDEX(L$5:L$1258,'Stock Price'!$I$9)-1,"")</f>
        <v>-1.3355874894336428E-2</v>
      </c>
      <c r="Z13" s="19">
        <f ca="1">IF('Stock Price'!$I$11="OK",M13/INDEX(M$5:M$1258,'Stock Price'!$I$9)-1,"")</f>
        <v>1.0778293019175322E-2</v>
      </c>
      <c r="AB13" s="32" t="s">
        <v>60</v>
      </c>
      <c r="AC13" s="34">
        <f ca="1">'Stock Price'!V57</f>
        <v>-0.34310018903591677</v>
      </c>
      <c r="AD13" s="34">
        <f ca="1">IF(AC13="","",AC13-ROW()*0.000000001)</f>
        <v>-0.34310020203591679</v>
      </c>
      <c r="AE13" s="32">
        <f ca="1">IF(AD13="","",COUNTIF($AD$5:$AD$16,"&gt;"&amp;AD13)+1)</f>
        <v>12</v>
      </c>
      <c r="AF13" s="32" t="str">
        <f ca="1">IF(AC13="",AB13,AB13&amp;" "&amp;TEXT(AC13,"+0.0%;-0.0%;0.0%"))</f>
        <v>PFE -34.3%</v>
      </c>
      <c r="AG13" s="34">
        <f ca="1">IF(AE13="","",INDEX($AK$5:$AK$16,AE13))</f>
        <v>-0.59124878154446003</v>
      </c>
      <c r="AH13" s="32">
        <v>9</v>
      </c>
      <c r="AI13" s="34">
        <f ca="1">IF('Stock Price'!$I$11="OK",LARGE($AD$5:$AD$16,AH13),"")</f>
        <v>-1.5593937879644141E-2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107.43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238.98</v>
      </c>
      <c r="L14" s="18">
        <v>56.94</v>
      </c>
      <c r="M14" s="18">
        <v>160.12</v>
      </c>
      <c r="O14" s="19">
        <f ca="1">IF('Stock Price'!$I$11="OK",B14/INDEX(B$5:B$1258,'Stock Price'!$I$9)-1,"")</f>
        <v>-1.8993699205551939E-2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3.4859048196423048E-2</v>
      </c>
      <c r="Y14" s="19">
        <f ca="1">IF('Stock Price'!$I$11="OK",L14/INDEX(L$5:L$1258,'Stock Price'!$I$9)-1,"")</f>
        <v>-3.7362637362637341E-2</v>
      </c>
      <c r="Z14" s="19">
        <f ca="1">IF('Stock Price'!$I$11="OK",M14/INDEX(M$5:M$1258,'Stock Price'!$I$9)-1,"")</f>
        <v>3.3838826920666865E-3</v>
      </c>
      <c r="AB14" s="32" t="s">
        <v>61</v>
      </c>
      <c r="AC14" s="34">
        <f ca="1">'Stock Price'!V58</f>
        <v>3.9489022647555529</v>
      </c>
      <c r="AD14" s="34">
        <f ca="1">IF(AC14="","",AC14-ROW()*0.000000001)</f>
        <v>3.9489022507555531</v>
      </c>
      <c r="AE14" s="32">
        <f ca="1">IF(AD14="","",COUNTIF($AD$5:$AD$16,"&gt;"&amp;AD14)+1)</f>
        <v>1</v>
      </c>
      <c r="AF14" s="32" t="str">
        <f ca="1">IF(AC14="",AB14,AB14&amp;" "&amp;TEXT(AC14,"+0.0%;-0.0%;0.0%"))</f>
        <v>LLY +394.9%</v>
      </c>
      <c r="AG14" s="34">
        <f ca="1">IF(AE14="","",INDEX($AK$5:$AK$16,AE14))</f>
        <v>3.9489022507555531</v>
      </c>
      <c r="AH14" s="32">
        <v>10</v>
      </c>
      <c r="AI14" s="34">
        <f ca="1">IF('Stock Price'!$I$11="OK",LARGE($AD$5:$AD$16,AH14),"")</f>
        <v>-2.653526498028811E-2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107.45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242.31</v>
      </c>
      <c r="L15" s="18">
        <v>57.59</v>
      </c>
      <c r="M15" s="18">
        <v>163.87</v>
      </c>
      <c r="O15" s="19">
        <f ca="1">IF('Stock Price'!$I$11="OK",B15/INDEX(B$5:B$1258,'Stock Price'!$I$9)-1,"")</f>
        <v>-1.8811067482421673E-2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4.9279002295067764E-2</v>
      </c>
      <c r="Y15" s="19">
        <f ca="1">IF('Stock Price'!$I$11="OK",L15/INDEX(L$5:L$1258,'Stock Price'!$I$9)-1,"")</f>
        <v>-2.637362637362628E-2</v>
      </c>
      <c r="Z15" s="19">
        <f ca="1">IF('Stock Price'!$I$11="OK",M15/INDEX(M$5:M$1258,'Stock Price'!$I$9)-1,"")</f>
        <v>2.6883068053640713E-2</v>
      </c>
      <c r="AB15" s="32" t="s">
        <v>62</v>
      </c>
      <c r="AC15" s="34">
        <f ca="1">'Stock Price'!V59</f>
        <v>3.3812341504649179E-2</v>
      </c>
      <c r="AD15" s="34">
        <f ca="1">IF(AC15="","",AC15-ROW()*0.000000001)</f>
        <v>3.381232650464918E-2</v>
      </c>
      <c r="AE15" s="32">
        <f ca="1">IF(AD15="","",COUNTIF($AD$5:$AD$16,"&gt;"&amp;AD15)+1)</f>
        <v>8</v>
      </c>
      <c r="AF15" s="32" t="str">
        <f ca="1">IF(AC15="",AB15,AB15&amp;" "&amp;TEXT(AC15,"+0.0%;-0.0%;0.0%"))</f>
        <v>BMY +3.4%</v>
      </c>
      <c r="AG15" s="34">
        <f ca="1">IF(AE15="","",INDEX($AK$5:$AK$16,AE15))</f>
        <v>0.33314594673671238</v>
      </c>
      <c r="AH15" s="32">
        <v>11</v>
      </c>
      <c r="AI15" s="34">
        <f ca="1">IF('Stock Price'!$I$11="OK",LARGE($AD$5:$AD$16,AH15),"")</f>
        <v>-0.17384106960264895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108.41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243.72</v>
      </c>
      <c r="L16" s="18">
        <v>58.07</v>
      </c>
      <c r="M16" s="18">
        <v>163.78</v>
      </c>
      <c r="O16" s="19">
        <f ca="1">IF('Stock Price'!$I$11="OK",B16/INDEX(B$5:B$1258,'Stock Price'!$I$9)-1,"")</f>
        <v>-1.0044744772166991E-2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5.5384748625124436E-2</v>
      </c>
      <c r="Y16" s="19">
        <f ca="1">IF('Stock Price'!$I$11="OK",L16/INDEX(L$5:L$1258,'Stock Price'!$I$9)-1,"")</f>
        <v>-1.8258664412510561E-2</v>
      </c>
      <c r="Z16" s="19">
        <f ca="1">IF('Stock Price'!$I$11="OK",M16/INDEX(M$5:M$1258,'Stock Price'!$I$9)-1,"")</f>
        <v>2.6319087604963043E-2</v>
      </c>
      <c r="AB16" s="32" t="s">
        <v>63</v>
      </c>
      <c r="AC16" s="34">
        <f ca="1">'Stock Price'!V60</f>
        <v>0.60439904749968631</v>
      </c>
      <c r="AD16" s="34">
        <f ca="1">IF(AC16="","",AC16-ROW()*0.000000001)</f>
        <v>0.60439903149968632</v>
      </c>
      <c r="AE16" s="32">
        <f ca="1">IF(AD16="","",COUNTIF($AD$5:$AD$16,"&gt;"&amp;AD16)+1)</f>
        <v>5</v>
      </c>
      <c r="AF16" s="32" t="str">
        <f ca="1">IF(AC16="",AB16,AB16&amp;" "&amp;TEXT(AC16,"+0.0%;-0.0%;0.0%"))</f>
        <v>JnJ +60.4%</v>
      </c>
      <c r="AG16" s="34">
        <f ca="1">IF(AE16="","",INDEX($AK$5:$AK$16,AE16))</f>
        <v>1.0264419929475919</v>
      </c>
      <c r="AH16" s="32">
        <v>12</v>
      </c>
      <c r="AI16" s="34">
        <f ca="1">IF('Stock Price'!$I$11="OK",LARGE($AD$5:$AD$16,AH16),"")</f>
        <v>-0.34310020203591679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108.76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241.17</v>
      </c>
      <c r="L17" s="18">
        <v>57.81</v>
      </c>
      <c r="M17" s="18">
        <v>163.4</v>
      </c>
      <c r="O17" s="19">
        <f ca="1">IF('Stock Price'!$I$11="OK",B17/INDEX(B$5:B$1258,'Stock Price'!$I$9)-1,"")</f>
        <v>-6.8486896173864942E-3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4.4342441432468682E-2</v>
      </c>
      <c r="Y17" s="19">
        <f ca="1">IF('Stock Price'!$I$11="OK",L17/INDEX(L$5:L$1258,'Stock Price'!$I$9)-1,"")</f>
        <v>-2.2654268808114941E-2</v>
      </c>
      <c r="Z17" s="19">
        <f ca="1">IF('Stock Price'!$I$11="OK",M17/INDEX(M$5:M$1258,'Stock Price'!$I$9)-1,"")</f>
        <v>2.3937836821656733E-2</v>
      </c>
    </row>
    <row r="18" spans="1:26" x14ac:dyDescent="0.2">
      <c r="A18" s="16">
        <f>'Stock Price'!A18</f>
        <v>44491</v>
      </c>
      <c r="B18" s="17">
        <f>'Stock Price'!E18</f>
        <v>109.14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243.75</v>
      </c>
      <c r="L18" s="18">
        <v>57.6</v>
      </c>
      <c r="M18" s="18">
        <v>163.72</v>
      </c>
      <c r="O18" s="19">
        <f ca="1">IF('Stock Price'!$I$11="OK",B18/INDEX(B$5:B$1258,'Stock Price'!$I$9)-1,"")</f>
        <v>-3.3786868779107637E-3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5.5514658121508687E-2</v>
      </c>
      <c r="Y18" s="19">
        <f ca="1">IF('Stock Price'!$I$11="OK",L18/INDEX(L$5:L$1258,'Stock Price'!$I$9)-1,"")</f>
        <v>-2.6204564666103103E-2</v>
      </c>
      <c r="Z18" s="19">
        <f ca="1">IF('Stock Price'!$I$11="OK",M18/INDEX(M$5:M$1258,'Stock Price'!$I$9)-1,"")</f>
        <v>2.5943100639177707E-2</v>
      </c>
    </row>
    <row r="19" spans="1:26" x14ac:dyDescent="0.2">
      <c r="A19" s="16">
        <f>'Stock Price'!A19</f>
        <v>44494</v>
      </c>
      <c r="B19" s="17">
        <f>'Stock Price'!E19</f>
        <v>108.5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245.05</v>
      </c>
      <c r="L19" s="18">
        <v>57.81</v>
      </c>
      <c r="M19" s="18">
        <v>164.08</v>
      </c>
      <c r="O19" s="19">
        <f ca="1">IF('Stock Price'!$I$11="OK",B19/INDEX(B$5:B$1258,'Stock Price'!$I$9)-1,"")</f>
        <v>-9.2229020180806254E-3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6.1144069631489995E-2</v>
      </c>
      <c r="Y19" s="19">
        <f ca="1">IF('Stock Price'!$I$11="OK",L19/INDEX(L$5:L$1258,'Stock Price'!$I$9)-1,"")</f>
        <v>-2.2654268808114941E-2</v>
      </c>
      <c r="Z19" s="19">
        <f ca="1">IF('Stock Price'!$I$11="OK",M19/INDEX(M$5:M$1258,'Stock Price'!$I$9)-1,"")</f>
        <v>2.8199022433889054E-2</v>
      </c>
    </row>
    <row r="20" spans="1:26" x14ac:dyDescent="0.2">
      <c r="A20" s="16">
        <f>'Stock Price'!A20</f>
        <v>44495</v>
      </c>
      <c r="B20" s="17">
        <f>'Stock Price'!E20</f>
        <v>109.49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248.44</v>
      </c>
      <c r="L20" s="18">
        <v>58.24</v>
      </c>
      <c r="M20" s="18">
        <v>165.75</v>
      </c>
      <c r="O20" s="19">
        <f ca="1">IF('Stock Price'!$I$11="OK",B20/INDEX(B$5:B$1258,'Stock Price'!$I$9)-1,"")</f>
        <v>-1.8263172313037757E-4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7.582384272290299E-2</v>
      </c>
      <c r="Y20" s="19">
        <f ca="1">IF('Stock Price'!$I$11="OK",L20/INDEX(L$5:L$1258,'Stock Price'!$I$9)-1,"")</f>
        <v>-1.538461538461533E-2</v>
      </c>
      <c r="Z20" s="19">
        <f ca="1">IF('Stock Price'!$I$11="OK",M20/INDEX(M$5:M$1258,'Stock Price'!$I$9)-1,"")</f>
        <v>3.8663992981576634E-2</v>
      </c>
    </row>
    <row r="21" spans="1:26" x14ac:dyDescent="0.2">
      <c r="A21" s="16">
        <f>'Stock Price'!A21</f>
        <v>44496</v>
      </c>
      <c r="B21" s="17">
        <f>'Stock Price'!E21</f>
        <v>108.4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250.17</v>
      </c>
      <c r="L21" s="18">
        <v>56.49</v>
      </c>
      <c r="M21" s="18">
        <v>163.74</v>
      </c>
      <c r="O21" s="19">
        <f ca="1">IF('Stock Price'!$I$11="OK",B21/INDEX(B$5:B$1258,'Stock Price'!$I$9)-1,"")</f>
        <v>-1.0136060633732069E-2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8.3315290347724336E-2</v>
      </c>
      <c r="Y21" s="19">
        <f ca="1">IF('Stock Price'!$I$11="OK",L21/INDEX(L$5:L$1258,'Stock Price'!$I$9)-1,"")</f>
        <v>-4.4970414201183417E-2</v>
      </c>
      <c r="Z21" s="19">
        <f ca="1">IF('Stock Price'!$I$11="OK",M21/INDEX(M$5:M$1258,'Stock Price'!$I$9)-1,"")</f>
        <v>2.6068429627772893E-2</v>
      </c>
    </row>
    <row r="22" spans="1:26" x14ac:dyDescent="0.2">
      <c r="A22" s="16">
        <f>'Stock Price'!A22</f>
        <v>44497</v>
      </c>
      <c r="B22" s="17">
        <f>'Stock Price'!E22</f>
        <v>109.67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253.35</v>
      </c>
      <c r="L22" s="18">
        <v>57.13</v>
      </c>
      <c r="M22" s="18">
        <v>162.85</v>
      </c>
      <c r="O22" s="19">
        <f ca="1">IF('Stock Price'!$I$11="OK",B22/INDEX(B$5:B$1258,'Stock Price'!$I$9)-1,"")</f>
        <v>1.4610537850423544E-3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9.7085696964448021E-2</v>
      </c>
      <c r="Y22" s="19">
        <f ca="1">IF('Stock Price'!$I$11="OK",L22/INDEX(L$5:L$1258,'Stock Price'!$I$9)-1,"")</f>
        <v>-3.4150464919695644E-2</v>
      </c>
      <c r="Z22" s="19">
        <f ca="1">IF('Stock Price'!$I$11="OK",M22/INDEX(M$5:M$1258,'Stock Price'!$I$9)-1,"")</f>
        <v>2.0491289635292453E-2</v>
      </c>
    </row>
    <row r="23" spans="1:26" x14ac:dyDescent="0.2">
      <c r="A23" s="16">
        <f>'Stock Price'!A23</f>
        <v>44498</v>
      </c>
      <c r="B23" s="17">
        <f>'Stock Price'!E23</f>
        <v>114.67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254.76</v>
      </c>
      <c r="L23" s="18">
        <v>58.4</v>
      </c>
      <c r="M23" s="18">
        <v>162.88</v>
      </c>
      <c r="O23" s="19">
        <f ca="1">IF('Stock Price'!$I$11="OK",B23/INDEX(B$5:B$1258,'Stock Price'!$I$9)-1,"")</f>
        <v>4.7118984567619426E-2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0.10319144329450469</v>
      </c>
      <c r="Y23" s="19">
        <f ca="1">IF('Stock Price'!$I$11="OK",L23/INDEX(L$5:L$1258,'Stock Price'!$I$9)-1,"")</f>
        <v>-1.2679628064243498E-2</v>
      </c>
      <c r="Z23" s="19">
        <f ca="1">IF('Stock Price'!$I$11="OK",M23/INDEX(M$5:M$1258,'Stock Price'!$I$9)-1,"")</f>
        <v>2.0679283118185232E-2</v>
      </c>
    </row>
    <row r="24" spans="1:26" x14ac:dyDescent="0.2">
      <c r="A24" s="16">
        <f>'Stock Price'!A24</f>
        <v>44501</v>
      </c>
      <c r="B24" s="17">
        <f>'Stock Price'!E24</f>
        <v>114.81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249.31</v>
      </c>
      <c r="L24" s="18">
        <v>58.68</v>
      </c>
      <c r="M24" s="18">
        <v>163.02000000000001</v>
      </c>
      <c r="O24" s="19">
        <f ca="1">IF('Stock Price'!$I$11="OK",B24/INDEX(B$5:B$1258,'Stock Price'!$I$9)-1,"")</f>
        <v>4.8397406629531625E-2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7.9591218118044482E-2</v>
      </c>
      <c r="Y24" s="19">
        <f ca="1">IF('Stock Price'!$I$11="OK",L24/INDEX(L$5:L$1258,'Stock Price'!$I$9)-1,"")</f>
        <v>-7.9459002535925416E-3</v>
      </c>
      <c r="Z24" s="19">
        <f ca="1">IF('Stock Price'!$I$11="OK",M24/INDEX(M$5:M$1258,'Stock Price'!$I$9)-1,"")</f>
        <v>2.1556586038350645E-2</v>
      </c>
    </row>
    <row r="25" spans="1:26" x14ac:dyDescent="0.2">
      <c r="A25" s="16">
        <f>'Stock Price'!A25</f>
        <v>44502</v>
      </c>
      <c r="B25" s="17">
        <f>'Stock Price'!E25</f>
        <v>116.53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256.85000000000002</v>
      </c>
      <c r="L25" s="18">
        <v>58.63</v>
      </c>
      <c r="M25" s="18">
        <v>165.59</v>
      </c>
      <c r="O25" s="19">
        <f ca="1">IF('Stock Price'!$I$11="OK",B25/INDEX(B$5:B$1258,'Stock Price'!$I$9)-1,"")</f>
        <v>6.4103734818737879E-2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0.1122418048759366</v>
      </c>
      <c r="Y25" s="19">
        <f ca="1">IF('Stock Price'!$I$11="OK",L25/INDEX(L$5:L$1258,'Stock Price'!$I$9)-1,"")</f>
        <v>-8.79120879120876E-3</v>
      </c>
      <c r="Z25" s="19">
        <f ca="1">IF('Stock Price'!$I$11="OK",M25/INDEX(M$5:M$1258,'Stock Price'!$I$9)-1,"")</f>
        <v>3.7661361072816035E-2</v>
      </c>
    </row>
    <row r="26" spans="1:26" x14ac:dyDescent="0.2">
      <c r="A26" s="16">
        <f>'Stock Price'!A26</f>
        <v>44503</v>
      </c>
      <c r="B26" s="17">
        <f>'Stock Price'!E26</f>
        <v>117.57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266.26</v>
      </c>
      <c r="L26" s="18">
        <v>59.36</v>
      </c>
      <c r="M26" s="18">
        <v>165.06</v>
      </c>
      <c r="O26" s="19">
        <f ca="1">IF('Stock Price'!$I$11="OK",B26/INDEX(B$5:B$1258,'Stock Price'!$I$9)-1,"")</f>
        <v>7.3600584421513959E-2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0.15299008357510924</v>
      </c>
      <c r="Y26" s="19">
        <f ca="1">IF('Stock Price'!$I$11="OK",L26/INDEX(L$5:L$1258,'Stock Price'!$I$9)-1,"")</f>
        <v>3.5502958579882726E-3</v>
      </c>
      <c r="Z26" s="19">
        <f ca="1">IF('Stock Price'!$I$11="OK",M26/INDEX(M$5:M$1258,'Stock Price'!$I$9)-1,"")</f>
        <v>3.4340142875046942E-2</v>
      </c>
    </row>
    <row r="27" spans="1:26" x14ac:dyDescent="0.2">
      <c r="A27" s="16">
        <f>'Stock Price'!A27</f>
        <v>44504</v>
      </c>
      <c r="B27" s="17">
        <f>'Stock Price'!E27</f>
        <v>117.06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271</v>
      </c>
      <c r="L27" s="18">
        <v>59.25</v>
      </c>
      <c r="M27" s="18">
        <v>164.6</v>
      </c>
      <c r="O27" s="19">
        <f ca="1">IF('Stock Price'!$I$11="OK",B27/INDEX(B$5:B$1258,'Stock Price'!$I$9)-1,"")</f>
        <v>6.8943475481691108E-2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0.17351578400381062</v>
      </c>
      <c r="Y27" s="19">
        <f ca="1">IF('Stock Price'!$I$11="OK",L27/INDEX(L$5:L$1258,'Stock Price'!$I$9)-1,"")</f>
        <v>1.6906170752324368E-3</v>
      </c>
      <c r="Z27" s="19">
        <f ca="1">IF('Stock Price'!$I$11="OK",M27/INDEX(M$5:M$1258,'Stock Price'!$I$9)-1,"")</f>
        <v>3.1457576137360554E-2</v>
      </c>
    </row>
    <row r="28" spans="1:26" x14ac:dyDescent="0.2">
      <c r="A28" s="16">
        <f>'Stock Price'!A28</f>
        <v>44505</v>
      </c>
      <c r="B28" s="17">
        <f>'Stock Price'!E28</f>
        <v>117.18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265</v>
      </c>
      <c r="L28" s="18">
        <v>59.45</v>
      </c>
      <c r="M28" s="18">
        <v>163.43</v>
      </c>
      <c r="O28" s="19">
        <f ca="1">IF('Stock Price'!$I$11="OK",B28/INDEX(B$5:B$1258,'Stock Price'!$I$9)-1,"")</f>
        <v>7.0039265820472929E-2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0.1475338847269736</v>
      </c>
      <c r="Y28" s="19">
        <f ca="1">IF('Stock Price'!$I$11="OK",L28/INDEX(L$5:L$1258,'Stock Price'!$I$9)-1,"")</f>
        <v>5.0718512256975323E-3</v>
      </c>
      <c r="Z28" s="19">
        <f ca="1">IF('Stock Price'!$I$11="OK",M28/INDEX(M$5:M$1258,'Stock Price'!$I$9)-1,"")</f>
        <v>2.4125830304549511E-2</v>
      </c>
    </row>
    <row r="29" spans="1:26" x14ac:dyDescent="0.2">
      <c r="A29" s="16">
        <f>'Stock Price'!A29</f>
        <v>44508</v>
      </c>
      <c r="B29" s="17">
        <f>'Stock Price'!E29</f>
        <v>116.06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260.52999999999997</v>
      </c>
      <c r="L29" s="18">
        <v>59.41</v>
      </c>
      <c r="M29" s="18">
        <v>162.87</v>
      </c>
      <c r="O29" s="19">
        <f ca="1">IF('Stock Price'!$I$11="OK",B29/INDEX(B$5:B$1258,'Stock Price'!$I$9)-1,"")</f>
        <v>5.9811889325175782E-2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0.1281773697657298</v>
      </c>
      <c r="Y29" s="19">
        <f ca="1">IF('Stock Price'!$I$11="OK",L29/INDEX(L$5:L$1258,'Stock Price'!$I$9)-1,"")</f>
        <v>4.39560439560438E-3</v>
      </c>
      <c r="Z29" s="19">
        <f ca="1">IF('Stock Price'!$I$11="OK",M29/INDEX(M$5:M$1258,'Stock Price'!$I$9)-1,"")</f>
        <v>2.0616618623887639E-2</v>
      </c>
    </row>
    <row r="30" spans="1:26" x14ac:dyDescent="0.2">
      <c r="A30" s="16">
        <f>'Stock Price'!A30</f>
        <v>44509</v>
      </c>
      <c r="B30" s="17">
        <f>'Stock Price'!E30</f>
        <v>115.61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262.02</v>
      </c>
      <c r="L30" s="18">
        <v>59.46</v>
      </c>
      <c r="M30" s="18">
        <v>162.51</v>
      </c>
      <c r="O30" s="19">
        <f ca="1">IF('Stock Price'!$I$11="OK",B30/INDEX(B$5:B$1258,'Stock Price'!$I$9)-1,"")</f>
        <v>5.5702675554743841E-2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0.13462954141947758</v>
      </c>
      <c r="Y30" s="19">
        <f ca="1">IF('Stock Price'!$I$11="OK",L30/INDEX(L$5:L$1258,'Stock Price'!$I$9)-1,"")</f>
        <v>5.2409129332207094E-3</v>
      </c>
      <c r="Z30" s="19">
        <f ca="1">IF('Stock Price'!$I$11="OK",M30/INDEX(M$5:M$1258,'Stock Price'!$I$9)-1,"")</f>
        <v>1.8360696829176515E-2</v>
      </c>
    </row>
    <row r="31" spans="1:26" x14ac:dyDescent="0.2">
      <c r="A31" s="16">
        <f>'Stock Price'!A31</f>
        <v>44510</v>
      </c>
      <c r="B31" s="17">
        <f>'Stock Price'!E31</f>
        <v>116.75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264.64999999999998</v>
      </c>
      <c r="L31" s="18">
        <v>59.39</v>
      </c>
      <c r="M31" s="18">
        <v>164.27</v>
      </c>
      <c r="O31" s="19">
        <f ca="1">IF('Stock Price'!$I$11="OK",B31/INDEX(B$5:B$1258,'Stock Price'!$I$9)-1,"")</f>
        <v>6.6112683773171366E-2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0.14601827393582467</v>
      </c>
      <c r="Y31" s="19">
        <f ca="1">IF('Stock Price'!$I$11="OK",L31/INDEX(L$5:L$1258,'Stock Price'!$I$9)-1,"")</f>
        <v>4.0574809805580259E-3</v>
      </c>
      <c r="Z31" s="19">
        <f ca="1">IF('Stock Price'!$I$11="OK",M31/INDEX(M$5:M$1258,'Stock Price'!$I$9)-1,"")</f>
        <v>2.9389647825541987E-2</v>
      </c>
    </row>
    <row r="32" spans="1:26" x14ac:dyDescent="0.2">
      <c r="A32" s="16">
        <f>'Stock Price'!A32</f>
        <v>44511</v>
      </c>
      <c r="B32" s="17">
        <f>'Stock Price'!E32</f>
        <v>116.63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262.63</v>
      </c>
      <c r="L32" s="18">
        <v>59.19</v>
      </c>
      <c r="M32" s="18">
        <v>163.06</v>
      </c>
      <c r="O32" s="19">
        <f ca="1">IF('Stock Price'!$I$11="OK",B32/INDEX(B$5:B$1258,'Stock Price'!$I$9)-1,"")</f>
        <v>6.5016893434389544E-2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0.1372710345126229</v>
      </c>
      <c r="Y32" s="19">
        <f ca="1">IF('Stock Price'!$I$11="OK",L32/INDEX(L$5:L$1258,'Stock Price'!$I$9)-1,"")</f>
        <v>6.762468300929303E-4</v>
      </c>
      <c r="Z32" s="19">
        <f ca="1">IF('Stock Price'!$I$11="OK",M32/INDEX(M$5:M$1258,'Stock Price'!$I$9)-1,"")</f>
        <v>2.1807244015540794E-2</v>
      </c>
    </row>
    <row r="33" spans="1:26" x14ac:dyDescent="0.2">
      <c r="A33" s="16">
        <f>'Stock Price'!A33</f>
        <v>44512</v>
      </c>
      <c r="B33" s="17">
        <f>'Stock Price'!E33</f>
        <v>116.97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259.64999999999998</v>
      </c>
      <c r="L33" s="18">
        <v>59.43</v>
      </c>
      <c r="M33" s="18">
        <v>165.01</v>
      </c>
      <c r="O33" s="19">
        <f ca="1">IF('Stock Price'!$I$11="OK",B33/INDEX(B$5:B$1258,'Stock Price'!$I$9)-1,"")</f>
        <v>6.8121632727604631E-2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0.12436669120512689</v>
      </c>
      <c r="Y33" s="19">
        <f ca="1">IF('Stock Price'!$I$11="OK",L33/INDEX(L$5:L$1258,'Stock Price'!$I$9)-1,"")</f>
        <v>4.7337278106509562E-3</v>
      </c>
      <c r="Z33" s="19">
        <f ca="1">IF('Stock Price'!$I$11="OK",M33/INDEX(M$5:M$1258,'Stock Price'!$I$9)-1,"")</f>
        <v>3.4026820403559199E-2</v>
      </c>
    </row>
    <row r="34" spans="1:26" x14ac:dyDescent="0.2">
      <c r="A34" s="16">
        <f>'Stock Price'!A34</f>
        <v>44515</v>
      </c>
      <c r="B34" s="17">
        <f>'Stock Price'!E34</f>
        <v>116.84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258.43</v>
      </c>
      <c r="L34" s="18">
        <v>59.62</v>
      </c>
      <c r="M34" s="18">
        <v>163.52000000000001</v>
      </c>
      <c r="O34" s="19">
        <f ca="1">IF('Stock Price'!$I$11="OK",B34/INDEX(B$5:B$1258,'Stock Price'!$I$9)-1,"")</f>
        <v>6.6934526527257843E-2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0.11908370501883692</v>
      </c>
      <c r="Y34" s="19">
        <f ca="1">IF('Stock Price'!$I$11="OK",L34/INDEX(L$5:L$1258,'Stock Price'!$I$9)-1,"")</f>
        <v>7.9459002535926526E-3</v>
      </c>
      <c r="Z34" s="19">
        <f ca="1">IF('Stock Price'!$I$11="OK",M34/INDEX(M$5:M$1258,'Stock Price'!$I$9)-1,"")</f>
        <v>2.4689810753227182E-2</v>
      </c>
    </row>
    <row r="35" spans="1:26" x14ac:dyDescent="0.2">
      <c r="A35" s="16">
        <f>'Stock Price'!A35</f>
        <v>44516</v>
      </c>
      <c r="B35" s="17">
        <f>'Stock Price'!E35</f>
        <v>116.42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257.72000000000003</v>
      </c>
      <c r="L35" s="18">
        <v>59.1</v>
      </c>
      <c r="M35" s="18">
        <v>162.66999999999999</v>
      </c>
      <c r="O35" s="19">
        <f ca="1">IF('Stock Price'!$I$11="OK",B35/INDEX(B$5:B$1258,'Stock Price'!$I$9)-1,"")</f>
        <v>6.3099260341521246E-2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0.11600918027107787</v>
      </c>
      <c r="Y35" s="19">
        <f ca="1">IF('Stock Price'!$I$11="OK",L35/INDEX(L$5:L$1258,'Stock Price'!$I$9)-1,"")</f>
        <v>-8.4530853761621838E-4</v>
      </c>
      <c r="Z35" s="19">
        <f ca="1">IF('Stock Price'!$I$11="OK",M35/INDEX(M$5:M$1258,'Stock Price'!$I$9)-1,"")</f>
        <v>1.9363328737936891E-2</v>
      </c>
    </row>
    <row r="36" spans="1:26" x14ac:dyDescent="0.2">
      <c r="A36" s="16">
        <f>'Stock Price'!A36</f>
        <v>44517</v>
      </c>
      <c r="B36" s="17">
        <f>'Stock Price'!E36</f>
        <v>117.35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261.18</v>
      </c>
      <c r="L36" s="18">
        <v>59.44</v>
      </c>
      <c r="M36" s="18">
        <v>163.28</v>
      </c>
      <c r="O36" s="19">
        <f ca="1">IF('Stock Price'!$I$11="OK",B36/INDEX(B$5:B$1258,'Stock Price'!$I$9)-1,"")</f>
        <v>7.1591635467080472E-2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0.13099207552072056</v>
      </c>
      <c r="Y36" s="19">
        <f ca="1">IF('Stock Price'!$I$11="OK",L36/INDEX(L$5:L$1258,'Stock Price'!$I$9)-1,"")</f>
        <v>4.9027895181741332E-3</v>
      </c>
      <c r="Z36" s="19">
        <f ca="1">IF('Stock Price'!$I$11="OK",M36/INDEX(M$5:M$1258,'Stock Price'!$I$9)-1,"")</f>
        <v>2.3185862890086506E-2</v>
      </c>
    </row>
    <row r="37" spans="1:26" x14ac:dyDescent="0.2">
      <c r="A37" s="16">
        <f>'Stock Price'!A37</f>
        <v>44518</v>
      </c>
      <c r="B37" s="17">
        <f>'Stock Price'!E37</f>
        <v>117.07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261.33</v>
      </c>
      <c r="L37" s="18">
        <v>59.04</v>
      </c>
      <c r="M37" s="18">
        <v>162.4</v>
      </c>
      <c r="O37" s="19">
        <f ca="1">IF('Stock Price'!$I$11="OK",B37/INDEX(B$5:B$1258,'Stock Price'!$I$9)-1,"")</f>
        <v>6.9034791343256297E-2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0.13164162300264137</v>
      </c>
      <c r="Y37" s="19">
        <f ca="1">IF('Stock Price'!$I$11="OK",L37/INDEX(L$5:L$1258,'Stock Price'!$I$9)-1,"")</f>
        <v>-1.8596787827557248E-3</v>
      </c>
      <c r="Z37" s="19">
        <f ca="1">IF('Stock Price'!$I$11="OK",M37/INDEX(M$5:M$1258,'Stock Price'!$I$9)-1,"")</f>
        <v>1.7671387391903659E-2</v>
      </c>
    </row>
    <row r="38" spans="1:26" x14ac:dyDescent="0.2">
      <c r="A38" s="16">
        <f>'Stock Price'!A38</f>
        <v>44519</v>
      </c>
      <c r="B38" s="17">
        <f>'Stock Price'!E38</f>
        <v>116.24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260.7</v>
      </c>
      <c r="L38" s="18">
        <v>57.83</v>
      </c>
      <c r="M38" s="18">
        <v>162.88999999999999</v>
      </c>
      <c r="O38" s="19">
        <f ca="1">IF('Stock Price'!$I$11="OK",B38/INDEX(B$5:B$1258,'Stock Price'!$I$9)-1,"")</f>
        <v>6.1455574833348514E-2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0.12891352357857344</v>
      </c>
      <c r="Y38" s="19">
        <f ca="1">IF('Stock Price'!$I$11="OK",L38/INDEX(L$5:L$1258,'Stock Price'!$I$9)-1,"")</f>
        <v>-2.2316145393068476E-2</v>
      </c>
      <c r="Z38" s="19">
        <f ca="1">IF('Stock Price'!$I$11="OK",M38/INDEX(M$5:M$1258,'Stock Price'!$I$9)-1,"")</f>
        <v>2.0741947612482603E-2</v>
      </c>
    </row>
    <row r="39" spans="1:26" x14ac:dyDescent="0.2">
      <c r="A39" s="16">
        <f>'Stock Price'!A39</f>
        <v>44522</v>
      </c>
      <c r="B39" s="17">
        <f>'Stock Price'!E39</f>
        <v>115.65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260.44</v>
      </c>
      <c r="L39" s="18">
        <v>57.04</v>
      </c>
      <c r="M39" s="18">
        <v>159.69999999999999</v>
      </c>
      <c r="O39" s="19">
        <f ca="1">IF('Stock Price'!$I$11="OK",B39/INDEX(B$5:B$1258,'Stock Price'!$I$9)-1,"")</f>
        <v>5.6067939001004374E-2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0.12778764127657727</v>
      </c>
      <c r="Y39" s="19">
        <f ca="1">IF('Stock Price'!$I$11="OK",L39/INDEX(L$5:L$1258,'Stock Price'!$I$9)-1,"")</f>
        <v>-3.5672020287404904E-2</v>
      </c>
      <c r="Z39" s="19">
        <f ca="1">IF('Stock Price'!$I$11="OK",M39/INDEX(M$5:M$1258,'Stock Price'!$I$9)-1,"")</f>
        <v>7.5197393157022674E-4</v>
      </c>
    </row>
    <row r="40" spans="1:26" x14ac:dyDescent="0.2">
      <c r="A40" s="16">
        <f>'Stock Price'!A40</f>
        <v>44523</v>
      </c>
      <c r="B40" s="17">
        <f>'Stock Price'!E40</f>
        <v>118.88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261.95999999999998</v>
      </c>
      <c r="L40" s="18">
        <v>57.45</v>
      </c>
      <c r="M40" s="18">
        <v>160.69</v>
      </c>
      <c r="O40" s="19">
        <f ca="1">IF('Stock Price'!$I$11="OK",B40/INDEX(B$5:B$1258,'Stock Price'!$I$9)-1,"")</f>
        <v>8.5562962286549027E-2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0.1343697224267093</v>
      </c>
      <c r="Y40" s="19">
        <f ca="1">IF('Stock Price'!$I$11="OK",L40/INDEX(L$5:L$1258,'Stock Price'!$I$9)-1,"")</f>
        <v>-2.8740490278951758E-2</v>
      </c>
      <c r="Z40" s="19">
        <f ca="1">IF('Stock Price'!$I$11="OK",M40/INDEX(M$5:M$1258,'Stock Price'!$I$9)-1,"")</f>
        <v>6.9557588670259296E-3</v>
      </c>
    </row>
    <row r="41" spans="1:26" x14ac:dyDescent="0.2">
      <c r="A41" s="16">
        <f>'Stock Price'!A41</f>
        <v>44524</v>
      </c>
      <c r="B41" s="17">
        <f>'Stock Price'!E41</f>
        <v>118.66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262</v>
      </c>
      <c r="L41" s="18">
        <v>56.81</v>
      </c>
      <c r="M41" s="18">
        <v>160.24</v>
      </c>
      <c r="O41" s="19">
        <f ca="1">IF('Stock Price'!$I$11="OK",B41/INDEX(B$5:B$1258,'Stock Price'!$I$9)-1,"")</f>
        <v>8.3554013332115762E-2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0.13454293508855497</v>
      </c>
      <c r="Y41" s="19">
        <f ca="1">IF('Stock Price'!$I$11="OK",L41/INDEX(L$5:L$1258,'Stock Price'!$I$9)-1,"")</f>
        <v>-3.9560439560439531E-2</v>
      </c>
      <c r="Z41" s="19">
        <f ca="1">IF('Stock Price'!$I$11="OK",M41/INDEX(M$5:M$1258,'Stock Price'!$I$9)-1,"")</f>
        <v>4.1358566236371352E-3</v>
      </c>
    </row>
    <row r="42" spans="1:26" x14ac:dyDescent="0.2">
      <c r="A42" s="16">
        <f>'Stock Price'!A42</f>
        <v>44526</v>
      </c>
      <c r="B42" s="17">
        <f>'Stock Price'!E42</f>
        <v>116.51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260.37</v>
      </c>
      <c r="L42" s="18">
        <v>56.53</v>
      </c>
      <c r="M42" s="18">
        <v>159.19999999999999</v>
      </c>
      <c r="O42" s="19">
        <f ca="1">IF('Stock Price'!$I$11="OK",B42/INDEX(B$5:B$1258,'Stock Price'!$I$9)-1,"")</f>
        <v>6.3921103095607723E-2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0.12748451911834757</v>
      </c>
      <c r="Y42" s="19">
        <f ca="1">IF('Stock Price'!$I$11="OK",L42/INDEX(L$5:L$1258,'Stock Price'!$I$9)-1,"")</f>
        <v>-4.4294167371090376E-2</v>
      </c>
      <c r="Z42" s="19">
        <f ca="1">IF('Stock Price'!$I$11="OK",M42/INDEX(M$5:M$1258,'Stock Price'!$I$9)-1,"")</f>
        <v>-2.3812507833063101E-3</v>
      </c>
    </row>
    <row r="43" spans="1:26" x14ac:dyDescent="0.2">
      <c r="A43" s="16">
        <f>'Stock Price'!A43</f>
        <v>44529</v>
      </c>
      <c r="B43" s="17">
        <f>'Stock Price'!E43</f>
        <v>116.89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254.83</v>
      </c>
      <c r="L43" s="18">
        <v>54.64</v>
      </c>
      <c r="M43" s="18">
        <v>159.75</v>
      </c>
      <c r="O43" s="19">
        <f ca="1">IF('Stock Price'!$I$11="OK",B43/INDEX(B$5:B$1258,'Stock Price'!$I$9)-1,"")</f>
        <v>6.7391105835083565E-2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0.10349456545273461</v>
      </c>
      <c r="Y43" s="19">
        <f ca="1">IF('Stock Price'!$I$11="OK",L43/INDEX(L$5:L$1258,'Stock Price'!$I$9)-1,"")</f>
        <v>-7.6246830092983942E-2</v>
      </c>
      <c r="Z43" s="19">
        <f ca="1">IF('Stock Price'!$I$11="OK",M43/INDEX(M$5:M$1258,'Stock Price'!$I$9)-1,"")</f>
        <v>1.0652964030579692E-3</v>
      </c>
    </row>
    <row r="44" spans="1:26" x14ac:dyDescent="0.2">
      <c r="A44" s="16">
        <f>'Stock Price'!A44</f>
        <v>44530</v>
      </c>
      <c r="B44" s="17">
        <f>'Stock Price'!E44</f>
        <v>115.28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248.04</v>
      </c>
      <c r="L44" s="18">
        <v>53.63</v>
      </c>
      <c r="M44" s="18">
        <v>155.93</v>
      </c>
      <c r="O44" s="19">
        <f ca="1">IF('Stock Price'!$I$11="OK",B44/INDEX(B$5:B$1258,'Stock Price'!$I$9)-1,"")</f>
        <v>5.2689252123093722E-2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7.4091716104447203E-2</v>
      </c>
      <c r="Y44" s="19">
        <f ca="1">IF('Stock Price'!$I$11="OK",L44/INDEX(L$5:L$1258,'Stock Price'!$I$9)-1,"")</f>
        <v>-9.3322062552831708E-2</v>
      </c>
      <c r="Z44" s="19">
        <f ca="1">IF('Stock Price'!$I$11="OK",M44/INDEX(M$5:M$1258,'Stock Price'!$I$9)-1,"")</f>
        <v>-2.2872540418598875E-2</v>
      </c>
    </row>
    <row r="45" spans="1:26" x14ac:dyDescent="0.2">
      <c r="A45" s="16">
        <f>'Stock Price'!A45</f>
        <v>44531</v>
      </c>
      <c r="B45" s="17">
        <f>'Stock Price'!E45</f>
        <v>115.91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249.13</v>
      </c>
      <c r="L45" s="18">
        <v>54.95</v>
      </c>
      <c r="M45" s="18">
        <v>158.08000000000001</v>
      </c>
      <c r="O45" s="19">
        <f ca="1">IF('Stock Price'!$I$11="OK",B45/INDEX(B$5:B$1258,'Stock Price'!$I$9)-1,"")</f>
        <v>5.8442151401698395E-2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7.88117611397392E-2</v>
      </c>
      <c r="Y45" s="19">
        <f ca="1">IF('Stock Price'!$I$11="OK",L45/INDEX(L$5:L$1258,'Stock Price'!$I$9)-1,"")</f>
        <v>-7.1005917159763232E-2</v>
      </c>
      <c r="Z45" s="19">
        <f ca="1">IF('Stock Price'!$I$11="OK",M45/INDEX(M$5:M$1258,'Stock Price'!$I$9)-1,"")</f>
        <v>-9.3996741446296106E-3</v>
      </c>
    </row>
    <row r="46" spans="1:26" x14ac:dyDescent="0.2">
      <c r="A46" s="16">
        <f>'Stock Price'!A46</f>
        <v>44532</v>
      </c>
      <c r="B46" s="17">
        <f>'Stock Price'!E46</f>
        <v>116.87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247.88</v>
      </c>
      <c r="L46" s="18">
        <v>55.41</v>
      </c>
      <c r="M46" s="18">
        <v>157.09</v>
      </c>
      <c r="O46" s="19">
        <f ca="1">IF('Stock Price'!$I$11="OK",B46/INDEX(B$5:B$1258,'Stock Price'!$I$9)-1,"")</f>
        <v>6.7208474111953187E-2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7.3398865457064755E-2</v>
      </c>
      <c r="Y46" s="19">
        <f ca="1">IF('Stock Price'!$I$11="OK",L46/INDEX(L$5:L$1258,'Stock Price'!$I$9)-1,"")</f>
        <v>-6.3229078613693979E-2</v>
      </c>
      <c r="Z46" s="19">
        <f ca="1">IF('Stock Price'!$I$11="OK",M46/INDEX(M$5:M$1258,'Stock Price'!$I$9)-1,"")</f>
        <v>-1.5603459080085313E-2</v>
      </c>
    </row>
    <row r="47" spans="1:26" x14ac:dyDescent="0.2">
      <c r="A47" s="16">
        <f>'Stock Price'!A47</f>
        <v>44533</v>
      </c>
      <c r="B47" s="17">
        <f>'Stock Price'!E47</f>
        <v>118.85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245.58</v>
      </c>
      <c r="L47" s="18">
        <v>56.32</v>
      </c>
      <c r="M47" s="18">
        <v>159.38</v>
      </c>
      <c r="O47" s="19">
        <f ca="1">IF('Stock Price'!$I$11="OK",B47/INDEX(B$5:B$1258,'Stock Price'!$I$9)-1,"")</f>
        <v>8.5289014701853683E-2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6.3439137400943979E-2</v>
      </c>
      <c r="Y47" s="19">
        <f ca="1">IF('Stock Price'!$I$11="OK",L47/INDEX(L$5:L$1258,'Stock Price'!$I$9)-1,"")</f>
        <v>-4.7844463229078538E-2</v>
      </c>
      <c r="Z47" s="19">
        <f ca="1">IF('Stock Price'!$I$11="OK",M47/INDEX(M$5:M$1258,'Stock Price'!$I$9)-1,"")</f>
        <v>-1.253289885950748E-3</v>
      </c>
    </row>
    <row r="48" spans="1:26" x14ac:dyDescent="0.2">
      <c r="A48" s="16">
        <f>'Stock Price'!A48</f>
        <v>44536</v>
      </c>
      <c r="B48" s="17">
        <f>'Stock Price'!E48</f>
        <v>121.35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246.33</v>
      </c>
      <c r="L48" s="18">
        <v>56.83</v>
      </c>
      <c r="M48" s="18">
        <v>162.94</v>
      </c>
      <c r="O48" s="19">
        <f ca="1">IF('Stock Price'!$I$11="OK",B48/INDEX(B$5:B$1258,'Stock Price'!$I$9)-1,"")</f>
        <v>0.108117980093142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6.6686874810548691E-2</v>
      </c>
      <c r="Y48" s="19">
        <f ca="1">IF('Stock Price'!$I$11="OK",L48/INDEX(L$5:L$1258,'Stock Price'!$I$9)-1,"")</f>
        <v>-3.9222316145393066E-2</v>
      </c>
      <c r="Z48" s="19">
        <f ca="1">IF('Stock Price'!$I$11="OK",M48/INDEX(M$5:M$1258,'Stock Price'!$I$9)-1,"")</f>
        <v>2.1055270083970345E-2</v>
      </c>
    </row>
    <row r="49" spans="1:26" x14ac:dyDescent="0.2">
      <c r="A49" s="16">
        <f>'Stock Price'!A49</f>
        <v>44537</v>
      </c>
      <c r="B49" s="17">
        <f>'Stock Price'!E49</f>
        <v>121.51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245.11</v>
      </c>
      <c r="L49" s="18">
        <v>57.13</v>
      </c>
      <c r="M49" s="18">
        <v>163.36000000000001</v>
      </c>
      <c r="O49" s="19">
        <f ca="1">IF('Stock Price'!$I$11="OK",B49/INDEX(B$5:B$1258,'Stock Price'!$I$9)-1,"")</f>
        <v>0.10957903387818457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6.1403888624258496E-2</v>
      </c>
      <c r="Y49" s="19">
        <f ca="1">IF('Stock Price'!$I$11="OK",L49/INDEX(L$5:L$1258,'Stock Price'!$I$9)-1,"")</f>
        <v>-3.4150464919695644E-2</v>
      </c>
      <c r="Z49" s="19">
        <f ca="1">IF('Stock Price'!$I$11="OK",M49/INDEX(M$5:M$1258,'Stock Price'!$I$9)-1,"")</f>
        <v>2.3687178844466805E-2</v>
      </c>
    </row>
    <row r="50" spans="1:26" x14ac:dyDescent="0.2">
      <c r="A50" s="16">
        <f>'Stock Price'!A50</f>
        <v>44538</v>
      </c>
      <c r="B50" s="17">
        <f>'Stock Price'!E50</f>
        <v>121.87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244.32</v>
      </c>
      <c r="L50" s="18">
        <v>57.6</v>
      </c>
      <c r="M50" s="18">
        <v>164.34</v>
      </c>
      <c r="O50" s="19">
        <f ca="1">IF('Stock Price'!$I$11="OK",B50/INDEX(B$5:B$1258,'Stock Price'!$I$9)-1,"")</f>
        <v>0.11286640489453026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5.7982938552808116E-2</v>
      </c>
      <c r="Y50" s="19">
        <f ca="1">IF('Stock Price'!$I$11="OK",L50/INDEX(L$5:L$1258,'Stock Price'!$I$9)-1,"")</f>
        <v>-2.6204564666103103E-2</v>
      </c>
      <c r="Z50" s="19">
        <f ca="1">IF('Stock Price'!$I$11="OK",M50/INDEX(M$5:M$1258,'Stock Price'!$I$9)-1,"")</f>
        <v>2.9828299285624693E-2</v>
      </c>
    </row>
    <row r="51" spans="1:26" x14ac:dyDescent="0.2">
      <c r="A51" s="16">
        <f>'Stock Price'!A51</f>
        <v>44539</v>
      </c>
      <c r="B51" s="17">
        <f>'Stock Price'!E51</f>
        <v>124.15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242.9</v>
      </c>
      <c r="L51" s="18">
        <v>57.54</v>
      </c>
      <c r="M51" s="18">
        <v>165.9</v>
      </c>
      <c r="O51" s="19">
        <f ca="1">IF('Stock Price'!$I$11="OK",B51/INDEX(B$5:B$1258,'Stock Price'!$I$9)-1,"")</f>
        <v>0.13368642133138531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5.1833889057290028E-2</v>
      </c>
      <c r="Y51" s="19">
        <f ca="1">IF('Stock Price'!$I$11="OK",L51/INDEX(L$5:L$1258,'Stock Price'!$I$9)-1,"")</f>
        <v>-2.7218934911242609E-2</v>
      </c>
      <c r="Z51" s="19">
        <f ca="1">IF('Stock Price'!$I$11="OK",M51/INDEX(M$5:M$1258,'Stock Price'!$I$9)-1,"")</f>
        <v>3.9603960396039639E-2</v>
      </c>
    </row>
    <row r="52" spans="1:26" x14ac:dyDescent="0.2">
      <c r="A52" s="16">
        <f>'Stock Price'!A52</f>
        <v>44540</v>
      </c>
      <c r="B52" s="17">
        <f>'Stock Price'!E52</f>
        <v>125.47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244.14</v>
      </c>
      <c r="L52" s="18">
        <v>56.36</v>
      </c>
      <c r="M52" s="18">
        <v>165.49</v>
      </c>
      <c r="O52" s="19">
        <f ca="1">IF('Stock Price'!$I$11="OK",B52/INDEX(B$5:B$1258,'Stock Price'!$I$9)-1,"")</f>
        <v>0.14574011505798556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5.7203481574503057E-2</v>
      </c>
      <c r="Y52" s="19">
        <f ca="1">IF('Stock Price'!$I$11="OK",L52/INDEX(L$5:L$1258,'Stock Price'!$I$9)-1,"")</f>
        <v>-4.7168216398985607E-2</v>
      </c>
      <c r="Z52" s="19">
        <f ca="1">IF('Stock Price'!$I$11="OK",M52/INDEX(M$5:M$1258,'Stock Price'!$I$9)-1,"")</f>
        <v>3.7034716129840772E-2</v>
      </c>
    </row>
    <row r="53" spans="1:26" x14ac:dyDescent="0.2">
      <c r="A53" s="16">
        <f>'Stock Price'!A53</f>
        <v>44543</v>
      </c>
      <c r="B53" s="17">
        <f>'Stock Price'!E53</f>
        <v>126.51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248.53</v>
      </c>
      <c r="L53" s="18">
        <v>59.05</v>
      </c>
      <c r="M53" s="18">
        <v>168.45</v>
      </c>
      <c r="O53" s="19">
        <f ca="1">IF('Stock Price'!$I$11="OK",B53/INDEX(B$5:B$1258,'Stock Price'!$I$9)-1,"")</f>
        <v>0.15523696466076164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7.621357121205552E-2</v>
      </c>
      <c r="Y53" s="19">
        <f ca="1">IF('Stock Price'!$I$11="OK",L53/INDEX(L$5:L$1258,'Stock Price'!$I$9)-1,"")</f>
        <v>-1.6906170752324368E-3</v>
      </c>
      <c r="Z53" s="19">
        <f ca="1">IF('Stock Price'!$I$11="OK",M53/INDEX(M$5:M$1258,'Stock Price'!$I$9)-1,"")</f>
        <v>5.5583406441909844E-2</v>
      </c>
    </row>
    <row r="54" spans="1:26" x14ac:dyDescent="0.2">
      <c r="A54" s="16">
        <f>'Stock Price'!A54</f>
        <v>44544</v>
      </c>
      <c r="B54" s="17">
        <f>'Stock Price'!E54</f>
        <v>127.29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249.38</v>
      </c>
      <c r="L54" s="18">
        <v>59.51</v>
      </c>
      <c r="M54" s="18">
        <v>170.29</v>
      </c>
      <c r="O54" s="19">
        <f ca="1">IF('Stock Price'!$I$11="OK",B54/INDEX(B$5:B$1258,'Stock Price'!$I$9)-1,"")</f>
        <v>0.16235960186284348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7.9894340276274178E-2</v>
      </c>
      <c r="Y54" s="19">
        <f ca="1">IF('Stock Price'!$I$11="OK",L54/INDEX(L$5:L$1258,'Stock Price'!$I$9)-1,"")</f>
        <v>6.0862214708368167E-3</v>
      </c>
      <c r="Z54" s="19">
        <f ca="1">IF('Stock Price'!$I$11="OK",M54/INDEX(M$5:M$1258,'Stock Price'!$I$9)-1,"")</f>
        <v>6.7113673392655615E-2</v>
      </c>
    </row>
    <row r="55" spans="1:26" x14ac:dyDescent="0.2">
      <c r="A55" s="16">
        <f>'Stock Price'!A55</f>
        <v>44545</v>
      </c>
      <c r="B55" s="17">
        <f>'Stock Price'!E55</f>
        <v>130.22999999999999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275.27999999999997</v>
      </c>
      <c r="L55" s="18">
        <v>60.61</v>
      </c>
      <c r="M55" s="18">
        <v>171.14</v>
      </c>
      <c r="O55" s="19">
        <f ca="1">IF('Stock Price'!$I$11="OK",B55/INDEX(B$5:B$1258,'Stock Price'!$I$9)-1,"")</f>
        <v>0.18920646516299877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0.19204953882128772</v>
      </c>
      <c r="Y55" s="19">
        <f ca="1">IF('Stock Price'!$I$11="OK",L55/INDEX(L$5:L$1258,'Stock Price'!$I$9)-1,"")</f>
        <v>2.4683009298393843E-2</v>
      </c>
      <c r="Z55" s="19">
        <f ca="1">IF('Stock Price'!$I$11="OK",M55/INDEX(M$5:M$1258,'Stock Price'!$I$9)-1,"")</f>
        <v>7.2440155407945683E-2</v>
      </c>
    </row>
    <row r="56" spans="1:26" x14ac:dyDescent="0.2">
      <c r="A56" s="16">
        <f>'Stock Price'!A56</f>
        <v>44546</v>
      </c>
      <c r="B56" s="17">
        <f>'Stock Price'!E56</f>
        <v>131.78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279.04000000000002</v>
      </c>
      <c r="L56" s="18">
        <v>62.17</v>
      </c>
      <c r="M56" s="18">
        <v>173.01</v>
      </c>
      <c r="O56" s="19">
        <f ca="1">IF('Stock Price'!$I$11="OK",B56/INDEX(B$5:B$1258,'Stock Price'!$I$9)-1,"")</f>
        <v>0.2033604237055977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0.20833152903477248</v>
      </c>
      <c r="Y56" s="19">
        <f ca="1">IF('Stock Price'!$I$11="OK",L56/INDEX(L$5:L$1258,'Stock Price'!$I$9)-1,"")</f>
        <v>5.1056635672020345E-2</v>
      </c>
      <c r="Z56" s="19">
        <f ca="1">IF('Stock Price'!$I$11="OK",M56/INDEX(M$5:M$1258,'Stock Price'!$I$9)-1,"")</f>
        <v>8.4158415841584011E-2</v>
      </c>
    </row>
    <row r="57" spans="1:26" x14ac:dyDescent="0.2">
      <c r="A57" s="16">
        <f>'Stock Price'!A57</f>
        <v>44547</v>
      </c>
      <c r="B57" s="17">
        <f>'Stock Price'!E57</f>
        <v>129.53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267.42</v>
      </c>
      <c r="L57" s="18">
        <v>61.56</v>
      </c>
      <c r="M57" s="18">
        <v>168.23</v>
      </c>
      <c r="O57" s="19">
        <f ca="1">IF('Stock Price'!$I$11="OK",B57/INDEX(B$5:B$1258,'Stock Price'!$I$9)-1,"")</f>
        <v>0.182814354853438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0.15801325076863115</v>
      </c>
      <c r="Y57" s="19">
        <f ca="1">IF('Stock Price'!$I$11="OK",L57/INDEX(L$5:L$1258,'Stock Price'!$I$9)-1,"")</f>
        <v>4.0743871513102325E-2</v>
      </c>
      <c r="Z57" s="19">
        <f ca="1">IF('Stock Price'!$I$11="OK",M57/INDEX(M$5:M$1258,'Stock Price'!$I$9)-1,"")</f>
        <v>5.4204787567364132E-2</v>
      </c>
    </row>
    <row r="58" spans="1:26" x14ac:dyDescent="0.2">
      <c r="A58" s="16">
        <f>'Stock Price'!A58</f>
        <v>44550</v>
      </c>
      <c r="B58" s="17">
        <f>'Stock Price'!E58</f>
        <v>130.86000000000001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263.48</v>
      </c>
      <c r="L58" s="18">
        <v>61.72</v>
      </c>
      <c r="M58" s="18">
        <v>167.75</v>
      </c>
      <c r="O58" s="19">
        <f ca="1">IF('Stock Price'!$I$11="OK",B58/INDEX(B$5:B$1258,'Stock Price'!$I$9)-1,"")</f>
        <v>0.19495936444160367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0.14095180357684156</v>
      </c>
      <c r="Y58" s="19">
        <f ca="1">IF('Stock Price'!$I$11="OK",L58/INDEX(L$5:L$1258,'Stock Price'!$I$9)-1,"")</f>
        <v>4.3448858833474269E-2</v>
      </c>
      <c r="Z58" s="19">
        <f ca="1">IF('Stock Price'!$I$11="OK",M58/INDEX(M$5:M$1258,'Stock Price'!$I$9)-1,"")</f>
        <v>5.1196891841082781E-2</v>
      </c>
    </row>
    <row r="59" spans="1:26" x14ac:dyDescent="0.2">
      <c r="A59" s="16">
        <f>'Stock Price'!A59</f>
        <v>44551</v>
      </c>
      <c r="B59" s="17">
        <f>'Stock Price'!E59</f>
        <v>129.94999999999999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264.88</v>
      </c>
      <c r="L59" s="18">
        <v>61.45</v>
      </c>
      <c r="M59" s="18">
        <v>167.21</v>
      </c>
      <c r="O59" s="19">
        <f ca="1">IF('Stock Price'!$I$11="OK",B59/INDEX(B$5:B$1258,'Stock Price'!$I$9)-1,"")</f>
        <v>0.18664962103917437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0.14701424674143682</v>
      </c>
      <c r="Y59" s="19">
        <f ca="1">IF('Stock Price'!$I$11="OK",L59/INDEX(L$5:L$1258,'Stock Price'!$I$9)-1,"")</f>
        <v>3.8884192730346712E-2</v>
      </c>
      <c r="Z59" s="19">
        <f ca="1">IF('Stock Price'!$I$11="OK",M59/INDEX(M$5:M$1258,'Stock Price'!$I$9)-1,"")</f>
        <v>4.7813009149016095E-2</v>
      </c>
    </row>
    <row r="60" spans="1:26" x14ac:dyDescent="0.2">
      <c r="A60" s="16">
        <f>'Stock Price'!A60</f>
        <v>44552</v>
      </c>
      <c r="B60" s="17">
        <f>'Stock Price'!E60</f>
        <v>132.05000000000001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266.5</v>
      </c>
      <c r="L60" s="18">
        <v>62.1</v>
      </c>
      <c r="M60" s="18">
        <v>167.93</v>
      </c>
      <c r="O60" s="19">
        <f ca="1">IF('Stock Price'!$I$11="OK",B60/INDEX(B$5:B$1258,'Stock Price'!$I$9)-1,"")</f>
        <v>0.20582595196785691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0.1540293595461828</v>
      </c>
      <c r="Y60" s="19">
        <f ca="1">IF('Stock Price'!$I$11="OK",L60/INDEX(L$5:L$1258,'Stock Price'!$I$9)-1,"")</f>
        <v>4.9873203719357662E-2</v>
      </c>
      <c r="Z60" s="19">
        <f ca="1">IF('Stock Price'!$I$11="OK",M60/INDEX(M$5:M$1258,'Stock Price'!$I$9)-1,"")</f>
        <v>5.2324852738438343E-2</v>
      </c>
    </row>
    <row r="61" spans="1:26" x14ac:dyDescent="0.2">
      <c r="A61" s="16">
        <f>'Stock Price'!A61</f>
        <v>44553</v>
      </c>
      <c r="B61" s="17">
        <f>'Stock Price'!E61</f>
        <v>133.09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273.10000000000002</v>
      </c>
      <c r="L61" s="18">
        <v>62.05</v>
      </c>
      <c r="M61" s="18">
        <v>168.25</v>
      </c>
      <c r="O61" s="19">
        <f ca="1">IF('Stock Price'!$I$11="OK",B61/INDEX(B$5:B$1258,'Stock Price'!$I$9)-1,"")</f>
        <v>0.21532280157063277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0.18260944875070373</v>
      </c>
      <c r="Y61" s="19">
        <f ca="1">IF('Stock Price'!$I$11="OK",L61/INDEX(L$5:L$1258,'Stock Price'!$I$9)-1,"")</f>
        <v>4.9027895181741332E-2</v>
      </c>
      <c r="Z61" s="19">
        <f ca="1">IF('Stock Price'!$I$11="OK",M61/INDEX(M$5:M$1258,'Stock Price'!$I$9)-1,"")</f>
        <v>5.4330116555959318E-2</v>
      </c>
    </row>
    <row r="62" spans="1:26" x14ac:dyDescent="0.2">
      <c r="A62" s="16">
        <f>'Stock Price'!A62</f>
        <v>44557</v>
      </c>
      <c r="B62" s="17">
        <f>'Stock Price'!E62</f>
        <v>134.41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278.41000000000003</v>
      </c>
      <c r="L62" s="18">
        <v>62.29</v>
      </c>
      <c r="M62" s="18">
        <v>169.67</v>
      </c>
      <c r="O62" s="19">
        <f ca="1">IF('Stock Price'!$I$11="OK",B62/INDEX(B$5:B$1258,'Stock Price'!$I$9)-1,"")</f>
        <v>0.22737649529723303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0.20560342961070455</v>
      </c>
      <c r="Y62" s="19">
        <f ca="1">IF('Stock Price'!$I$11="OK",L62/INDEX(L$5:L$1258,'Stock Price'!$I$9)-1,"")</f>
        <v>5.3085376162299358E-2</v>
      </c>
      <c r="Z62" s="19">
        <f ca="1">IF('Stock Price'!$I$11="OK",M62/INDEX(M$5:M$1258,'Stock Price'!$I$9)-1,"")</f>
        <v>6.3228474746208629E-2</v>
      </c>
    </row>
    <row r="63" spans="1:26" x14ac:dyDescent="0.2">
      <c r="A63" s="16">
        <f>'Stock Price'!A63</f>
        <v>44558</v>
      </c>
      <c r="B63" s="17">
        <f>'Stock Price'!E63</f>
        <v>134.38999999999999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276.43</v>
      </c>
      <c r="L63" s="18">
        <v>62.35</v>
      </c>
      <c r="M63" s="18">
        <v>170.35</v>
      </c>
      <c r="O63" s="19">
        <f ca="1">IF('Stock Price'!$I$11="OK",B63/INDEX(B$5:B$1258,'Stock Price'!$I$9)-1,"")</f>
        <v>0.22719386357410265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0.19702940284934822</v>
      </c>
      <c r="Y63" s="19">
        <f ca="1">IF('Stock Price'!$I$11="OK",L63/INDEX(L$5:L$1258,'Stock Price'!$I$9)-1,"")</f>
        <v>5.4099746407438865E-2</v>
      </c>
      <c r="Z63" s="19">
        <f ca="1">IF('Stock Price'!$I$11="OK",M63/INDEX(M$5:M$1258,'Stock Price'!$I$9)-1,"")</f>
        <v>6.7489660358440728E-2</v>
      </c>
    </row>
    <row r="64" spans="1:26" x14ac:dyDescent="0.2">
      <c r="A64" s="16">
        <f>'Stock Price'!A64</f>
        <v>44559</v>
      </c>
      <c r="B64" s="17">
        <f>'Stock Price'!E64</f>
        <v>135.36000000000001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278.42</v>
      </c>
      <c r="L64" s="18">
        <v>62.29</v>
      </c>
      <c r="M64" s="18">
        <v>171.55</v>
      </c>
      <c r="O64" s="19">
        <f ca="1">IF('Stock Price'!$I$11="OK",B64/INDEX(B$5:B$1258,'Stock Price'!$I$9)-1,"")</f>
        <v>0.23605150214592285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0.20564673277616596</v>
      </c>
      <c r="Y64" s="19">
        <f ca="1">IF('Stock Price'!$I$11="OK",L64/INDEX(L$5:L$1258,'Stock Price'!$I$9)-1,"")</f>
        <v>5.3085376162299358E-2</v>
      </c>
      <c r="Z64" s="19">
        <f ca="1">IF('Stock Price'!$I$11="OK",M64/INDEX(M$5:M$1258,'Stock Price'!$I$9)-1,"")</f>
        <v>7.500939967414455E-2</v>
      </c>
    </row>
    <row r="65" spans="1:26" x14ac:dyDescent="0.2">
      <c r="A65" s="16">
        <f>'Stock Price'!A65</f>
        <v>44560</v>
      </c>
      <c r="B65" s="17">
        <f>'Stock Price'!E65</f>
        <v>135.93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277.25</v>
      </c>
      <c r="L65" s="18">
        <v>62.52</v>
      </c>
      <c r="M65" s="18">
        <v>172.31</v>
      </c>
      <c r="O65" s="19">
        <f ca="1">IF('Stock Price'!$I$11="OK",B65/INDEX(B$5:B$1258,'Stock Price'!$I$9)-1,"")</f>
        <v>0.24125650625513662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0.20058026241718263</v>
      </c>
      <c r="Y65" s="19">
        <f ca="1">IF('Stock Price'!$I$11="OK",L65/INDEX(L$5:L$1258,'Stock Price'!$I$9)-1,"")</f>
        <v>5.6973795435333985E-2</v>
      </c>
      <c r="Z65" s="19">
        <f ca="1">IF('Stock Price'!$I$11="OK",M65/INDEX(M$5:M$1258,'Stock Price'!$I$9)-1,"")</f>
        <v>7.9771901240756948E-2</v>
      </c>
    </row>
    <row r="66" spans="1:26" x14ac:dyDescent="0.2">
      <c r="A66" s="16">
        <f>'Stock Price'!A66</f>
        <v>44561</v>
      </c>
      <c r="B66" s="17">
        <f>'Stock Price'!E66</f>
        <v>135.4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276.22000000000003</v>
      </c>
      <c r="L66" s="18">
        <v>62.35</v>
      </c>
      <c r="M66" s="18">
        <v>171.07</v>
      </c>
      <c r="O66" s="19">
        <f ca="1">IF('Stock Price'!$I$11="OK",B66/INDEX(B$5:B$1258,'Stock Price'!$I$9)-1,"")</f>
        <v>0.23641676559218339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0.19612003637465913</v>
      </c>
      <c r="Y66" s="19">
        <f ca="1">IF('Stock Price'!$I$11="OK",L66/INDEX(L$5:L$1258,'Stock Price'!$I$9)-1,"")</f>
        <v>5.4099746407438865E-2</v>
      </c>
      <c r="Z66" s="19">
        <f ca="1">IF('Stock Price'!$I$11="OK",M66/INDEX(M$5:M$1258,'Stock Price'!$I$9)-1,"")</f>
        <v>7.2001503947862977E-2</v>
      </c>
    </row>
    <row r="67" spans="1:26" x14ac:dyDescent="0.2">
      <c r="A67" s="16">
        <f>'Stock Price'!A67</f>
        <v>44564</v>
      </c>
      <c r="B67" s="17">
        <f>'Stock Price'!E67</f>
        <v>135.41999999999999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271.73</v>
      </c>
      <c r="L67" s="18">
        <v>61.88</v>
      </c>
      <c r="M67" s="18">
        <v>171.54</v>
      </c>
      <c r="O67" s="19">
        <f ca="1">IF('Stock Price'!$I$11="OK",B67/INDEX(B$5:B$1258,'Stock Price'!$I$9)-1,"")</f>
        <v>0.23659939731531354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0.1766769150824925</v>
      </c>
      <c r="Y67" s="19">
        <f ca="1">IF('Stock Price'!$I$11="OK",L67/INDEX(L$5:L$1258,'Stock Price'!$I$9)-1,"")</f>
        <v>4.6153846153846212E-2</v>
      </c>
      <c r="Z67" s="19">
        <f ca="1">IF('Stock Price'!$I$11="OK",M67/INDEX(M$5:M$1258,'Stock Price'!$I$9)-1,"")</f>
        <v>7.4946735179846957E-2</v>
      </c>
    </row>
    <row r="68" spans="1:26" x14ac:dyDescent="0.2">
      <c r="A68" s="16">
        <f>'Stock Price'!A68</f>
        <v>44565</v>
      </c>
      <c r="B68" s="17">
        <f>'Stock Price'!E68</f>
        <v>135.16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266.81</v>
      </c>
      <c r="L68" s="18">
        <v>62.13</v>
      </c>
      <c r="M68" s="18">
        <v>171.08</v>
      </c>
      <c r="O68" s="19">
        <f ca="1">IF('Stock Price'!$I$11="OK",B68/INDEX(B$5:B$1258,'Stock Price'!$I$9)-1,"")</f>
        <v>0.23422518491461952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0.15537175767548606</v>
      </c>
      <c r="Y68" s="19">
        <f ca="1">IF('Stock Price'!$I$11="OK",L68/INDEX(L$5:L$1258,'Stock Price'!$I$9)-1,"")</f>
        <v>5.0380388841927415E-2</v>
      </c>
      <c r="Z68" s="19">
        <f ca="1">IF('Stock Price'!$I$11="OK",M68/INDEX(M$5:M$1258,'Stock Price'!$I$9)-1,"")</f>
        <v>7.206416844216057E-2</v>
      </c>
    </row>
    <row r="69" spans="1:26" x14ac:dyDescent="0.2">
      <c r="A69" s="16">
        <f>'Stock Price'!A69</f>
        <v>44566</v>
      </c>
      <c r="B69" s="17">
        <f>'Stock Price'!E69</f>
        <v>135.87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260.64999999999998</v>
      </c>
      <c r="L69" s="18">
        <v>62.16</v>
      </c>
      <c r="M69" s="18">
        <v>172.22</v>
      </c>
      <c r="O69" s="19">
        <f ca="1">IF('Stock Price'!$I$11="OK",B69/INDEX(B$5:B$1258,'Stock Price'!$I$9)-1,"")</f>
        <v>0.24070861108574548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0.12869700775126658</v>
      </c>
      <c r="Y69" s="19">
        <f ca="1">IF('Stock Price'!$I$11="OK",L69/INDEX(L$5:L$1258,'Stock Price'!$I$9)-1,"")</f>
        <v>5.0887573964496946E-2</v>
      </c>
      <c r="Z69" s="19">
        <f ca="1">IF('Stock Price'!$I$11="OK",M69/INDEX(M$5:M$1258,'Stock Price'!$I$9)-1,"")</f>
        <v>7.9207920792079056E-2</v>
      </c>
    </row>
    <row r="70" spans="1:26" x14ac:dyDescent="0.2">
      <c r="A70" s="16">
        <f>'Stock Price'!A70</f>
        <v>44567</v>
      </c>
      <c r="B70" s="17">
        <f>'Stock Price'!E70</f>
        <v>135.22999999999999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259.33</v>
      </c>
      <c r="L70" s="18">
        <v>61.48</v>
      </c>
      <c r="M70" s="18">
        <v>171.63</v>
      </c>
      <c r="O70" s="19">
        <f ca="1">IF('Stock Price'!$I$11="OK",B70/INDEX(B$5:B$1258,'Stock Price'!$I$9)-1,"")</f>
        <v>0.23486439594557562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0.12298098991036244</v>
      </c>
      <c r="Y70" s="19">
        <f ca="1">IF('Stock Price'!$I$11="OK",L70/INDEX(L$5:L$1258,'Stock Price'!$I$9)-1,"")</f>
        <v>3.9391377852916243E-2</v>
      </c>
      <c r="Z70" s="19">
        <f ca="1">IF('Stock Price'!$I$11="OK",M70/INDEX(M$5:M$1258,'Stock Price'!$I$9)-1,"")</f>
        <v>7.5510715628524849E-2</v>
      </c>
    </row>
    <row r="71" spans="1:26" x14ac:dyDescent="0.2">
      <c r="A71" s="16">
        <f>'Stock Price'!A71</f>
        <v>44568</v>
      </c>
      <c r="B71" s="17">
        <f>'Stock Price'!E71</f>
        <v>134.88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259.5</v>
      </c>
      <c r="L71" s="18">
        <v>62.83</v>
      </c>
      <c r="M71" s="18">
        <v>173.95</v>
      </c>
      <c r="O71" s="19">
        <f ca="1">IF('Stock Price'!$I$11="OK",B71/INDEX(B$5:B$1258,'Stock Price'!$I$9)-1,"")</f>
        <v>0.23166834079079535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0.12371714372320608</v>
      </c>
      <c r="Y71" s="19">
        <f ca="1">IF('Stock Price'!$I$11="OK",L71/INDEX(L$5:L$1258,'Stock Price'!$I$9)-1,"")</f>
        <v>6.2214708368554472E-2</v>
      </c>
      <c r="Z71" s="19">
        <f ca="1">IF('Stock Price'!$I$11="OK",M71/INDEX(M$5:M$1258,'Stock Price'!$I$9)-1,"")</f>
        <v>9.0048878305551971E-2</v>
      </c>
    </row>
    <row r="72" spans="1:26" x14ac:dyDescent="0.2">
      <c r="A72" s="16">
        <f>'Stock Price'!A72</f>
        <v>44571</v>
      </c>
      <c r="B72" s="17">
        <f>'Stock Price'!E72</f>
        <v>136.38999999999999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260.11</v>
      </c>
      <c r="L72" s="18">
        <v>65.099999999999994</v>
      </c>
      <c r="M72" s="18">
        <v>173.09</v>
      </c>
      <c r="O72" s="19">
        <f ca="1">IF('Stock Price'!$I$11="OK",B72/INDEX(B$5:B$1258,'Stock Price'!$I$9)-1,"")</f>
        <v>0.2454570358871333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0.1263586368163514</v>
      </c>
      <c r="Y72" s="19">
        <f ca="1">IF('Stock Price'!$I$11="OK",L72/INDEX(L$5:L$1258,'Stock Price'!$I$9)-1,"")</f>
        <v>0.10059171597633121</v>
      </c>
      <c r="Z72" s="19">
        <f ca="1">IF('Stock Price'!$I$11="OK",M72/INDEX(M$5:M$1258,'Stock Price'!$I$9)-1,"")</f>
        <v>8.465973179596431E-2</v>
      </c>
    </row>
    <row r="73" spans="1:26" x14ac:dyDescent="0.2">
      <c r="A73" s="16">
        <f>'Stock Price'!A73</f>
        <v>44572</v>
      </c>
      <c r="B73" s="17">
        <f>'Stock Price'!E73</f>
        <v>136.97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262.32</v>
      </c>
      <c r="L73" s="18">
        <v>65.48</v>
      </c>
      <c r="M73" s="18">
        <v>171.25</v>
      </c>
      <c r="O73" s="19">
        <f ca="1">IF('Stock Price'!$I$11="OK",B73/INDEX(B$5:B$1258,'Stock Price'!$I$9)-1,"")</f>
        <v>0.25075335585791247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0.13592863638331965</v>
      </c>
      <c r="Y73" s="19">
        <f ca="1">IF('Stock Price'!$I$11="OK",L73/INDEX(L$5:L$1258,'Stock Price'!$I$9)-1,"")</f>
        <v>0.10701606086221482</v>
      </c>
      <c r="Z73" s="19">
        <f ca="1">IF('Stock Price'!$I$11="OK",M73/INDEX(M$5:M$1258,'Stock Price'!$I$9)-1,"")</f>
        <v>7.3129464845218539E-2</v>
      </c>
    </row>
    <row r="74" spans="1:26" x14ac:dyDescent="0.2">
      <c r="A74" s="16">
        <f>'Stock Price'!A74</f>
        <v>44573</v>
      </c>
      <c r="B74" s="17">
        <f>'Stock Price'!E74</f>
        <v>137.29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255.92</v>
      </c>
      <c r="L74" s="18">
        <v>64.819999999999993</v>
      </c>
      <c r="M74" s="18">
        <v>169.79</v>
      </c>
      <c r="O74" s="19">
        <f ca="1">IF('Stock Price'!$I$11="OK",B74/INDEX(B$5:B$1258,'Stock Price'!$I$9)-1,"")</f>
        <v>0.25367546342799741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0.10821461048802661</v>
      </c>
      <c r="Y74" s="19">
        <f ca="1">IF('Stock Price'!$I$11="OK",L74/INDEX(L$5:L$1258,'Stock Price'!$I$9)-1,"")</f>
        <v>9.5857988165680474E-2</v>
      </c>
      <c r="Z74" s="19">
        <f ca="1">IF('Stock Price'!$I$11="OK",M74/INDEX(M$5:M$1258,'Stock Price'!$I$9)-1,"")</f>
        <v>6.3980448677779078E-2</v>
      </c>
    </row>
    <row r="75" spans="1:26" x14ac:dyDescent="0.2">
      <c r="A75" s="16">
        <f>'Stock Price'!A75</f>
        <v>44574</v>
      </c>
      <c r="B75" s="17">
        <f>'Stock Price'!E75</f>
        <v>133.52000000000001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249.67</v>
      </c>
      <c r="L75" s="18">
        <v>64.599999999999994</v>
      </c>
      <c r="M75" s="18">
        <v>168.76</v>
      </c>
      <c r="O75" s="19">
        <f ca="1">IF('Stock Price'!$I$11="OK",B75/INDEX(B$5:B$1258,'Stock Price'!$I$9)-1,"")</f>
        <v>0.21924938361793456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8.1150132074654602E-2</v>
      </c>
      <c r="Y75" s="19">
        <f ca="1">IF('Stock Price'!$I$11="OK",L75/INDEX(L$5:L$1258,'Stock Price'!$I$9)-1,"")</f>
        <v>9.2138630600169025E-2</v>
      </c>
      <c r="Z75" s="19">
        <f ca="1">IF('Stock Price'!$I$11="OK",M75/INDEX(M$5:M$1258,'Stock Price'!$I$9)-1,"")</f>
        <v>5.7526005765133226E-2</v>
      </c>
    </row>
    <row r="76" spans="1:26" x14ac:dyDescent="0.2">
      <c r="A76" s="16">
        <f>'Stock Price'!A76</f>
        <v>44575</v>
      </c>
      <c r="B76" s="17">
        <f>'Stock Price'!E76</f>
        <v>135.87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244.12</v>
      </c>
      <c r="L76" s="18">
        <v>64.930000000000007</v>
      </c>
      <c r="M76" s="18">
        <v>167.84</v>
      </c>
      <c r="O76" s="19">
        <f ca="1">IF('Stock Price'!$I$11="OK",B76/INDEX(B$5:B$1258,'Stock Price'!$I$9)-1,"")</f>
        <v>0.24070861108574548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5.7116875243580223E-2</v>
      </c>
      <c r="Y76" s="19">
        <f ca="1">IF('Stock Price'!$I$11="OK",L76/INDEX(L$5:L$1258,'Stock Price'!$I$9)-1,"")</f>
        <v>9.771766694843631E-2</v>
      </c>
      <c r="Z76" s="19">
        <f ca="1">IF('Stock Price'!$I$11="OK",M76/INDEX(M$5:M$1258,'Stock Price'!$I$9)-1,"")</f>
        <v>5.1760872289760451E-2</v>
      </c>
    </row>
    <row r="77" spans="1:26" x14ac:dyDescent="0.2">
      <c r="A77" s="16">
        <f>'Stock Price'!A77</f>
        <v>44579</v>
      </c>
      <c r="B77" s="17">
        <f>'Stock Price'!E77</f>
        <v>136.78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247.07</v>
      </c>
      <c r="L77" s="18">
        <v>64.89</v>
      </c>
      <c r="M77" s="18">
        <v>167.1</v>
      </c>
      <c r="O77" s="19">
        <f ca="1">IF('Stock Price'!$I$11="OK",B77/INDEX(B$5:B$1258,'Stock Price'!$I$9)-1,"")</f>
        <v>0.24901835448817455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6.9891309054691764E-2</v>
      </c>
      <c r="Y77" s="19">
        <f ca="1">IF('Stock Price'!$I$11="OK",L77/INDEX(L$5:L$1258,'Stock Price'!$I$9)-1,"")</f>
        <v>9.7041420118343158E-2</v>
      </c>
      <c r="Z77" s="19">
        <f ca="1">IF('Stock Price'!$I$11="OK",M77/INDEX(M$5:M$1258,'Stock Price'!$I$9)-1,"")</f>
        <v>4.7123699711743239E-2</v>
      </c>
    </row>
    <row r="78" spans="1:26" x14ac:dyDescent="0.2">
      <c r="A78" s="16">
        <f>'Stock Price'!A78</f>
        <v>44580</v>
      </c>
      <c r="B78" s="17">
        <f>'Stock Price'!E78</f>
        <v>135.21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245.05</v>
      </c>
      <c r="L78" s="18">
        <v>64.72</v>
      </c>
      <c r="M78" s="18">
        <v>166.58</v>
      </c>
      <c r="O78" s="19">
        <f ca="1">IF('Stock Price'!$I$11="OK",B78/INDEX(B$5:B$1258,'Stock Price'!$I$9)-1,"")</f>
        <v>0.23468176422244547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6.1144069631489995E-2</v>
      </c>
      <c r="Y78" s="19">
        <f ca="1">IF('Stock Price'!$I$11="OK",L78/INDEX(L$5:L$1258,'Stock Price'!$I$9)-1,"")</f>
        <v>9.4167371090448038E-2</v>
      </c>
      <c r="Z78" s="19">
        <f ca="1">IF('Stock Price'!$I$11="OK",M78/INDEX(M$5:M$1258,'Stock Price'!$I$9)-1,"")</f>
        <v>4.3865146008271738E-2</v>
      </c>
    </row>
    <row r="79" spans="1:26" x14ac:dyDescent="0.2">
      <c r="A79" s="16">
        <f>'Stock Price'!A79</f>
        <v>44581</v>
      </c>
      <c r="B79" s="17">
        <f>'Stock Price'!E79</f>
        <v>133.03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243.13</v>
      </c>
      <c r="L79" s="18">
        <v>64.58</v>
      </c>
      <c r="M79" s="18">
        <v>165.25</v>
      </c>
      <c r="O79" s="19">
        <f ca="1">IF('Stock Price'!$I$11="OK",B79/INDEX(B$5:B$1258,'Stock Price'!$I$9)-1,"")</f>
        <v>0.21477490640124186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5.2829861862902172E-2</v>
      </c>
      <c r="Y79" s="19">
        <f ca="1">IF('Stock Price'!$I$11="OK",L79/INDEX(L$5:L$1258,'Stock Price'!$I$9)-1,"")</f>
        <v>9.1800507185122671E-2</v>
      </c>
      <c r="Z79" s="19">
        <f ca="1">IF('Stock Price'!$I$11="OK",M79/INDEX(M$5:M$1258,'Stock Price'!$I$9)-1,"")</f>
        <v>3.5530768266700097E-2</v>
      </c>
    </row>
    <row r="80" spans="1:26" x14ac:dyDescent="0.2">
      <c r="A80" s="16">
        <f>'Stock Price'!A80</f>
        <v>44582</v>
      </c>
      <c r="B80" s="17">
        <f>'Stock Price'!E80</f>
        <v>131.97999999999999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243.06</v>
      </c>
      <c r="L80" s="18">
        <v>63.54</v>
      </c>
      <c r="M80" s="18">
        <v>164.87</v>
      </c>
      <c r="O80" s="19">
        <f ca="1">IF('Stock Price'!$I$11="OK",B80/INDEX(B$5:B$1258,'Stock Price'!$I$9)-1,"")</f>
        <v>0.20518674093690059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5.2526739704672476E-2</v>
      </c>
      <c r="Y80" s="19">
        <f ca="1">IF('Stock Price'!$I$11="OK",L80/INDEX(L$5:L$1258,'Stock Price'!$I$9)-1,"")</f>
        <v>7.4218089602704929E-2</v>
      </c>
      <c r="Z80" s="19">
        <f ca="1">IF('Stock Price'!$I$11="OK",M80/INDEX(M$5:M$1258,'Stock Price'!$I$9)-1,"")</f>
        <v>3.3149517483393787E-2</v>
      </c>
    </row>
    <row r="81" spans="1:26" x14ac:dyDescent="0.2">
      <c r="A81" s="16">
        <f>'Stock Price'!A81</f>
        <v>44585</v>
      </c>
      <c r="B81" s="17">
        <f>'Stock Price'!E81</f>
        <v>132.16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240.42</v>
      </c>
      <c r="L81" s="18">
        <v>62.61</v>
      </c>
      <c r="M81" s="18">
        <v>162.97</v>
      </c>
      <c r="O81" s="19">
        <f ca="1">IF('Stock Price'!$I$11="OK",B81/INDEX(B$5:B$1258,'Stock Price'!$I$9)-1,"")</f>
        <v>0.20683042644507332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4.109470402286397E-2</v>
      </c>
      <c r="Y81" s="19">
        <f ca="1">IF('Stock Price'!$I$11="OK",L81/INDEX(L$5:L$1258,'Stock Price'!$I$9)-1,"")</f>
        <v>5.8495350803043022E-2</v>
      </c>
      <c r="Z81" s="19">
        <f ca="1">IF('Stock Price'!$I$11="OK",M81/INDEX(M$5:M$1258,'Stock Price'!$I$9)-1,"")</f>
        <v>2.1243263566862902E-2</v>
      </c>
    </row>
    <row r="82" spans="1:26" x14ac:dyDescent="0.2">
      <c r="A82" s="16">
        <f>'Stock Price'!A82</f>
        <v>44586</v>
      </c>
      <c r="B82" s="17">
        <f>'Stock Price'!E82</f>
        <v>133.09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239.46</v>
      </c>
      <c r="L82" s="18">
        <v>62.46</v>
      </c>
      <c r="M82" s="18">
        <v>167.63</v>
      </c>
      <c r="O82" s="19">
        <f ca="1">IF('Stock Price'!$I$11="OK",B82/INDEX(B$5:B$1258,'Stock Price'!$I$9)-1,"")</f>
        <v>0.21532280157063277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3.693760013857017E-2</v>
      </c>
      <c r="Y82" s="19">
        <f ca="1">IF('Stock Price'!$I$11="OK",L82/INDEX(L$5:L$1258,'Stock Price'!$I$9)-1,"")</f>
        <v>5.5959425190194478E-2</v>
      </c>
      <c r="Z82" s="19">
        <f ca="1">IF('Stock Price'!$I$11="OK",M82/INDEX(M$5:M$1258,'Stock Price'!$I$9)-1,"")</f>
        <v>5.0444917909512332E-2</v>
      </c>
    </row>
    <row r="83" spans="1:26" x14ac:dyDescent="0.2">
      <c r="A83" s="16">
        <f>'Stock Price'!A83</f>
        <v>44587</v>
      </c>
      <c r="B83" s="17">
        <f>'Stock Price'!E83</f>
        <v>134.22999999999999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237.86</v>
      </c>
      <c r="L83" s="18">
        <v>62.24</v>
      </c>
      <c r="M83" s="18">
        <v>168.38</v>
      </c>
      <c r="O83" s="19">
        <f ca="1">IF('Stock Price'!$I$11="OK",B83/INDEX(B$5:B$1258,'Stock Price'!$I$9)-1,"")</f>
        <v>0.2257328097890603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3.0009093664747022E-2</v>
      </c>
      <c r="Y83" s="19">
        <f ca="1">IF('Stock Price'!$I$11="OK",L83/INDEX(L$5:L$1258,'Stock Price'!$I$9)-1,"")</f>
        <v>5.2240067624683029E-2</v>
      </c>
      <c r="Z83" s="19">
        <f ca="1">IF('Stock Price'!$I$11="OK",M83/INDEX(M$5:M$1258,'Stock Price'!$I$9)-1,"")</f>
        <v>5.5144754981827138E-2</v>
      </c>
    </row>
    <row r="84" spans="1:26" x14ac:dyDescent="0.2">
      <c r="A84" s="16">
        <f>'Stock Price'!A84</f>
        <v>44588</v>
      </c>
      <c r="B84" s="17">
        <f>'Stock Price'!E84</f>
        <v>135.97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236.72</v>
      </c>
      <c r="L84" s="18">
        <v>63.86</v>
      </c>
      <c r="M84" s="18">
        <v>170.59</v>
      </c>
      <c r="O84" s="19">
        <f ca="1">IF('Stock Price'!$I$11="OK",B84/INDEX(B$5:B$1258,'Stock Price'!$I$9)-1,"")</f>
        <v>0.24162176970139715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2.5072532802147718E-2</v>
      </c>
      <c r="Y84" s="19">
        <f ca="1">IF('Stock Price'!$I$11="OK",L84/INDEX(L$5:L$1258,'Stock Price'!$I$9)-1,"")</f>
        <v>7.9628064243448815E-2</v>
      </c>
      <c r="Z84" s="19">
        <f ca="1">IF('Stock Price'!$I$11="OK",M84/INDEX(M$5:M$1258,'Stock Price'!$I$9)-1,"")</f>
        <v>6.8993608221581626E-2</v>
      </c>
    </row>
    <row r="85" spans="1:26" x14ac:dyDescent="0.2">
      <c r="A85" s="16">
        <f>'Stock Price'!A85</f>
        <v>44589</v>
      </c>
      <c r="B85" s="17">
        <f>'Stock Price'!E85</f>
        <v>137.91999999999999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245.1</v>
      </c>
      <c r="L85" s="18">
        <v>64.91</v>
      </c>
      <c r="M85" s="18">
        <v>171.79</v>
      </c>
      <c r="O85" s="19">
        <f ca="1">IF('Stock Price'!$I$11="OK",B85/INDEX(B$5:B$1258,'Stock Price'!$I$9)-1,"")</f>
        <v>0.25942836270660186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6.1360585458797079E-2</v>
      </c>
      <c r="Y85" s="19">
        <f ca="1">IF('Stock Price'!$I$11="OK",L85/INDEX(L$5:L$1258,'Stock Price'!$I$9)-1,"")</f>
        <v>9.7379543533389734E-2</v>
      </c>
      <c r="Z85" s="19">
        <f ca="1">IF('Stock Price'!$I$11="OK",M85/INDEX(M$5:M$1258,'Stock Price'!$I$9)-1,"")</f>
        <v>7.6513347537285226E-2</v>
      </c>
    </row>
    <row r="86" spans="1:26" x14ac:dyDescent="0.2">
      <c r="A86" s="16">
        <f>'Stock Price'!A86</f>
        <v>44592</v>
      </c>
      <c r="B86" s="17">
        <f>'Stock Price'!E86</f>
        <v>136.88999999999999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245.39</v>
      </c>
      <c r="L86" s="18">
        <v>64.89</v>
      </c>
      <c r="M86" s="18">
        <v>172.29</v>
      </c>
      <c r="O86" s="19">
        <f ca="1">IF('Stock Price'!$I$11="OK",B86/INDEX(B$5:B$1258,'Stock Price'!$I$9)-1,"")</f>
        <v>0.25002282896539119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6.2616377257177502E-2</v>
      </c>
      <c r="Y86" s="19">
        <f ca="1">IF('Stock Price'!$I$11="OK",L86/INDEX(L$5:L$1258,'Stock Price'!$I$9)-1,"")</f>
        <v>9.7041420118343158E-2</v>
      </c>
      <c r="Z86" s="19">
        <f ca="1">IF('Stock Price'!$I$11="OK",M86/INDEX(M$5:M$1258,'Stock Price'!$I$9)-1,"")</f>
        <v>7.9646572252161763E-2</v>
      </c>
    </row>
    <row r="87" spans="1:26" x14ac:dyDescent="0.2">
      <c r="A87" s="16">
        <f>'Stock Price'!A87</f>
        <v>44593</v>
      </c>
      <c r="B87" s="17">
        <f>'Stock Price'!E87</f>
        <v>137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248.28</v>
      </c>
      <c r="L87" s="18">
        <v>65.19</v>
      </c>
      <c r="M87" s="18">
        <v>170.88</v>
      </c>
      <c r="O87" s="19">
        <f ca="1">IF('Stock Price'!$I$11="OK",B87/INDEX(B$5:B$1258,'Stock Price'!$I$9)-1,"")</f>
        <v>0.25102730344260782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7.5130992075520764E-2</v>
      </c>
      <c r="Y87" s="19">
        <f ca="1">IF('Stock Price'!$I$11="OK",L87/INDEX(L$5:L$1258,'Stock Price'!$I$9)-1,"")</f>
        <v>0.10211327134404047</v>
      </c>
      <c r="Z87" s="19">
        <f ca="1">IF('Stock Price'!$I$11="OK",M87/INDEX(M$5:M$1258,'Stock Price'!$I$9)-1,"")</f>
        <v>7.0810878556210044E-2</v>
      </c>
    </row>
    <row r="88" spans="1:26" x14ac:dyDescent="0.2">
      <c r="A88" s="16">
        <f>'Stock Price'!A88</f>
        <v>44594</v>
      </c>
      <c r="B88" s="17">
        <f>'Stock Price'!E88</f>
        <v>138.62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250.83</v>
      </c>
      <c r="L88" s="18">
        <v>64.8</v>
      </c>
      <c r="M88" s="18">
        <v>172.77</v>
      </c>
      <c r="O88" s="19">
        <f ca="1">IF('Stock Price'!$I$11="OK",B88/INDEX(B$5:B$1258,'Stock Price'!$I$9)-1,"")</f>
        <v>0.26582047301616285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8.6173299268176518E-2</v>
      </c>
      <c r="Y88" s="19">
        <f ca="1">IF('Stock Price'!$I$11="OK",L88/INDEX(L$5:L$1258,'Stock Price'!$I$9)-1,"")</f>
        <v>9.5519864750633898E-2</v>
      </c>
      <c r="Z88" s="19">
        <f ca="1">IF('Stock Price'!$I$11="OK",M88/INDEX(M$5:M$1258,'Stock Price'!$I$9)-1,"")</f>
        <v>8.2654467978443336E-2</v>
      </c>
    </row>
    <row r="89" spans="1:26" x14ac:dyDescent="0.2">
      <c r="A89" s="16">
        <f>'Stock Price'!A89</f>
        <v>44595</v>
      </c>
      <c r="B89" s="17">
        <f>'Stock Price'!E89</f>
        <v>140.72999999999999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244.81</v>
      </c>
      <c r="L89" s="18">
        <v>64.069999999999993</v>
      </c>
      <c r="M89" s="18">
        <v>172.76</v>
      </c>
      <c r="O89" s="19">
        <f ca="1">IF('Stock Price'!$I$11="OK",B89/INDEX(B$5:B$1258,'Stock Price'!$I$9)-1,"")</f>
        <v>0.28508811980641013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6.0104793660416655E-2</v>
      </c>
      <c r="Y89" s="19">
        <f ca="1">IF('Stock Price'!$I$11="OK",L89/INDEX(L$5:L$1258,'Stock Price'!$I$9)-1,"")</f>
        <v>8.3178360101436866E-2</v>
      </c>
      <c r="Z89" s="19">
        <f ca="1">IF('Stock Price'!$I$11="OK",M89/INDEX(M$5:M$1258,'Stock Price'!$I$9)-1,"")</f>
        <v>8.2591803484145743E-2</v>
      </c>
    </row>
    <row r="90" spans="1:26" x14ac:dyDescent="0.2">
      <c r="A90" s="16">
        <f>'Stock Price'!A90</f>
        <v>44596</v>
      </c>
      <c r="B90" s="17">
        <f>'Stock Price'!E90</f>
        <v>140.65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242.27</v>
      </c>
      <c r="L90" s="18">
        <v>64.989999999999995</v>
      </c>
      <c r="M90" s="18">
        <v>171.63</v>
      </c>
      <c r="O90" s="19">
        <f ca="1">IF('Stock Price'!$I$11="OK",B90/INDEX(B$5:B$1258,'Stock Price'!$I$9)-1,"")</f>
        <v>0.28435759291388907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4.9105789633222097E-2</v>
      </c>
      <c r="Y90" s="19">
        <f ca="1">IF('Stock Price'!$I$11="OK",L90/INDEX(L$5:L$1258,'Stock Price'!$I$9)-1,"")</f>
        <v>9.8732037193575595E-2</v>
      </c>
      <c r="Z90" s="19">
        <f ca="1">IF('Stock Price'!$I$11="OK",M90/INDEX(M$5:M$1258,'Stock Price'!$I$9)-1,"")</f>
        <v>7.5510715628524849E-2</v>
      </c>
    </row>
    <row r="91" spans="1:26" x14ac:dyDescent="0.2">
      <c r="A91" s="16">
        <f>'Stock Price'!A91</f>
        <v>44599</v>
      </c>
      <c r="B91" s="17">
        <f>'Stock Price'!E91</f>
        <v>142.53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243.55</v>
      </c>
      <c r="L91" s="18">
        <v>66.19</v>
      </c>
      <c r="M91" s="18">
        <v>171.06</v>
      </c>
      <c r="O91" s="19">
        <f ca="1">IF('Stock Price'!$I$11="OK",B91/INDEX(B$5:B$1258,'Stock Price'!$I$9)-1,"")</f>
        <v>0.30152497488813812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5.4648594812280793E-2</v>
      </c>
      <c r="Y91" s="19">
        <f ca="1">IF('Stock Price'!$I$11="OK",L91/INDEX(L$5:L$1258,'Stock Price'!$I$9)-1,"")</f>
        <v>0.11901944209636506</v>
      </c>
      <c r="Z91" s="19">
        <f ca="1">IF('Stock Price'!$I$11="OK",M91/INDEX(M$5:M$1258,'Stock Price'!$I$9)-1,"")</f>
        <v>7.1938839453565606E-2</v>
      </c>
    </row>
    <row r="92" spans="1:26" x14ac:dyDescent="0.2">
      <c r="A92" s="16">
        <f>'Stock Price'!A92</f>
        <v>44600</v>
      </c>
      <c r="B92" s="17">
        <f>'Stock Price'!E92</f>
        <v>143.51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239.91</v>
      </c>
      <c r="L92" s="18">
        <v>65.89</v>
      </c>
      <c r="M92" s="18">
        <v>171.51</v>
      </c>
      <c r="O92" s="19">
        <f ca="1">IF('Stock Price'!$I$11="OK",B92/INDEX(B$5:B$1258,'Stock Price'!$I$9)-1,"")</f>
        <v>0.31047392932152307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3.888624258433282E-2</v>
      </c>
      <c r="Y92" s="19">
        <f ca="1">IF('Stock Price'!$I$11="OK",L92/INDEX(L$5:L$1258,'Stock Price'!$I$9)-1,"")</f>
        <v>0.11394759087066775</v>
      </c>
      <c r="Z92" s="19">
        <f ca="1">IF('Stock Price'!$I$11="OK",M92/INDEX(M$5:M$1258,'Stock Price'!$I$9)-1,"")</f>
        <v>7.4758741696954401E-2</v>
      </c>
    </row>
    <row r="93" spans="1:26" x14ac:dyDescent="0.2">
      <c r="A93" s="16">
        <f>'Stock Price'!A93</f>
        <v>44601</v>
      </c>
      <c r="B93" s="17">
        <f>'Stock Price'!E93</f>
        <v>143.19999999999999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243.27</v>
      </c>
      <c r="L93" s="18">
        <v>67.14</v>
      </c>
      <c r="M93" s="18">
        <v>171.49</v>
      </c>
      <c r="O93" s="19">
        <f ca="1">IF('Stock Price'!$I$11="OK",B93/INDEX(B$5:B$1258,'Stock Price'!$I$9)-1,"")</f>
        <v>0.3076431376130031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5.3436106179361786E-2</v>
      </c>
      <c r="Y93" s="19">
        <f ca="1">IF('Stock Price'!$I$11="OK",L93/INDEX(L$5:L$1258,'Stock Price'!$I$9)-1,"")</f>
        <v>0.13508030431107354</v>
      </c>
      <c r="Z93" s="19">
        <f ca="1">IF('Stock Price'!$I$11="OK",M93/INDEX(M$5:M$1258,'Stock Price'!$I$9)-1,"")</f>
        <v>7.4633412708359437E-2</v>
      </c>
    </row>
    <row r="94" spans="1:26" x14ac:dyDescent="0.2">
      <c r="A94" s="16">
        <f>'Stock Price'!A94</f>
        <v>44602</v>
      </c>
      <c r="B94" s="17">
        <f>'Stock Price'!E94</f>
        <v>142.71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239.64</v>
      </c>
      <c r="L94" s="18">
        <v>66.510000000000005</v>
      </c>
      <c r="M94" s="18">
        <v>169.42</v>
      </c>
      <c r="O94" s="19">
        <f ca="1">IF('Stock Price'!$I$11="OK",B94/INDEX(B$5:B$1258,'Stock Price'!$I$9)-1,"")</f>
        <v>0.30316866039631085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3.771705711687523E-2</v>
      </c>
      <c r="Y94" s="19">
        <f ca="1">IF('Stock Price'!$I$11="OK",L94/INDEX(L$5:L$1258,'Stock Price'!$I$9)-1,"")</f>
        <v>0.12442941673710917</v>
      </c>
      <c r="Z94" s="19">
        <f ca="1">IF('Stock Price'!$I$11="OK",M94/INDEX(M$5:M$1258,'Stock Price'!$I$9)-1,"")</f>
        <v>6.1661862388770361E-2</v>
      </c>
    </row>
    <row r="95" spans="1:26" x14ac:dyDescent="0.2">
      <c r="A95" s="16">
        <f>'Stock Price'!A95</f>
        <v>44603</v>
      </c>
      <c r="B95" s="17">
        <f>'Stock Price'!E95</f>
        <v>142.01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235.74</v>
      </c>
      <c r="L95" s="18">
        <v>66.88</v>
      </c>
      <c r="M95" s="18">
        <v>167.71</v>
      </c>
      <c r="O95" s="19">
        <f ca="1">IF('Stock Price'!$I$11="OK",B95/INDEX(B$5:B$1258,'Stock Price'!$I$9)-1,"")</f>
        <v>0.29677655008674986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2.0828822586931084E-2</v>
      </c>
      <c r="Y95" s="19">
        <f ca="1">IF('Stock Price'!$I$11="OK",L95/INDEX(L$5:L$1258,'Stock Price'!$I$9)-1,"")</f>
        <v>0.13068469991546916</v>
      </c>
      <c r="Z95" s="19">
        <f ca="1">IF('Stock Price'!$I$11="OK",M95/INDEX(M$5:M$1258,'Stock Price'!$I$9)-1,"")</f>
        <v>5.0946233863892632E-2</v>
      </c>
    </row>
    <row r="96" spans="1:26" x14ac:dyDescent="0.2">
      <c r="A96" s="16">
        <f>'Stock Price'!A96</f>
        <v>44606</v>
      </c>
      <c r="B96" s="17">
        <f>'Stock Price'!E96</f>
        <v>143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234.69</v>
      </c>
      <c r="L96" s="18">
        <v>66.81</v>
      </c>
      <c r="M96" s="18">
        <v>165.6</v>
      </c>
      <c r="O96" s="19">
        <f ca="1">IF('Stock Price'!$I$11="OK",B96/INDEX(B$5:B$1258,'Stock Price'!$I$9)-1,"")</f>
        <v>0.30581682038170022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1.6281990213484532E-2</v>
      </c>
      <c r="Y96" s="19">
        <f ca="1">IF('Stock Price'!$I$11="OK",L96/INDEX(L$5:L$1258,'Stock Price'!$I$9)-1,"")</f>
        <v>0.12950126796280648</v>
      </c>
      <c r="Z96" s="19">
        <f ca="1">IF('Stock Price'!$I$11="OK",M96/INDEX(M$5:M$1258,'Stock Price'!$I$9)-1,"")</f>
        <v>3.7724025567113628E-2</v>
      </c>
    </row>
    <row r="97" spans="1:26" x14ac:dyDescent="0.2">
      <c r="A97" s="16">
        <f>'Stock Price'!A97</f>
        <v>44607</v>
      </c>
      <c r="B97" s="17">
        <f>'Stock Price'!E97</f>
        <v>144.76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243.84</v>
      </c>
      <c r="L97" s="18">
        <v>67.77</v>
      </c>
      <c r="M97" s="18">
        <v>167.31</v>
      </c>
      <c r="O97" s="19">
        <f ca="1">IF('Stock Price'!$I$11="OK",B97/INDEX(B$5:B$1258,'Stock Price'!$I$9)-1,"")</f>
        <v>0.32188841201716722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5.5904386610661216E-2</v>
      </c>
      <c r="Y97" s="19">
        <f ca="1">IF('Stock Price'!$I$11="OK",L97/INDEX(L$5:L$1258,'Stock Price'!$I$9)-1,"")</f>
        <v>0.14573119188503791</v>
      </c>
      <c r="Z97" s="19">
        <f ca="1">IF('Stock Price'!$I$11="OK",M97/INDEX(M$5:M$1258,'Stock Price'!$I$9)-1,"")</f>
        <v>4.8439654091991358E-2</v>
      </c>
    </row>
    <row r="98" spans="1:26" x14ac:dyDescent="0.2">
      <c r="A98" s="16">
        <f>'Stock Price'!A98</f>
        <v>44608</v>
      </c>
      <c r="B98" s="17">
        <f>'Stock Price'!E98</f>
        <v>145.87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245.58</v>
      </c>
      <c r="L98" s="18">
        <v>67.599999999999994</v>
      </c>
      <c r="M98" s="18">
        <v>167.21</v>
      </c>
      <c r="O98" s="19">
        <f ca="1">IF('Stock Price'!$I$11="OK",B98/INDEX(B$5:B$1258,'Stock Price'!$I$9)-1,"")</f>
        <v>0.3320244726508994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6.3439137400943979E-2</v>
      </c>
      <c r="Y98" s="19">
        <f ca="1">IF('Stock Price'!$I$11="OK",L98/INDEX(L$5:L$1258,'Stock Price'!$I$9)-1,"")</f>
        <v>0.14285714285714279</v>
      </c>
      <c r="Z98" s="19">
        <f ca="1">IF('Stock Price'!$I$11="OK",M98/INDEX(M$5:M$1258,'Stock Price'!$I$9)-1,"")</f>
        <v>4.7813009149016095E-2</v>
      </c>
    </row>
    <row r="99" spans="1:26" x14ac:dyDescent="0.2">
      <c r="A99" s="16">
        <f>'Stock Price'!A99</f>
        <v>44609</v>
      </c>
      <c r="B99" s="17">
        <f>'Stock Price'!E99</f>
        <v>144.97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240.97</v>
      </c>
      <c r="L99" s="18">
        <v>67.39</v>
      </c>
      <c r="M99" s="18">
        <v>166.19</v>
      </c>
      <c r="O99" s="19">
        <f ca="1">IF('Stock Price'!$I$11="OK",B99/INDEX(B$5:B$1258,'Stock Price'!$I$9)-1,"")</f>
        <v>0.32380604511003552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4.3476378123240789E-2</v>
      </c>
      <c r="Y99" s="19">
        <f ca="1">IF('Stock Price'!$I$11="OK",L99/INDEX(L$5:L$1258,'Stock Price'!$I$9)-1,"")</f>
        <v>0.13930684699915474</v>
      </c>
      <c r="Z99" s="19">
        <f ca="1">IF('Stock Price'!$I$11="OK",M99/INDEX(M$5:M$1258,'Stock Price'!$I$9)-1,"")</f>
        <v>4.1421230730667835E-2</v>
      </c>
    </row>
    <row r="100" spans="1:26" x14ac:dyDescent="0.2">
      <c r="A100" s="16">
        <f>'Stock Price'!A100</f>
        <v>44610</v>
      </c>
      <c r="B100" s="17">
        <f>'Stock Price'!E100</f>
        <v>144.03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240.31</v>
      </c>
      <c r="L100" s="18">
        <v>67.55</v>
      </c>
      <c r="M100" s="18">
        <v>163.36000000000001</v>
      </c>
      <c r="O100" s="19">
        <f ca="1">IF('Stock Price'!$I$11="OK",B100/INDEX(B$5:B$1258,'Stock Price'!$I$9)-1,"")</f>
        <v>0.31522235412291111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4.0618369202788607E-2</v>
      </c>
      <c r="Y100" s="19">
        <f ca="1">IF('Stock Price'!$I$11="OK",L100/INDEX(L$5:L$1258,'Stock Price'!$I$9)-1,"")</f>
        <v>0.14201183431952669</v>
      </c>
      <c r="Z100" s="19">
        <f ca="1">IF('Stock Price'!$I$11="OK",M100/INDEX(M$5:M$1258,'Stock Price'!$I$9)-1,"")</f>
        <v>2.3687178844466805E-2</v>
      </c>
    </row>
    <row r="101" spans="1:26" x14ac:dyDescent="0.2">
      <c r="A101" s="16">
        <f>'Stock Price'!A101</f>
        <v>44614</v>
      </c>
      <c r="B101" s="17">
        <f>'Stock Price'!E101</f>
        <v>145.56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239.13</v>
      </c>
      <c r="L101" s="18">
        <v>67.45</v>
      </c>
      <c r="M101" s="18">
        <v>161.13999999999999</v>
      </c>
      <c r="O101" s="19">
        <f ca="1">IF('Stock Price'!$I$11="OK",B101/INDEX(B$5:B$1258,'Stock Price'!$I$9)-1,"")</f>
        <v>0.32919368094237966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3.5508595678344079E-2</v>
      </c>
      <c r="Y101" s="19">
        <f ca="1">IF('Stock Price'!$I$11="OK",L101/INDEX(L$5:L$1258,'Stock Price'!$I$9)-1,"")</f>
        <v>0.14032121724429425</v>
      </c>
      <c r="Z101" s="19">
        <f ca="1">IF('Stock Price'!$I$11="OK",M101/INDEX(M$5:M$1258,'Stock Price'!$I$9)-1,"")</f>
        <v>9.775661110414724E-3</v>
      </c>
    </row>
    <row r="102" spans="1:26" x14ac:dyDescent="0.2">
      <c r="A102" s="16">
        <f>'Stock Price'!A102</f>
        <v>44615</v>
      </c>
      <c r="B102" s="17">
        <f>'Stock Price'!E102</f>
        <v>146.76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238.31</v>
      </c>
      <c r="L102" s="18">
        <v>67.930000000000007</v>
      </c>
      <c r="M102" s="18">
        <v>161.22</v>
      </c>
      <c r="O102" s="19">
        <f ca="1">IF('Stock Price'!$I$11="OK",B102/INDEX(B$5:B$1258,'Stock Price'!$I$9)-1,"")</f>
        <v>0.3401515843301981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3.1957736110509671E-2</v>
      </c>
      <c r="Y102" s="19">
        <f ca="1">IF('Stock Price'!$I$11="OK",L102/INDEX(L$5:L$1258,'Stock Price'!$I$9)-1,"")</f>
        <v>0.14843617920541008</v>
      </c>
      <c r="Z102" s="19">
        <f ca="1">IF('Stock Price'!$I$11="OK",M102/INDEX(M$5:M$1258,'Stock Price'!$I$9)-1,"")</f>
        <v>1.0276977064795023E-2</v>
      </c>
    </row>
    <row r="103" spans="1:26" x14ac:dyDescent="0.2">
      <c r="A103" s="16">
        <f>'Stock Price'!A103</f>
        <v>44616</v>
      </c>
      <c r="B103" s="17">
        <f>'Stock Price'!E103</f>
        <v>145.27000000000001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243.08</v>
      </c>
      <c r="L103" s="18">
        <v>67.099999999999994</v>
      </c>
      <c r="M103" s="18">
        <v>158.13999999999999</v>
      </c>
      <c r="O103" s="19">
        <f ca="1">IF('Stock Price'!$I$11="OK",B103/INDEX(B$5:B$1258,'Stock Price'!$I$9)-1,"")</f>
        <v>0.3265455209569903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5.261334603559531E-2</v>
      </c>
      <c r="Y103" s="19">
        <f ca="1">IF('Stock Price'!$I$11="OK",L103/INDEX(L$5:L$1258,'Stock Price'!$I$9)-1,"")</f>
        <v>0.13440405748098039</v>
      </c>
      <c r="Z103" s="19">
        <f ca="1">IF('Stock Price'!$I$11="OK",M103/INDEX(M$5:M$1258,'Stock Price'!$I$9)-1,"")</f>
        <v>-9.0236871788446082E-3</v>
      </c>
    </row>
    <row r="104" spans="1:26" x14ac:dyDescent="0.2">
      <c r="A104" s="16">
        <f>'Stock Price'!A104</f>
        <v>44617</v>
      </c>
      <c r="B104" s="17">
        <f>'Stock Price'!E104</f>
        <v>149.54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250.85</v>
      </c>
      <c r="L104" s="18">
        <v>68.8</v>
      </c>
      <c r="M104" s="18">
        <v>166</v>
      </c>
      <c r="O104" s="19">
        <f ca="1">IF('Stock Price'!$I$11="OK",B104/INDEX(B$5:B$1258,'Stock Price'!$I$9)-1,"")</f>
        <v>0.36553739384531081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8.6259905599099129E-2</v>
      </c>
      <c r="Y104" s="19">
        <f ca="1">IF('Stock Price'!$I$11="OK",L104/INDEX(L$5:L$1258,'Stock Price'!$I$9)-1,"")</f>
        <v>0.16314454775993226</v>
      </c>
      <c r="Z104" s="19">
        <f ca="1">IF('Stock Price'!$I$11="OK",M104/INDEX(M$5:M$1258,'Stock Price'!$I$9)-1,"")</f>
        <v>4.0230605339014902E-2</v>
      </c>
    </row>
    <row r="105" spans="1:26" x14ac:dyDescent="0.2">
      <c r="A105" s="16">
        <f>'Stock Price'!A105</f>
        <v>44620</v>
      </c>
      <c r="B105" s="17">
        <f>'Stock Price'!E105</f>
        <v>147.77000000000001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249.95</v>
      </c>
      <c r="L105" s="18">
        <v>68.67</v>
      </c>
      <c r="M105" s="18">
        <v>164.57</v>
      </c>
      <c r="O105" s="19">
        <f ca="1">IF('Stock Price'!$I$11="OK",B105/INDEX(B$5:B$1258,'Stock Price'!$I$9)-1,"")</f>
        <v>0.34937448634827883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8.2362620707573608E-2</v>
      </c>
      <c r="Y105" s="19">
        <f ca="1">IF('Stock Price'!$I$11="OK",L105/INDEX(L$5:L$1258,'Stock Price'!$I$9)-1,"")</f>
        <v>0.16094674556213029</v>
      </c>
      <c r="Z105" s="19">
        <f ca="1">IF('Stock Price'!$I$11="OK",M105/INDEX(M$5:M$1258,'Stock Price'!$I$9)-1,"")</f>
        <v>3.1269582654467776E-2</v>
      </c>
    </row>
    <row r="106" spans="1:26" x14ac:dyDescent="0.2">
      <c r="A106" s="16">
        <f>'Stock Price'!A106</f>
        <v>44621</v>
      </c>
      <c r="B106" s="17">
        <f>'Stock Price'!E106</f>
        <v>147.69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249.5</v>
      </c>
      <c r="L106" s="18">
        <v>68.63</v>
      </c>
      <c r="M106" s="18">
        <v>164</v>
      </c>
      <c r="O106" s="19">
        <f ca="1">IF('Stock Price'!$I$11="OK",B106/INDEX(B$5:B$1258,'Stock Price'!$I$9)-1,"")</f>
        <v>0.34864395945575732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8.0413978261810959E-2</v>
      </c>
      <c r="Y106" s="19">
        <f ca="1">IF('Stock Price'!$I$11="OK",L106/INDEX(L$5:L$1258,'Stock Price'!$I$9)-1,"")</f>
        <v>0.16027049873203714</v>
      </c>
      <c r="Z106" s="19">
        <f ca="1">IF('Stock Price'!$I$11="OK",M106/INDEX(M$5:M$1258,'Stock Price'!$I$9)-1,"")</f>
        <v>2.7697706479508533E-2</v>
      </c>
    </row>
    <row r="107" spans="1:26" x14ac:dyDescent="0.2">
      <c r="A107" s="16">
        <f>'Stock Price'!A107</f>
        <v>44622</v>
      </c>
      <c r="B107" s="17">
        <f>'Stock Price'!E107</f>
        <v>149.57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254.17</v>
      </c>
      <c r="L107" s="18">
        <v>68.849999999999994</v>
      </c>
      <c r="M107" s="18">
        <v>166.04</v>
      </c>
      <c r="O107" s="19">
        <f ca="1">IF('Stock Price'!$I$11="OK",B107/INDEX(B$5:B$1258,'Stock Price'!$I$9)-1,"")</f>
        <v>0.36581134143000638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0.10063655653228243</v>
      </c>
      <c r="Y107" s="19">
        <f ca="1">IF('Stock Price'!$I$11="OK",L107/INDEX(L$5:L$1258,'Stock Price'!$I$9)-1,"")</f>
        <v>0.16398985629754859</v>
      </c>
      <c r="Z107" s="19">
        <f ca="1">IF('Stock Price'!$I$11="OK",M107/INDEX(M$5:M$1258,'Stock Price'!$I$9)-1,"")</f>
        <v>4.048126331620483E-2</v>
      </c>
    </row>
    <row r="108" spans="1:26" x14ac:dyDescent="0.2">
      <c r="A108" s="16">
        <f>'Stock Price'!A108</f>
        <v>44623</v>
      </c>
      <c r="B108" s="17">
        <f>'Stock Price'!E108</f>
        <v>150.41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258.64</v>
      </c>
      <c r="L108" s="18">
        <v>69.11</v>
      </c>
      <c r="M108" s="18">
        <v>168.48</v>
      </c>
      <c r="O108" s="19">
        <f ca="1">IF('Stock Price'!$I$11="OK",B108/INDEX(B$5:B$1258,'Stock Price'!$I$9)-1,"")</f>
        <v>0.37348187380147913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0.119993071493526</v>
      </c>
      <c r="Y108" s="19">
        <f ca="1">IF('Stock Price'!$I$11="OK",L108/INDEX(L$5:L$1258,'Stock Price'!$I$9)-1,"")</f>
        <v>0.16838546069315297</v>
      </c>
      <c r="Z108" s="19">
        <f ca="1">IF('Stock Price'!$I$11="OK",M108/INDEX(M$5:M$1258,'Stock Price'!$I$9)-1,"")</f>
        <v>5.5771399924802401E-2</v>
      </c>
    </row>
    <row r="109" spans="1:26" x14ac:dyDescent="0.2">
      <c r="A109" s="16">
        <f>'Stock Price'!A109</f>
        <v>44624</v>
      </c>
      <c r="B109" s="17">
        <f>'Stock Price'!E109</f>
        <v>150.56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262.87</v>
      </c>
      <c r="L109" s="18">
        <v>69.36</v>
      </c>
      <c r="M109" s="18">
        <v>169.48</v>
      </c>
      <c r="O109" s="19">
        <f ca="1">IF('Stock Price'!$I$11="OK",B109/INDEX(B$5:B$1258,'Stock Price'!$I$9)-1,"")</f>
        <v>0.37485161172495651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0.13831031048369624</v>
      </c>
      <c r="Y109" s="19">
        <f ca="1">IF('Stock Price'!$I$11="OK",L109/INDEX(L$5:L$1258,'Stock Price'!$I$9)-1,"")</f>
        <v>0.17261200338123417</v>
      </c>
      <c r="Z109" s="19">
        <f ca="1">IF('Stock Price'!$I$11="OK",M109/INDEX(M$5:M$1258,'Stock Price'!$I$9)-1,"")</f>
        <v>6.2037849354555474E-2</v>
      </c>
    </row>
    <row r="110" spans="1:26" x14ac:dyDescent="0.2">
      <c r="A110" s="16">
        <f>'Stock Price'!A110</f>
        <v>44627</v>
      </c>
      <c r="B110" s="17">
        <f>'Stock Price'!E110</f>
        <v>149.44999999999999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261.64</v>
      </c>
      <c r="L110" s="18">
        <v>68.77</v>
      </c>
      <c r="M110" s="18">
        <v>172.21</v>
      </c>
      <c r="O110" s="19">
        <f ca="1">IF('Stock Price'!$I$11="OK",B110/INDEX(B$5:B$1258,'Stock Price'!$I$9)-1,"")</f>
        <v>0.36471555109122433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0.13298402113194463</v>
      </c>
      <c r="Y110" s="19">
        <f ca="1">IF('Stock Price'!$I$11="OK",L110/INDEX(L$5:L$1258,'Stock Price'!$I$9)-1,"")</f>
        <v>0.1626373626373625</v>
      </c>
      <c r="Z110" s="19">
        <f ca="1">IF('Stock Price'!$I$11="OK",M110/INDEX(M$5:M$1258,'Stock Price'!$I$9)-1,"")</f>
        <v>7.9145256297781685E-2</v>
      </c>
    </row>
    <row r="111" spans="1:26" x14ac:dyDescent="0.2">
      <c r="A111" s="16">
        <f>'Stock Price'!A111</f>
        <v>44628</v>
      </c>
      <c r="B111" s="17">
        <f>'Stock Price'!E111</f>
        <v>147.15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259.93</v>
      </c>
      <c r="L111" s="18">
        <v>67.739999999999995</v>
      </c>
      <c r="M111" s="18">
        <v>168.72</v>
      </c>
      <c r="O111" s="19">
        <f ca="1">IF('Stock Price'!$I$11="OK",B111/INDEX(B$5:B$1258,'Stock Price'!$I$9)-1,"")</f>
        <v>0.34371290293123913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0.12557917983804612</v>
      </c>
      <c r="Y111" s="19">
        <f ca="1">IF('Stock Price'!$I$11="OK",L111/INDEX(L$5:L$1258,'Stock Price'!$I$9)-1,"")</f>
        <v>0.14522400676246816</v>
      </c>
      <c r="Z111" s="19">
        <f ca="1">IF('Stock Price'!$I$11="OK",M111/INDEX(M$5:M$1258,'Stock Price'!$I$9)-1,"")</f>
        <v>5.7275347787943298E-2</v>
      </c>
    </row>
    <row r="112" spans="1:26" x14ac:dyDescent="0.2">
      <c r="A112" s="16">
        <f>'Stock Price'!A112</f>
        <v>44629</v>
      </c>
      <c r="B112" s="17">
        <f>'Stock Price'!E112</f>
        <v>148.84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262.79000000000002</v>
      </c>
      <c r="L112" s="18">
        <v>68.13</v>
      </c>
      <c r="M112" s="18">
        <v>169.36</v>
      </c>
      <c r="O112" s="19">
        <f ca="1">IF('Stock Price'!$I$11="OK",B112/INDEX(B$5:B$1258,'Stock Price'!$I$9)-1,"")</f>
        <v>0.35914528353575004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0.13796388516000535</v>
      </c>
      <c r="Y112" s="19">
        <f ca="1">IF('Stock Price'!$I$11="OK",L112/INDEX(L$5:L$1258,'Stock Price'!$I$9)-1,"")</f>
        <v>0.15181741335587495</v>
      </c>
      <c r="Z112" s="19">
        <f ca="1">IF('Stock Price'!$I$11="OK",M112/INDEX(M$5:M$1258,'Stock Price'!$I$9)-1,"")</f>
        <v>6.1285875422985248E-2</v>
      </c>
    </row>
    <row r="113" spans="1:26" x14ac:dyDescent="0.2">
      <c r="A113" s="16">
        <f>'Stock Price'!A113</f>
        <v>44630</v>
      </c>
      <c r="B113" s="17">
        <f>'Stock Price'!E113</f>
        <v>149.16999999999999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266.02</v>
      </c>
      <c r="L113" s="18">
        <v>68.42</v>
      </c>
      <c r="M113" s="18">
        <v>169.66</v>
      </c>
      <c r="O113" s="19">
        <f ca="1">IF('Stock Price'!$I$11="OK",B113/INDEX(B$5:B$1258,'Stock Price'!$I$9)-1,"")</f>
        <v>0.36215870696740016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0.15195080760403568</v>
      </c>
      <c r="Y113" s="19">
        <f ca="1">IF('Stock Price'!$I$11="OK",L113/INDEX(L$5:L$1258,'Stock Price'!$I$9)-1,"")</f>
        <v>0.15672020287404909</v>
      </c>
      <c r="Z113" s="19">
        <f ca="1">IF('Stock Price'!$I$11="OK",M113/INDEX(M$5:M$1258,'Stock Price'!$I$9)-1,"")</f>
        <v>6.3165810251911259E-2</v>
      </c>
    </row>
    <row r="114" spans="1:26" x14ac:dyDescent="0.2">
      <c r="A114" s="16">
        <f>'Stock Price'!A114</f>
        <v>44631</v>
      </c>
      <c r="B114" s="17">
        <f>'Stock Price'!E114</f>
        <v>149.06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266.3</v>
      </c>
      <c r="L114" s="18">
        <v>68.87</v>
      </c>
      <c r="M114" s="18">
        <v>169.35</v>
      </c>
      <c r="O114" s="19">
        <f ca="1">IF('Stock Price'!$I$11="OK",B114/INDEX(B$5:B$1258,'Stock Price'!$I$9)-1,"")</f>
        <v>0.36115423249018352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0.1531632962369549</v>
      </c>
      <c r="Y114" s="19">
        <f ca="1">IF('Stock Price'!$I$11="OK",L114/INDEX(L$5:L$1258,'Stock Price'!$I$9)-1,"")</f>
        <v>0.16432797971259516</v>
      </c>
      <c r="Z114" s="19">
        <f ca="1">IF('Stock Price'!$I$11="OK",M114/INDEX(M$5:M$1258,'Stock Price'!$I$9)-1,"")</f>
        <v>6.1223210928687655E-2</v>
      </c>
    </row>
    <row r="115" spans="1:26" x14ac:dyDescent="0.2">
      <c r="A115" s="16">
        <f>'Stock Price'!A115</f>
        <v>44634</v>
      </c>
      <c r="B115" s="17">
        <f>'Stock Price'!E115</f>
        <v>152.1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269</v>
      </c>
      <c r="L115" s="18">
        <v>69.239999999999995</v>
      </c>
      <c r="M115" s="18">
        <v>171.69</v>
      </c>
      <c r="O115" s="19">
        <f ca="1">IF('Stock Price'!$I$11="OK",B115/INDEX(B$5:B$1258,'Stock Price'!$I$9)-1,"")</f>
        <v>0.38891425440599026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0.16485515091153169</v>
      </c>
      <c r="Y115" s="19">
        <f ca="1">IF('Stock Price'!$I$11="OK",L115/INDEX(L$5:L$1258,'Stock Price'!$I$9)-1,"")</f>
        <v>0.17058326289095516</v>
      </c>
      <c r="Z115" s="19">
        <f ca="1">IF('Stock Price'!$I$11="OK",M115/INDEX(M$5:M$1258,'Stock Price'!$I$9)-1,"")</f>
        <v>7.5886702594309963E-2</v>
      </c>
    </row>
    <row r="116" spans="1:26" x14ac:dyDescent="0.2">
      <c r="A116" s="16">
        <f>'Stock Price'!A116</f>
        <v>44635</v>
      </c>
      <c r="B116" s="17">
        <f>'Stock Price'!E116</f>
        <v>155.88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275.45999999999998</v>
      </c>
      <c r="L116" s="18">
        <v>69.75</v>
      </c>
      <c r="M116" s="18">
        <v>176.14</v>
      </c>
      <c r="O116" s="19">
        <f ca="1">IF('Stock Price'!$I$11="OK",B116/INDEX(B$5:B$1258,'Stock Price'!$I$9)-1,"")</f>
        <v>0.42343165007761829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0.19282899579959278</v>
      </c>
      <c r="Y116" s="19">
        <f ca="1">IF('Stock Price'!$I$11="OK",L116/INDEX(L$5:L$1258,'Stock Price'!$I$9)-1,"")</f>
        <v>0.17920540997464074</v>
      </c>
      <c r="Z116" s="19">
        <f ca="1">IF('Stock Price'!$I$11="OK",M116/INDEX(M$5:M$1258,'Stock Price'!$I$9)-1,"")</f>
        <v>0.10377240255671127</v>
      </c>
    </row>
    <row r="117" spans="1:26" x14ac:dyDescent="0.2">
      <c r="A117" s="16">
        <f>'Stock Price'!A117</f>
        <v>44636</v>
      </c>
      <c r="B117" s="17">
        <f>'Stock Price'!E117</f>
        <v>156.05000000000001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276.44</v>
      </c>
      <c r="L117" s="18">
        <v>69.66</v>
      </c>
      <c r="M117" s="18">
        <v>174.52</v>
      </c>
      <c r="O117" s="19">
        <f ca="1">IF('Stock Price'!$I$11="OK",B117/INDEX(B$5:B$1258,'Stock Price'!$I$9)-1,"")</f>
        <v>0.42498401972422606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0.19707270601480964</v>
      </c>
      <c r="Y117" s="19">
        <f ca="1">IF('Stock Price'!$I$11="OK",L117/INDEX(L$5:L$1258,'Stock Price'!$I$9)-1,"")</f>
        <v>0.17768385460693148</v>
      </c>
      <c r="Z117" s="19">
        <f ca="1">IF('Stock Price'!$I$11="OK",M117/INDEX(M$5:M$1258,'Stock Price'!$I$9)-1,"")</f>
        <v>9.3620754480511215E-2</v>
      </c>
    </row>
    <row r="118" spans="1:26" x14ac:dyDescent="0.2">
      <c r="A118" s="16">
        <f>'Stock Price'!A118</f>
        <v>44637</v>
      </c>
      <c r="B118" s="17">
        <f>'Stock Price'!E118</f>
        <v>158.59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285.51</v>
      </c>
      <c r="L118" s="18">
        <v>70.52</v>
      </c>
      <c r="M118" s="18">
        <v>176.8</v>
      </c>
      <c r="O118" s="19">
        <f ca="1">IF('Stock Price'!$I$11="OK",B118/INDEX(B$5:B$1258,'Stock Price'!$I$9)-1,"")</f>
        <v>0.44817824856177513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0.23634867708829499</v>
      </c>
      <c r="Y118" s="19">
        <f ca="1">IF('Stock Price'!$I$11="OK",L118/INDEX(L$5:L$1258,'Stock Price'!$I$9)-1,"")</f>
        <v>0.1922231614539307</v>
      </c>
      <c r="Z118" s="19">
        <f ca="1">IF('Stock Price'!$I$11="OK",M118/INDEX(M$5:M$1258,'Stock Price'!$I$9)-1,"")</f>
        <v>0.10790825918034841</v>
      </c>
    </row>
    <row r="119" spans="1:26" x14ac:dyDescent="0.2">
      <c r="A119" s="16">
        <f>'Stock Price'!A119</f>
        <v>44638</v>
      </c>
      <c r="B119" s="17">
        <f>'Stock Price'!E119</f>
        <v>159.19999999999999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287.64</v>
      </c>
      <c r="L119" s="18">
        <v>71.02</v>
      </c>
      <c r="M119" s="18">
        <v>174.84</v>
      </c>
      <c r="O119" s="19">
        <f ca="1">IF('Stock Price'!$I$11="OK",B119/INDEX(B$5:B$1258,'Stock Price'!$I$9)-1,"")</f>
        <v>0.45374851611724942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0.24557225133157234</v>
      </c>
      <c r="Y119" s="19">
        <f ca="1">IF('Stock Price'!$I$11="OK",L119/INDEX(L$5:L$1258,'Stock Price'!$I$9)-1,"")</f>
        <v>0.20067624683009289</v>
      </c>
      <c r="Z119" s="19">
        <f ca="1">IF('Stock Price'!$I$11="OK",M119/INDEX(M$5:M$1258,'Stock Price'!$I$9)-1,"")</f>
        <v>9.5626018298032189E-2</v>
      </c>
    </row>
    <row r="120" spans="1:26" x14ac:dyDescent="0.2">
      <c r="A120" s="16">
        <f>'Stock Price'!A120</f>
        <v>44641</v>
      </c>
      <c r="B120" s="17">
        <f>'Stock Price'!E120</f>
        <v>160.05000000000001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289.64</v>
      </c>
      <c r="L120" s="18">
        <v>71.05</v>
      </c>
      <c r="M120" s="18">
        <v>175.83</v>
      </c>
      <c r="O120" s="19">
        <f ca="1">IF('Stock Price'!$I$11="OK",B120/INDEX(B$5:B$1258,'Stock Price'!$I$9)-1,"")</f>
        <v>0.46151036435028758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0.25423288442385128</v>
      </c>
      <c r="Y120" s="19">
        <f ca="1">IF('Stock Price'!$I$11="OK",L120/INDEX(L$5:L$1258,'Stock Price'!$I$9)-1,"")</f>
        <v>0.20118343195266264</v>
      </c>
      <c r="Z120" s="19">
        <f ca="1">IF('Stock Price'!$I$11="OK",M120/INDEX(M$5:M$1258,'Stock Price'!$I$9)-1,"")</f>
        <v>0.10182980323348789</v>
      </c>
    </row>
    <row r="121" spans="1:26" x14ac:dyDescent="0.2">
      <c r="A121" s="16">
        <f>'Stock Price'!A121</f>
        <v>44642</v>
      </c>
      <c r="B121" s="17">
        <f>'Stock Price'!E121</f>
        <v>160.01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285.02</v>
      </c>
      <c r="L121" s="18">
        <v>70.819999999999993</v>
      </c>
      <c r="M121" s="18">
        <v>175</v>
      </c>
      <c r="O121" s="19">
        <f ca="1">IF('Stock Price'!$I$11="OK",B121/INDEX(B$5:B$1258,'Stock Price'!$I$9)-1,"")</f>
        <v>0.46114510090402683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0.23422682198068667</v>
      </c>
      <c r="Y121" s="19">
        <f ca="1">IF('Stock Price'!$I$11="OK",L121/INDEX(L$5:L$1258,'Stock Price'!$I$9)-1,"")</f>
        <v>0.19729501267962801</v>
      </c>
      <c r="Z121" s="19">
        <f ca="1">IF('Stock Price'!$I$11="OK",M121/INDEX(M$5:M$1258,'Stock Price'!$I$9)-1,"")</f>
        <v>9.6628650206792788E-2</v>
      </c>
    </row>
    <row r="122" spans="1:26" x14ac:dyDescent="0.2">
      <c r="A122" s="16">
        <f>'Stock Price'!A122</f>
        <v>44643</v>
      </c>
      <c r="B122" s="17">
        <f>'Stock Price'!E122</f>
        <v>158.41999999999999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284.19</v>
      </c>
      <c r="L122" s="18">
        <v>71.38</v>
      </c>
      <c r="M122" s="18">
        <v>174.34</v>
      </c>
      <c r="O122" s="19">
        <f ca="1">IF('Stock Price'!$I$11="OK",B122/INDEX(B$5:B$1258,'Stock Price'!$I$9)-1,"")</f>
        <v>0.44662587891516736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0.23063265924739085</v>
      </c>
      <c r="Y122" s="19">
        <f ca="1">IF('Stock Price'!$I$11="OK",L122/INDEX(L$5:L$1258,'Stock Price'!$I$9)-1,"")</f>
        <v>0.2067624683009297</v>
      </c>
      <c r="Z122" s="19">
        <f ca="1">IF('Stock Price'!$I$11="OK",M122/INDEX(M$5:M$1258,'Stock Price'!$I$9)-1,"")</f>
        <v>9.2492793583155652E-2</v>
      </c>
    </row>
    <row r="123" spans="1:26" x14ac:dyDescent="0.2">
      <c r="A123" s="16">
        <f>'Stock Price'!A123</f>
        <v>44644</v>
      </c>
      <c r="B123" s="17">
        <f>'Stock Price'!E123</f>
        <v>160.28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287.69</v>
      </c>
      <c r="L123" s="18">
        <v>72.41</v>
      </c>
      <c r="M123" s="18">
        <v>175.24</v>
      </c>
      <c r="O123" s="19">
        <f ca="1">IF('Stock Price'!$I$11="OK",B123/INDEX(B$5:B$1258,'Stock Price'!$I$9)-1,"")</f>
        <v>0.46361062916628604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0.24578876715887921</v>
      </c>
      <c r="Y123" s="19">
        <f ca="1">IF('Stock Price'!$I$11="OK",L123/INDEX(L$5:L$1258,'Stock Price'!$I$9)-1,"")</f>
        <v>0.22417582417582405</v>
      </c>
      <c r="Z123" s="19">
        <f ca="1">IF('Stock Price'!$I$11="OK",M123/INDEX(M$5:M$1258,'Stock Price'!$I$9)-1,"")</f>
        <v>9.8132598069933463E-2</v>
      </c>
    </row>
    <row r="124" spans="1:26" x14ac:dyDescent="0.2">
      <c r="A124" s="16">
        <f>'Stock Price'!A124</f>
        <v>44645</v>
      </c>
      <c r="B124" s="17">
        <f>'Stock Price'!E124</f>
        <v>161.33000000000001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289.02</v>
      </c>
      <c r="L124" s="18">
        <v>73.28</v>
      </c>
      <c r="M124" s="18">
        <v>176.92</v>
      </c>
      <c r="O124" s="19">
        <f ca="1">IF('Stock Price'!$I$11="OK",B124/INDEX(B$5:B$1258,'Stock Price'!$I$9)-1,"")</f>
        <v>0.47319879463062731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0.25154808816524477</v>
      </c>
      <c r="Y124" s="19">
        <f ca="1">IF('Stock Price'!$I$11="OK",L124/INDEX(L$5:L$1258,'Stock Price'!$I$9)-1,"")</f>
        <v>0.23888419273034667</v>
      </c>
      <c r="Z124" s="19">
        <f ca="1">IF('Stock Price'!$I$11="OK",M124/INDEX(M$5:M$1258,'Stock Price'!$I$9)-1,"")</f>
        <v>0.10866023311191864</v>
      </c>
    </row>
    <row r="125" spans="1:26" x14ac:dyDescent="0.2">
      <c r="A125" s="16">
        <f>'Stock Price'!A125</f>
        <v>44648</v>
      </c>
      <c r="B125" s="17">
        <f>'Stock Price'!E125</f>
        <v>161.97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291.66000000000003</v>
      </c>
      <c r="L125" s="18">
        <v>73.11</v>
      </c>
      <c r="M125" s="18">
        <v>177.83</v>
      </c>
      <c r="O125" s="19">
        <f ca="1">IF('Stock Price'!$I$11="OK",B125/INDEX(B$5:B$1258,'Stock Price'!$I$9)-1,"")</f>
        <v>0.47904300977079717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0.26298012384705327</v>
      </c>
      <c r="Y125" s="19">
        <f ca="1">IF('Stock Price'!$I$11="OK",L125/INDEX(L$5:L$1258,'Stock Price'!$I$9)-1,"")</f>
        <v>0.23601014370245132</v>
      </c>
      <c r="Z125" s="19">
        <f ca="1">IF('Stock Price'!$I$11="OK",M125/INDEX(M$5:M$1258,'Stock Price'!$I$9)-1,"")</f>
        <v>0.11436270209299404</v>
      </c>
    </row>
    <row r="126" spans="1:26" x14ac:dyDescent="0.2">
      <c r="A126" s="16">
        <f>'Stock Price'!A126</f>
        <v>44649</v>
      </c>
      <c r="B126" s="17">
        <f>'Stock Price'!E126</f>
        <v>162.18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288.39</v>
      </c>
      <c r="L126" s="18">
        <v>73.23</v>
      </c>
      <c r="M126" s="18">
        <v>177.74</v>
      </c>
      <c r="O126" s="19">
        <f ca="1">IF('Stock Price'!$I$11="OK",B126/INDEX(B$5:B$1258,'Stock Price'!$I$9)-1,"")</f>
        <v>0.48096064286366547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0.24881998874117683</v>
      </c>
      <c r="Y126" s="19">
        <f ca="1">IF('Stock Price'!$I$11="OK",L126/INDEX(L$5:L$1258,'Stock Price'!$I$9)-1,"")</f>
        <v>0.23803888419273034</v>
      </c>
      <c r="Z126" s="19">
        <f ca="1">IF('Stock Price'!$I$11="OK",M126/INDEX(M$5:M$1258,'Stock Price'!$I$9)-1,"")</f>
        <v>0.11379872164431637</v>
      </c>
    </row>
    <row r="127" spans="1:26" x14ac:dyDescent="0.2">
      <c r="A127" s="16">
        <f>'Stock Price'!A127</f>
        <v>44650</v>
      </c>
      <c r="B127" s="17">
        <f>'Stock Price'!E127</f>
        <v>163.75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289.89</v>
      </c>
      <c r="L127" s="18">
        <v>73.72</v>
      </c>
      <c r="M127" s="18">
        <v>179.59</v>
      </c>
      <c r="O127" s="19">
        <f ca="1">IF('Stock Price'!$I$11="OK",B127/INDEX(B$5:B$1258,'Stock Price'!$I$9)-1,"")</f>
        <v>0.49529723312939455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0.25531546356038626</v>
      </c>
      <c r="Y127" s="19">
        <f ca="1">IF('Stock Price'!$I$11="OK",L127/INDEX(L$5:L$1258,'Stock Price'!$I$9)-1,"")</f>
        <v>0.24632290786136934</v>
      </c>
      <c r="Z127" s="19">
        <f ca="1">IF('Stock Price'!$I$11="OK",M127/INDEX(M$5:M$1258,'Stock Price'!$I$9)-1,"")</f>
        <v>0.12539165308935951</v>
      </c>
    </row>
    <row r="128" spans="1:26" x14ac:dyDescent="0.2">
      <c r="A128" s="16">
        <f>'Stock Price'!A128</f>
        <v>44651</v>
      </c>
      <c r="B128" s="17">
        <f>'Stock Price'!E128</f>
        <v>162.11000000000001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286.37</v>
      </c>
      <c r="L128" s="18">
        <v>73.03</v>
      </c>
      <c r="M128" s="18">
        <v>177.23</v>
      </c>
      <c r="O128" s="19">
        <f ca="1">IF('Stock Price'!$I$11="OK",B128/INDEX(B$5:B$1258,'Stock Price'!$I$9)-1,"")</f>
        <v>0.48032143183270937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0.24007274931797506</v>
      </c>
      <c r="Y128" s="19">
        <f ca="1">IF('Stock Price'!$I$11="OK",L128/INDEX(L$5:L$1258,'Stock Price'!$I$9)-1,"")</f>
        <v>0.23465765004226546</v>
      </c>
      <c r="Z128" s="19">
        <f ca="1">IF('Stock Price'!$I$11="OK",M128/INDEX(M$5:M$1258,'Stock Price'!$I$9)-1,"")</f>
        <v>0.11060283243514202</v>
      </c>
    </row>
    <row r="129" spans="1:26" x14ac:dyDescent="0.2">
      <c r="A129" s="16">
        <f>'Stock Price'!A129</f>
        <v>44652</v>
      </c>
      <c r="B129" s="17">
        <f>'Stock Price'!E129</f>
        <v>162.68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292.67</v>
      </c>
      <c r="L129" s="18">
        <v>73.819999999999993</v>
      </c>
      <c r="M129" s="18">
        <v>178.19</v>
      </c>
      <c r="O129" s="19">
        <f ca="1">IF('Stock Price'!$I$11="OK",B129/INDEX(B$5:B$1258,'Stock Price'!$I$9)-1,"")</f>
        <v>0.48552643594192313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0.26735374355865416</v>
      </c>
      <c r="Y129" s="19">
        <f ca="1">IF('Stock Price'!$I$11="OK",L129/INDEX(L$5:L$1258,'Stock Price'!$I$9)-1,"")</f>
        <v>0.24801352493660178</v>
      </c>
      <c r="Z129" s="19">
        <f ca="1">IF('Stock Price'!$I$11="OK",M129/INDEX(M$5:M$1258,'Stock Price'!$I$9)-1,"")</f>
        <v>0.11661862388770516</v>
      </c>
    </row>
    <row r="130" spans="1:26" x14ac:dyDescent="0.2">
      <c r="A130" s="16">
        <f>'Stock Price'!A130</f>
        <v>44655</v>
      </c>
      <c r="B130" s="17">
        <f>'Stock Price'!E130</f>
        <v>161.88999999999999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291.42</v>
      </c>
      <c r="L130" s="18">
        <v>73.790000000000006</v>
      </c>
      <c r="M130" s="18">
        <v>176.47</v>
      </c>
      <c r="O130" s="19">
        <f ca="1">IF('Stock Price'!$I$11="OK",B130/INDEX(B$5:B$1258,'Stock Price'!$I$9)-1,"")</f>
        <v>0.47831248287827566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0.26194084787597971</v>
      </c>
      <c r="Y130" s="19">
        <f ca="1">IF('Stock Price'!$I$11="OK",L130/INDEX(L$5:L$1258,'Stock Price'!$I$9)-1,"")</f>
        <v>0.24750633981403225</v>
      </c>
      <c r="Z130" s="19">
        <f ca="1">IF('Stock Price'!$I$11="OK",M130/INDEX(M$5:M$1258,'Stock Price'!$I$9)-1,"")</f>
        <v>0.10584033086852984</v>
      </c>
    </row>
    <row r="131" spans="1:26" x14ac:dyDescent="0.2">
      <c r="A131" s="16">
        <f>'Stock Price'!A131</f>
        <v>44656</v>
      </c>
      <c r="B131" s="17">
        <f>'Stock Price'!E131</f>
        <v>163.43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292.49</v>
      </c>
      <c r="L131" s="18">
        <v>74.430000000000007</v>
      </c>
      <c r="M131" s="18">
        <v>177.61</v>
      </c>
      <c r="O131" s="19">
        <f ca="1">IF('Stock Price'!$I$11="OK",B131/INDEX(B$5:B$1258,'Stock Price'!$I$9)-1,"")</f>
        <v>0.49237512555930962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0.2665742865803491</v>
      </c>
      <c r="Y131" s="19">
        <f ca="1">IF('Stock Price'!$I$11="OK",L131/INDEX(L$5:L$1258,'Stock Price'!$I$9)-1,"")</f>
        <v>0.25832628909552002</v>
      </c>
      <c r="Z131" s="19">
        <f ca="1">IF('Stock Price'!$I$11="OK",M131/INDEX(M$5:M$1258,'Stock Price'!$I$9)-1,"")</f>
        <v>0.11298408321844833</v>
      </c>
    </row>
    <row r="132" spans="1:26" x14ac:dyDescent="0.2">
      <c r="A132" s="16">
        <f>'Stock Price'!A132</f>
        <v>44657</v>
      </c>
      <c r="B132" s="17">
        <f>'Stock Price'!E132</f>
        <v>168.91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305.83999999999997</v>
      </c>
      <c r="L132" s="18">
        <v>75.34</v>
      </c>
      <c r="M132" s="18">
        <v>182.23</v>
      </c>
      <c r="O132" s="19">
        <f ca="1">IF('Stock Price'!$I$11="OK",B132/INDEX(B$5:B$1258,'Stock Price'!$I$9)-1,"")</f>
        <v>0.54241621769701376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0.32438401247131154</v>
      </c>
      <c r="Y132" s="19">
        <f ca="1">IF('Stock Price'!$I$11="OK",L132/INDEX(L$5:L$1258,'Stock Price'!$I$9)-1,"")</f>
        <v>0.27371090448013535</v>
      </c>
      <c r="Z132" s="19">
        <f ca="1">IF('Stock Price'!$I$11="OK",M132/INDEX(M$5:M$1258,'Stock Price'!$I$9)-1,"")</f>
        <v>0.14193507958390761</v>
      </c>
    </row>
    <row r="133" spans="1:26" x14ac:dyDescent="0.2">
      <c r="A133" s="16">
        <f>'Stock Price'!A133</f>
        <v>44658</v>
      </c>
      <c r="B133" s="17">
        <f>'Stock Price'!E133</f>
        <v>173.28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308.43</v>
      </c>
      <c r="L133" s="18">
        <v>77.260000000000005</v>
      </c>
      <c r="M133" s="18">
        <v>181.76</v>
      </c>
      <c r="O133" s="19">
        <f ca="1">IF('Stock Price'!$I$11="OK",B133/INDEX(B$5:B$1258,'Stock Price'!$I$9)-1,"")</f>
        <v>0.58232124920098616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0.33559953232581297</v>
      </c>
      <c r="Y133" s="19">
        <f ca="1">IF('Stock Price'!$I$11="OK",L133/INDEX(L$5:L$1258,'Stock Price'!$I$9)-1,"")</f>
        <v>0.30617075232459867</v>
      </c>
      <c r="Z133" s="19">
        <f ca="1">IF('Stock Price'!$I$11="OK",M133/INDEX(M$5:M$1258,'Stock Price'!$I$9)-1,"")</f>
        <v>0.13898984835192363</v>
      </c>
    </row>
    <row r="134" spans="1:26" x14ac:dyDescent="0.2">
      <c r="A134" s="16">
        <f>'Stock Price'!A134</f>
        <v>44659</v>
      </c>
      <c r="B134" s="17">
        <f>'Stock Price'!E134</f>
        <v>174.96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311.69</v>
      </c>
      <c r="L134" s="18">
        <v>77.77</v>
      </c>
      <c r="M134" s="18">
        <v>182.12</v>
      </c>
      <c r="O134" s="19">
        <f ca="1">IF('Stock Price'!$I$11="OK",B134/INDEX(B$5:B$1258,'Stock Price'!$I$9)-1,"")</f>
        <v>0.5976623139439321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0.34971636426622776</v>
      </c>
      <c r="Y134" s="19">
        <f ca="1">IF('Stock Price'!$I$11="OK",L134/INDEX(L$5:L$1258,'Stock Price'!$I$9)-1,"")</f>
        <v>0.31479289940828403</v>
      </c>
      <c r="Z134" s="19">
        <f ca="1">IF('Stock Price'!$I$11="OK",M134/INDEX(M$5:M$1258,'Stock Price'!$I$9)-1,"")</f>
        <v>0.14124577014663475</v>
      </c>
    </row>
    <row r="135" spans="1:26" x14ac:dyDescent="0.2">
      <c r="A135" s="16">
        <f>'Stock Price'!A135</f>
        <v>44662</v>
      </c>
      <c r="B135" s="17">
        <f>'Stock Price'!E135</f>
        <v>169.83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308.95999999999998</v>
      </c>
      <c r="L135" s="18">
        <v>76.5</v>
      </c>
      <c r="M135" s="18">
        <v>179.84</v>
      </c>
      <c r="O135" s="19">
        <f ca="1">IF('Stock Price'!$I$11="OK",B135/INDEX(B$5:B$1258,'Stock Price'!$I$9)-1,"")</f>
        <v>0.55081727696100824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0.33789460009526673</v>
      </c>
      <c r="Y135" s="19">
        <f ca="1">IF('Stock Price'!$I$11="OK",L135/INDEX(L$5:L$1258,'Stock Price'!$I$9)-1,"")</f>
        <v>0.29332206255283189</v>
      </c>
      <c r="Z135" s="19">
        <f ca="1">IF('Stock Price'!$I$11="OK",M135/INDEX(M$5:M$1258,'Stock Price'!$I$9)-1,"")</f>
        <v>0.12695826544679778</v>
      </c>
    </row>
    <row r="136" spans="1:26" x14ac:dyDescent="0.2">
      <c r="A136" s="16">
        <f>'Stock Price'!A136</f>
        <v>44663</v>
      </c>
      <c r="B136" s="17">
        <f>'Stock Price'!E136</f>
        <v>167.31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308.08</v>
      </c>
      <c r="L136" s="18">
        <v>76.55</v>
      </c>
      <c r="M136" s="18">
        <v>179.9</v>
      </c>
      <c r="O136" s="19">
        <f ca="1">IF('Stock Price'!$I$11="OK",B136/INDEX(B$5:B$1258,'Stock Price'!$I$9)-1,"")</f>
        <v>0.52780567984658933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0.33408392153466404</v>
      </c>
      <c r="Y136" s="19">
        <f ca="1">IF('Stock Price'!$I$11="OK",L136/INDEX(L$5:L$1258,'Stock Price'!$I$9)-1,"")</f>
        <v>0.29416737109044799</v>
      </c>
      <c r="Z136" s="19">
        <f ca="1">IF('Stock Price'!$I$11="OK",M136/INDEX(M$5:M$1258,'Stock Price'!$I$9)-1,"")</f>
        <v>0.12733425241258289</v>
      </c>
    </row>
    <row r="137" spans="1:26" x14ac:dyDescent="0.2">
      <c r="A137" s="16">
        <f>'Stock Price'!A137</f>
        <v>44664</v>
      </c>
      <c r="B137" s="17">
        <f>'Stock Price'!E137</f>
        <v>158.94999999999999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302.67</v>
      </c>
      <c r="L137" s="18">
        <v>76.87</v>
      </c>
      <c r="M137" s="18">
        <v>180.66</v>
      </c>
      <c r="O137" s="19">
        <f ca="1">IF('Stock Price'!$I$11="OK",B137/INDEX(B$5:B$1258,'Stock Price'!$I$9)-1,"")</f>
        <v>0.45146561957812059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0.3106569090200495</v>
      </c>
      <c r="Y137" s="19">
        <f ca="1">IF('Stock Price'!$I$11="OK",L137/INDEX(L$5:L$1258,'Stock Price'!$I$9)-1,"")</f>
        <v>0.2995773457311921</v>
      </c>
      <c r="Z137" s="19">
        <f ca="1">IF('Stock Price'!$I$11="OK",M137/INDEX(M$5:M$1258,'Stock Price'!$I$9)-1,"")</f>
        <v>0.13209675397919529</v>
      </c>
    </row>
    <row r="138" spans="1:26" x14ac:dyDescent="0.2">
      <c r="A138" s="16">
        <f>'Stock Price'!A138</f>
        <v>44665</v>
      </c>
      <c r="B138" s="17">
        <f>'Stock Price'!E138</f>
        <v>162.31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301.86</v>
      </c>
      <c r="L138" s="18">
        <v>77.510000000000005</v>
      </c>
      <c r="M138" s="18">
        <v>179.9</v>
      </c>
      <c r="O138" s="19">
        <f ca="1">IF('Stock Price'!$I$11="OK",B138/INDEX(B$5:B$1258,'Stock Price'!$I$9)-1,"")</f>
        <v>0.48214774906401248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0.30714935261767629</v>
      </c>
      <c r="Y138" s="19">
        <f ca="1">IF('Stock Price'!$I$11="OK",L138/INDEX(L$5:L$1258,'Stock Price'!$I$9)-1,"")</f>
        <v>0.31039729501267965</v>
      </c>
      <c r="Z138" s="19">
        <f ca="1">IF('Stock Price'!$I$11="OK",M138/INDEX(M$5:M$1258,'Stock Price'!$I$9)-1,"")</f>
        <v>0.12733425241258289</v>
      </c>
    </row>
    <row r="139" spans="1:26" x14ac:dyDescent="0.2">
      <c r="A139" s="16">
        <f>'Stock Price'!A139</f>
        <v>44669</v>
      </c>
      <c r="B139" s="17">
        <f>'Stock Price'!E139</f>
        <v>159.36000000000001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298.82</v>
      </c>
      <c r="L139" s="18">
        <v>76.75</v>
      </c>
      <c r="M139" s="18">
        <v>177.66</v>
      </c>
      <c r="O139" s="19">
        <f ca="1">IF('Stock Price'!$I$11="OK",B139/INDEX(B$5:B$1258,'Stock Price'!$I$9)-1,"")</f>
        <v>0.455209569902292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0.29398519031741221</v>
      </c>
      <c r="Y139" s="19">
        <f ca="1">IF('Stock Price'!$I$11="OK",L139/INDEX(L$5:L$1258,'Stock Price'!$I$9)-1,"")</f>
        <v>0.29754860524091287</v>
      </c>
      <c r="Z139" s="19">
        <f ca="1">IF('Stock Price'!$I$11="OK",M139/INDEX(M$5:M$1258,'Stock Price'!$I$9)-1,"")</f>
        <v>0.11329740568993607</v>
      </c>
    </row>
    <row r="140" spans="1:26" x14ac:dyDescent="0.2">
      <c r="A140" s="16">
        <f>'Stock Price'!A140</f>
        <v>44670</v>
      </c>
      <c r="B140" s="17">
        <f>'Stock Price'!E140</f>
        <v>156.35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297.01</v>
      </c>
      <c r="L140" s="18">
        <v>76.400000000000006</v>
      </c>
      <c r="M140" s="18">
        <v>183.08</v>
      </c>
      <c r="O140" s="19">
        <f ca="1">IF('Stock Price'!$I$11="OK",B140/INDEX(B$5:B$1258,'Stock Price'!$I$9)-1,"")</f>
        <v>0.42772349557118061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0.28614731736889953</v>
      </c>
      <c r="Y140" s="19">
        <f ca="1">IF('Stock Price'!$I$11="OK",L140/INDEX(L$5:L$1258,'Stock Price'!$I$9)-1,"")</f>
        <v>0.29163144547759945</v>
      </c>
      <c r="Z140" s="19">
        <f ca="1">IF('Stock Price'!$I$11="OK",M140/INDEX(M$5:M$1258,'Stock Price'!$I$9)-1,"")</f>
        <v>0.1472615615991979</v>
      </c>
    </row>
    <row r="141" spans="1:26" x14ac:dyDescent="0.2">
      <c r="A141" s="16">
        <f>'Stock Price'!A141</f>
        <v>44671</v>
      </c>
      <c r="B141" s="17">
        <f>'Stock Price'!E141</f>
        <v>156.69999999999999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292.92</v>
      </c>
      <c r="L141" s="18">
        <v>77.28</v>
      </c>
      <c r="M141" s="18">
        <v>183.89</v>
      </c>
      <c r="O141" s="19">
        <f ca="1">IF('Stock Price'!$I$11="OK",B141/INDEX(B$5:B$1258,'Stock Price'!$I$9)-1,"")</f>
        <v>0.43091955072596089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0.26843632269518913</v>
      </c>
      <c r="Y141" s="19">
        <f ca="1">IF('Stock Price'!$I$11="OK",L141/INDEX(L$5:L$1258,'Stock Price'!$I$9)-1,"")</f>
        <v>0.30650887573964503</v>
      </c>
      <c r="Z141" s="19">
        <f ca="1">IF('Stock Price'!$I$11="OK",M141/INDEX(M$5:M$1258,'Stock Price'!$I$9)-1,"")</f>
        <v>0.15233738563729782</v>
      </c>
    </row>
    <row r="142" spans="1:26" x14ac:dyDescent="0.2">
      <c r="A142" s="16">
        <f>'Stock Price'!A142</f>
        <v>44672</v>
      </c>
      <c r="B142" s="17">
        <f>'Stock Price'!E142</f>
        <v>158.52000000000001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289.61</v>
      </c>
      <c r="L142" s="18">
        <v>77.56</v>
      </c>
      <c r="M142" s="18">
        <v>183.36</v>
      </c>
      <c r="O142" s="19">
        <f ca="1">IF('Stock Price'!$I$11="OK",B142/INDEX(B$5:B$1258,'Stock Price'!$I$9)-1,"")</f>
        <v>0.44753903753081903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0.25410297492746725</v>
      </c>
      <c r="Y142" s="19">
        <f ca="1">IF('Stock Price'!$I$11="OK",L142/INDEX(L$5:L$1258,'Stock Price'!$I$9)-1,"")</f>
        <v>0.31124260355029598</v>
      </c>
      <c r="Z142" s="19">
        <f ca="1">IF('Stock Price'!$I$11="OK",M142/INDEX(M$5:M$1258,'Stock Price'!$I$9)-1,"")</f>
        <v>0.14901616743952872</v>
      </c>
    </row>
    <row r="143" spans="1:26" x14ac:dyDescent="0.2">
      <c r="A143" s="16">
        <f>'Stock Price'!A143</f>
        <v>44673</v>
      </c>
      <c r="B143" s="17">
        <f>'Stock Price'!E143</f>
        <v>154.99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278.73</v>
      </c>
      <c r="L143" s="18">
        <v>75.75</v>
      </c>
      <c r="M143" s="18">
        <v>181.54</v>
      </c>
      <c r="O143" s="19">
        <f ca="1">IF('Stock Price'!$I$11="OK",B143/INDEX(B$5:B$1258,'Stock Price'!$I$9)-1,"")</f>
        <v>0.41530453839831982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0.20698913090546922</v>
      </c>
      <c r="Y143" s="19">
        <f ca="1">IF('Stock Price'!$I$11="OK",L143/INDEX(L$5:L$1258,'Stock Price'!$I$9)-1,"")</f>
        <v>0.28064243448858828</v>
      </c>
      <c r="Z143" s="19">
        <f ca="1">IF('Stock Price'!$I$11="OK",M143/INDEX(M$5:M$1258,'Stock Price'!$I$9)-1,"")</f>
        <v>0.13761122947737792</v>
      </c>
    </row>
    <row r="144" spans="1:26" x14ac:dyDescent="0.2">
      <c r="A144" s="16">
        <f>'Stock Price'!A144</f>
        <v>44676</v>
      </c>
      <c r="B144" s="17">
        <f>'Stock Price'!E144</f>
        <v>156.30000000000001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285.2</v>
      </c>
      <c r="L144" s="18">
        <v>76.05</v>
      </c>
      <c r="M144" s="18">
        <v>186.01</v>
      </c>
      <c r="O144" s="19">
        <f ca="1">IF('Stock Price'!$I$11="OK",B144/INDEX(B$5:B$1258,'Stock Price'!$I$9)-1,"")</f>
        <v>0.42726691626335489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0.23500627895899173</v>
      </c>
      <c r="Y144" s="19">
        <f ca="1">IF('Stock Price'!$I$11="OK",L144/INDEX(L$5:L$1258,'Stock Price'!$I$9)-1,"")</f>
        <v>0.28571428571428559</v>
      </c>
      <c r="Z144" s="19">
        <f ca="1">IF('Stock Price'!$I$11="OK",M144/INDEX(M$5:M$1258,'Stock Price'!$I$9)-1,"")</f>
        <v>0.16562225842837441</v>
      </c>
    </row>
    <row r="145" spans="1:26" x14ac:dyDescent="0.2">
      <c r="A145" s="16">
        <f>'Stock Price'!A145</f>
        <v>44677</v>
      </c>
      <c r="B145" s="17">
        <f>'Stock Price'!E145</f>
        <v>156.18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282.83</v>
      </c>
      <c r="L145" s="18">
        <v>75.59</v>
      </c>
      <c r="M145" s="18">
        <v>184.68</v>
      </c>
      <c r="O145" s="19">
        <f ca="1">IF('Stock Price'!$I$11="OK",B145/INDEX(B$5:B$1258,'Stock Price'!$I$9)-1,"")</f>
        <v>0.42617112592457307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0.22474342874464104</v>
      </c>
      <c r="Y145" s="19">
        <f ca="1">IF('Stock Price'!$I$11="OK",L145/INDEX(L$5:L$1258,'Stock Price'!$I$9)-1,"")</f>
        <v>0.27793744716821656</v>
      </c>
      <c r="Z145" s="19">
        <f ca="1">IF('Stock Price'!$I$11="OK",M145/INDEX(M$5:M$1258,'Stock Price'!$I$9)-1,"")</f>
        <v>0.15728788068680277</v>
      </c>
    </row>
    <row r="146" spans="1:26" x14ac:dyDescent="0.2">
      <c r="A146" s="16">
        <f>'Stock Price'!A146</f>
        <v>44678</v>
      </c>
      <c r="B146" s="17">
        <f>'Stock Price'!E146</f>
        <v>157.62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285.08999999999997</v>
      </c>
      <c r="L146" s="18">
        <v>75.81</v>
      </c>
      <c r="M146" s="18">
        <v>182.1</v>
      </c>
      <c r="O146" s="19">
        <f ca="1">IF('Stock Price'!$I$11="OK",B146/INDEX(B$5:B$1258,'Stock Price'!$I$9)-1,"")</f>
        <v>0.43932060998995515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0.23452994413891637</v>
      </c>
      <c r="Y146" s="19">
        <f ca="1">IF('Stock Price'!$I$11="OK",L146/INDEX(L$5:L$1258,'Stock Price'!$I$9)-1,"")</f>
        <v>0.28165680473372778</v>
      </c>
      <c r="Z146" s="19">
        <f ca="1">IF('Stock Price'!$I$11="OK",M146/INDEX(M$5:M$1258,'Stock Price'!$I$9)-1,"")</f>
        <v>0.14112044115803979</v>
      </c>
    </row>
    <row r="147" spans="1:26" x14ac:dyDescent="0.2">
      <c r="A147" s="16">
        <f>'Stock Price'!A147</f>
        <v>44679</v>
      </c>
      <c r="B147" s="17">
        <f>'Stock Price'!E147</f>
        <v>156.31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297.27</v>
      </c>
      <c r="L147" s="18">
        <v>77.2</v>
      </c>
      <c r="M147" s="18">
        <v>183.46</v>
      </c>
      <c r="O147" s="19">
        <f ca="1">IF('Stock Price'!$I$11="OK",B147/INDEX(B$5:B$1258,'Stock Price'!$I$9)-1,"")</f>
        <v>0.42735823212492008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0.28727319967089593</v>
      </c>
      <c r="Y147" s="19">
        <f ca="1">IF('Stock Price'!$I$11="OK",L147/INDEX(L$5:L$1258,'Stock Price'!$I$9)-1,"")</f>
        <v>0.30515638207945917</v>
      </c>
      <c r="Z147" s="19">
        <f ca="1">IF('Stock Price'!$I$11="OK",M147/INDEX(M$5:M$1258,'Stock Price'!$I$9)-1,"")</f>
        <v>0.14964281238250399</v>
      </c>
    </row>
    <row r="148" spans="1:26" x14ac:dyDescent="0.2">
      <c r="A148" s="16">
        <f>'Stock Price'!A148</f>
        <v>44680</v>
      </c>
      <c r="B148" s="17">
        <f>'Stock Price'!E148</f>
        <v>146.88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292.13</v>
      </c>
      <c r="L148" s="18">
        <v>75.27</v>
      </c>
      <c r="M148" s="18">
        <v>180.46</v>
      </c>
      <c r="O148" s="19">
        <f ca="1">IF('Stock Price'!$I$11="OK",B148/INDEX(B$5:B$1258,'Stock Price'!$I$9)-1,"")</f>
        <v>0.34124737466897992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0.26501537262373875</v>
      </c>
      <c r="Y148" s="19">
        <f ca="1">IF('Stock Price'!$I$11="OK",L148/INDEX(L$5:L$1258,'Stock Price'!$I$9)-1,"")</f>
        <v>0.27252747252747245</v>
      </c>
      <c r="Z148" s="19">
        <f ca="1">IF('Stock Price'!$I$11="OK",M148/INDEX(M$5:M$1258,'Stock Price'!$I$9)-1,"")</f>
        <v>0.13084346409324477</v>
      </c>
    </row>
    <row r="149" spans="1:26" x14ac:dyDescent="0.2">
      <c r="A149" s="16">
        <f>'Stock Price'!A149</f>
        <v>44683</v>
      </c>
      <c r="B149" s="17">
        <f>'Stock Price'!E149</f>
        <v>147.87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289.56</v>
      </c>
      <c r="L149" s="18">
        <v>75.08</v>
      </c>
      <c r="M149" s="18">
        <v>178.64</v>
      </c>
      <c r="O149" s="19">
        <f ca="1">IF('Stock Price'!$I$11="OK",B149/INDEX(B$5:B$1258,'Stock Price'!$I$9)-1,"")</f>
        <v>0.35028764496393028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0.25388645910016017</v>
      </c>
      <c r="Y149" s="19">
        <f ca="1">IF('Stock Price'!$I$11="OK",L149/INDEX(L$5:L$1258,'Stock Price'!$I$9)-1,"")</f>
        <v>0.26931530008453075</v>
      </c>
      <c r="Z149" s="19">
        <f ca="1">IF('Stock Price'!$I$11="OK",M149/INDEX(M$5:M$1258,'Stock Price'!$I$9)-1,"")</f>
        <v>0.11943852613109396</v>
      </c>
    </row>
    <row r="150" spans="1:26" x14ac:dyDescent="0.2">
      <c r="A150" s="16">
        <f>'Stock Price'!A150</f>
        <v>44684</v>
      </c>
      <c r="B150" s="17">
        <f>'Stock Price'!E150</f>
        <v>149.6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288.07</v>
      </c>
      <c r="L150" s="18">
        <v>75.05</v>
      </c>
      <c r="M150" s="18">
        <v>178.29</v>
      </c>
      <c r="O150" s="19">
        <f ca="1">IF('Stock Price'!$I$11="OK",B150/INDEX(B$5:B$1258,'Stock Price'!$I$9)-1,"")</f>
        <v>0.36608528901470172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0.24743428744641216</v>
      </c>
      <c r="Y150" s="19">
        <f ca="1">IF('Stock Price'!$I$11="OK",L150/INDEX(L$5:L$1258,'Stock Price'!$I$9)-1,"")</f>
        <v>0.268808114961961</v>
      </c>
      <c r="Z150" s="19">
        <f ca="1">IF('Stock Price'!$I$11="OK",M150/INDEX(M$5:M$1258,'Stock Price'!$I$9)-1,"")</f>
        <v>0.11724526883068043</v>
      </c>
    </row>
    <row r="151" spans="1:26" x14ac:dyDescent="0.2">
      <c r="A151" s="16">
        <f>'Stock Price'!A151</f>
        <v>44685</v>
      </c>
      <c r="B151" s="17">
        <f>'Stock Price'!E151</f>
        <v>151.59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294.89999999999998</v>
      </c>
      <c r="L151" s="18">
        <v>76.31</v>
      </c>
      <c r="M151" s="18">
        <v>180.2</v>
      </c>
      <c r="O151" s="19">
        <f ca="1">IF('Stock Price'!$I$11="OK",B151/INDEX(B$5:B$1258,'Stock Price'!$I$9)-1,"")</f>
        <v>0.3842571454661674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0.27701034945654524</v>
      </c>
      <c r="Y151" s="19">
        <f ca="1">IF('Stock Price'!$I$11="OK",L151/INDEX(L$5:L$1258,'Stock Price'!$I$9)-1,"")</f>
        <v>0.29010989010989019</v>
      </c>
      <c r="Z151" s="19">
        <f ca="1">IF('Stock Price'!$I$11="OK",M151/INDEX(M$5:M$1258,'Stock Price'!$I$9)-1,"")</f>
        <v>0.1292141872415089</v>
      </c>
    </row>
    <row r="152" spans="1:26" x14ac:dyDescent="0.2">
      <c r="A152" s="16">
        <f>'Stock Price'!A152</f>
        <v>44686</v>
      </c>
      <c r="B152" s="17">
        <f>'Stock Price'!E152</f>
        <v>152.18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292.37</v>
      </c>
      <c r="L152" s="18">
        <v>76.25</v>
      </c>
      <c r="M152" s="18">
        <v>176.76</v>
      </c>
      <c r="O152" s="19">
        <f ca="1">IF('Stock Price'!$I$11="OK",B152/INDEX(B$5:B$1258,'Stock Price'!$I$9)-1,"")</f>
        <v>0.38964478129851154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0.26605464859481232</v>
      </c>
      <c r="Y152" s="19">
        <f ca="1">IF('Stock Price'!$I$11="OK",L152/INDEX(L$5:L$1258,'Stock Price'!$I$9)-1,"")</f>
        <v>0.28909551986475068</v>
      </c>
      <c r="Z152" s="19">
        <f ca="1">IF('Stock Price'!$I$11="OK",M152/INDEX(M$5:M$1258,'Stock Price'!$I$9)-1,"")</f>
        <v>0.10765760120315804</v>
      </c>
    </row>
    <row r="153" spans="1:26" x14ac:dyDescent="0.2">
      <c r="A153" s="16">
        <f>'Stock Price'!A153</f>
        <v>44687</v>
      </c>
      <c r="B153" s="17">
        <f>'Stock Price'!E153</f>
        <v>152.83000000000001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296.89999999999998</v>
      </c>
      <c r="L153" s="18">
        <v>76.67</v>
      </c>
      <c r="M153" s="18">
        <v>176.37</v>
      </c>
      <c r="O153" s="19">
        <f ca="1">IF('Stock Price'!$I$11="OK",B153/INDEX(B$5:B$1258,'Stock Price'!$I$9)-1,"")</f>
        <v>0.39558031230024659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0.28567098254882417</v>
      </c>
      <c r="Y153" s="19">
        <f ca="1">IF('Stock Price'!$I$11="OK",L153/INDEX(L$5:L$1258,'Stock Price'!$I$9)-1,"")</f>
        <v>0.29619611158072701</v>
      </c>
      <c r="Z153" s="19">
        <f ca="1">IF('Stock Price'!$I$11="OK",M153/INDEX(M$5:M$1258,'Stock Price'!$I$9)-1,"")</f>
        <v>0.10521368592555458</v>
      </c>
    </row>
    <row r="154" spans="1:26" x14ac:dyDescent="0.2">
      <c r="A154" s="16">
        <f>'Stock Price'!A154</f>
        <v>44690</v>
      </c>
      <c r="B154" s="17">
        <f>'Stock Price'!E154</f>
        <v>150.96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289.23</v>
      </c>
      <c r="L154" s="18">
        <v>76.27</v>
      </c>
      <c r="M154" s="18">
        <v>177.33</v>
      </c>
      <c r="O154" s="19">
        <f ca="1">IF('Stock Price'!$I$11="OK",B154/INDEX(B$5:B$1258,'Stock Price'!$I$9)-1,"")</f>
        <v>0.37850424618756273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0.2524574546399343</v>
      </c>
      <c r="Y154" s="19">
        <f ca="1">IF('Stock Price'!$I$11="OK",L154/INDEX(L$5:L$1258,'Stock Price'!$I$9)-1,"")</f>
        <v>0.28943364327979704</v>
      </c>
      <c r="Z154" s="19">
        <f ca="1">IF('Stock Price'!$I$11="OK",M154/INDEX(M$5:M$1258,'Stock Price'!$I$9)-1,"")</f>
        <v>0.1112294773781175</v>
      </c>
    </row>
    <row r="155" spans="1:26" x14ac:dyDescent="0.2">
      <c r="A155" s="16">
        <f>'Stock Price'!A155</f>
        <v>44691</v>
      </c>
      <c r="B155" s="17">
        <f>'Stock Price'!E155</f>
        <v>152.09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285.7</v>
      </c>
      <c r="L155" s="18">
        <v>76.290000000000006</v>
      </c>
      <c r="M155" s="18">
        <v>177.09</v>
      </c>
      <c r="O155" s="19">
        <f ca="1">IF('Stock Price'!$I$11="OK",B155/INDEX(B$5:B$1258,'Stock Price'!$I$9)-1,"")</f>
        <v>0.38882293854442507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0.23717143723206169</v>
      </c>
      <c r="Y155" s="19">
        <f ca="1">IF('Stock Price'!$I$11="OK",L155/INDEX(L$5:L$1258,'Stock Price'!$I$9)-1,"")</f>
        <v>0.28977176669484384</v>
      </c>
      <c r="Z155" s="19">
        <f ca="1">IF('Stock Price'!$I$11="OK",M155/INDEX(M$5:M$1258,'Stock Price'!$I$9)-1,"")</f>
        <v>0.10972552951497683</v>
      </c>
    </row>
    <row r="156" spans="1:26" x14ac:dyDescent="0.2">
      <c r="A156" s="16">
        <f>'Stock Price'!A156</f>
        <v>44692</v>
      </c>
      <c r="B156" s="17">
        <f>'Stock Price'!E156</f>
        <v>151.96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286.69</v>
      </c>
      <c r="L156" s="18">
        <v>76.150000000000006</v>
      </c>
      <c r="M156" s="18">
        <v>176.13</v>
      </c>
      <c r="O156" s="19">
        <f ca="1">IF('Stock Price'!$I$11="OK",B156/INDEX(B$5:B$1258,'Stock Price'!$I$9)-1,"")</f>
        <v>0.38763583234407828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0.24145845061273974</v>
      </c>
      <c r="Y156" s="19">
        <f ca="1">IF('Stock Price'!$I$11="OK",L156/INDEX(L$5:L$1258,'Stock Price'!$I$9)-1,"")</f>
        <v>0.28740490278951825</v>
      </c>
      <c r="Z156" s="19">
        <f ca="1">IF('Stock Price'!$I$11="OK",M156/INDEX(M$5:M$1258,'Stock Price'!$I$9)-1,"")</f>
        <v>0.10370973806241368</v>
      </c>
    </row>
    <row r="157" spans="1:26" x14ac:dyDescent="0.2">
      <c r="A157" s="16">
        <f>'Stock Price'!A157</f>
        <v>44693</v>
      </c>
      <c r="B157" s="17">
        <f>'Stock Price'!E157</f>
        <v>154.29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291.8</v>
      </c>
      <c r="L157" s="18">
        <v>76.3</v>
      </c>
      <c r="M157" s="18">
        <v>177.87</v>
      </c>
      <c r="O157" s="19">
        <f ca="1">IF('Stock Price'!$I$11="OK",B157/INDEX(B$5:B$1258,'Stock Price'!$I$9)-1,"")</f>
        <v>0.40891242808875883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0.26358636816351266</v>
      </c>
      <c r="Y157" s="19">
        <f ca="1">IF('Stock Price'!$I$11="OK",L157/INDEX(L$5:L$1258,'Stock Price'!$I$9)-1,"")</f>
        <v>0.28994082840236679</v>
      </c>
      <c r="Z157" s="19">
        <f ca="1">IF('Stock Price'!$I$11="OK",M157/INDEX(M$5:M$1258,'Stock Price'!$I$9)-1,"")</f>
        <v>0.11461336007018419</v>
      </c>
    </row>
    <row r="158" spans="1:26" x14ac:dyDescent="0.2">
      <c r="A158" s="16">
        <f>'Stock Price'!A158</f>
        <v>44694</v>
      </c>
      <c r="B158" s="17">
        <f>'Stock Price'!E158</f>
        <v>153.5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291.63</v>
      </c>
      <c r="L158" s="18">
        <v>75.8</v>
      </c>
      <c r="M158" s="18">
        <v>176.85</v>
      </c>
      <c r="O158" s="19">
        <f ca="1">IF('Stock Price'!$I$11="OK",B158/INDEX(B$5:B$1258,'Stock Price'!$I$9)-1,"")</f>
        <v>0.4016984750251118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0.26285021435066902</v>
      </c>
      <c r="Y158" s="19">
        <f ca="1">IF('Stock Price'!$I$11="OK",L158/INDEX(L$5:L$1258,'Stock Price'!$I$9)-1,"")</f>
        <v>0.28148774302620461</v>
      </c>
      <c r="Z158" s="19">
        <f ca="1">IF('Stock Price'!$I$11="OK",M158/INDEX(M$5:M$1258,'Stock Price'!$I$9)-1,"")</f>
        <v>0.10822158165183593</v>
      </c>
    </row>
    <row r="159" spans="1:26" x14ac:dyDescent="0.2">
      <c r="A159" s="16">
        <f>'Stock Price'!A159</f>
        <v>44697</v>
      </c>
      <c r="B159" s="17">
        <f>'Stock Price'!E159</f>
        <v>155.47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299.38</v>
      </c>
      <c r="L159" s="18">
        <v>76.91</v>
      </c>
      <c r="M159" s="18">
        <v>178.08</v>
      </c>
      <c r="O159" s="19">
        <f ca="1">IF('Stock Price'!$I$11="OK",B159/INDEX(B$5:B$1258,'Stock Price'!$I$9)-1,"")</f>
        <v>0.41968769975344711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0.29641016758325023</v>
      </c>
      <c r="Y159" s="19">
        <f ca="1">IF('Stock Price'!$I$11="OK",L159/INDEX(L$5:L$1258,'Stock Price'!$I$9)-1,"")</f>
        <v>0.30025359256128481</v>
      </c>
      <c r="Z159" s="19">
        <f ca="1">IF('Stock Price'!$I$11="OK",M159/INDEX(M$5:M$1258,'Stock Price'!$I$9)-1,"")</f>
        <v>0.11592931445043231</v>
      </c>
    </row>
    <row r="160" spans="1:26" x14ac:dyDescent="0.2">
      <c r="A160" s="16">
        <f>'Stock Price'!A160</f>
        <v>44698</v>
      </c>
      <c r="B160" s="17">
        <f>'Stock Price'!E160</f>
        <v>154.78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301.39999999999998</v>
      </c>
      <c r="L160" s="18">
        <v>78.22</v>
      </c>
      <c r="M160" s="18">
        <v>178.82</v>
      </c>
      <c r="O160" s="19">
        <f ca="1">IF('Stock Price'!$I$11="OK",B160/INDEX(B$5:B$1258,'Stock Price'!$I$9)-1,"")</f>
        <v>0.41338690530545152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0.305157407006452</v>
      </c>
      <c r="Y160" s="19">
        <f ca="1">IF('Stock Price'!$I$11="OK",L160/INDEX(L$5:L$1258,'Stock Price'!$I$9)-1,"")</f>
        <v>0.32240067624683011</v>
      </c>
      <c r="Z160" s="19">
        <f ca="1">IF('Stock Price'!$I$11="OK",M160/INDEX(M$5:M$1258,'Stock Price'!$I$9)-1,"")</f>
        <v>0.12056648702844952</v>
      </c>
    </row>
    <row r="161" spans="1:26" x14ac:dyDescent="0.2">
      <c r="A161" s="16">
        <f>'Stock Price'!A161</f>
        <v>44699</v>
      </c>
      <c r="B161" s="17">
        <f>'Stock Price'!E161</f>
        <v>152.43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295.19</v>
      </c>
      <c r="L161" s="18">
        <v>77.02</v>
      </c>
      <c r="M161" s="18">
        <v>175.5</v>
      </c>
      <c r="O161" s="19">
        <f ca="1">IF('Stock Price'!$I$11="OK",B161/INDEX(B$5:B$1258,'Stock Price'!$I$9)-1,"")</f>
        <v>0.39192767783764038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0.27826614125492566</v>
      </c>
      <c r="Y161" s="19">
        <f ca="1">IF('Stock Price'!$I$11="OK",L161/INDEX(L$5:L$1258,'Stock Price'!$I$9)-1,"")</f>
        <v>0.30211327134404065</v>
      </c>
      <c r="Z161" s="19">
        <f ca="1">IF('Stock Price'!$I$11="OK",M161/INDEX(M$5:M$1258,'Stock Price'!$I$9)-1,"")</f>
        <v>9.9761874921669325E-2</v>
      </c>
    </row>
    <row r="162" spans="1:26" x14ac:dyDescent="0.2">
      <c r="A162" s="16">
        <f>'Stock Price'!A162</f>
        <v>44700</v>
      </c>
      <c r="B162" s="17">
        <f>'Stock Price'!E162</f>
        <v>151.72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286.27</v>
      </c>
      <c r="L162" s="18">
        <v>75.959999999999994</v>
      </c>
      <c r="M162" s="18">
        <v>173.94</v>
      </c>
      <c r="O162" s="19">
        <f ca="1">IF('Stock Price'!$I$11="OK",B162/INDEX(B$5:B$1258,'Stock Price'!$I$9)-1,"")</f>
        <v>0.38544425166651441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0.23963971766336112</v>
      </c>
      <c r="Y162" s="19">
        <f ca="1">IF('Stock Price'!$I$11="OK",L162/INDEX(L$5:L$1258,'Stock Price'!$I$9)-1,"")</f>
        <v>0.28419273034657633</v>
      </c>
      <c r="Z162" s="19">
        <f ca="1">IF('Stock Price'!$I$11="OK",M162/INDEX(M$5:M$1258,'Stock Price'!$I$9)-1,"")</f>
        <v>8.9986213811254379E-2</v>
      </c>
    </row>
    <row r="163" spans="1:26" x14ac:dyDescent="0.2">
      <c r="A163" s="16">
        <f>'Stock Price'!A163</f>
        <v>44701</v>
      </c>
      <c r="B163" s="17">
        <f>'Stock Price'!E163</f>
        <v>151.01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298.85000000000002</v>
      </c>
      <c r="L163" s="18">
        <v>76.19</v>
      </c>
      <c r="M163" s="18">
        <v>176.98</v>
      </c>
      <c r="O163" s="19">
        <f ca="1">IF('Stock Price'!$I$11="OK",B163/INDEX(B$5:B$1258,'Stock Price'!$I$9)-1,"")</f>
        <v>0.37896082549538845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0.29411509981379647</v>
      </c>
      <c r="Y163" s="19">
        <f ca="1">IF('Stock Price'!$I$11="OK",L163/INDEX(L$5:L$1258,'Stock Price'!$I$9)-1,"")</f>
        <v>0.28808114961961118</v>
      </c>
      <c r="Z163" s="19">
        <f ca="1">IF('Stock Price'!$I$11="OK",M163/INDEX(M$5:M$1258,'Stock Price'!$I$9)-1,"")</f>
        <v>0.10903622007770375</v>
      </c>
    </row>
    <row r="164" spans="1:26" x14ac:dyDescent="0.2">
      <c r="A164" s="16">
        <f>'Stock Price'!A164</f>
        <v>44704</v>
      </c>
      <c r="B164" s="17">
        <f>'Stock Price'!E164</f>
        <v>148.03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302.60000000000002</v>
      </c>
      <c r="L164" s="18">
        <v>76.7</v>
      </c>
      <c r="M164" s="18">
        <v>179.44</v>
      </c>
      <c r="O164" s="19">
        <f ca="1">IF('Stock Price'!$I$11="OK",B164/INDEX(B$5:B$1258,'Stock Price'!$I$9)-1,"")</f>
        <v>0.35174869874897263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0.31035378686181958</v>
      </c>
      <c r="Y164" s="19">
        <f ca="1">IF('Stock Price'!$I$11="OK",L164/INDEX(L$5:L$1258,'Stock Price'!$I$9)-1,"")</f>
        <v>0.29670329670329676</v>
      </c>
      <c r="Z164" s="19">
        <f ca="1">IF('Stock Price'!$I$11="OK",M164/INDEX(M$5:M$1258,'Stock Price'!$I$9)-1,"")</f>
        <v>0.12445168567489651</v>
      </c>
    </row>
    <row r="165" spans="1:26" x14ac:dyDescent="0.2">
      <c r="A165" s="16">
        <f>'Stock Price'!A165</f>
        <v>44705</v>
      </c>
      <c r="B165" s="17">
        <f>'Stock Price'!E165</f>
        <v>149.11000000000001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305.95999999999998</v>
      </c>
      <c r="L165" s="18">
        <v>77.13</v>
      </c>
      <c r="M165" s="18">
        <v>181.4</v>
      </c>
      <c r="O165" s="19">
        <f ca="1">IF('Stock Price'!$I$11="OK",B165/INDEX(B$5:B$1258,'Stock Price'!$I$9)-1,"")</f>
        <v>0.36161081179800947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0.32490365045684833</v>
      </c>
      <c r="Y165" s="19">
        <f ca="1">IF('Stock Price'!$I$11="OK",L165/INDEX(L$5:L$1258,'Stock Price'!$I$9)-1,"")</f>
        <v>0.30397295012679626</v>
      </c>
      <c r="Z165" s="19">
        <f ca="1">IF('Stock Price'!$I$11="OK",M165/INDEX(M$5:M$1258,'Stock Price'!$I$9)-1,"")</f>
        <v>0.13673392655721273</v>
      </c>
    </row>
    <row r="166" spans="1:26" x14ac:dyDescent="0.2">
      <c r="A166" s="16">
        <f>'Stock Price'!A166</f>
        <v>44706</v>
      </c>
      <c r="B166" s="17">
        <f>'Stock Price'!E166</f>
        <v>151.96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307.01</v>
      </c>
      <c r="L166" s="18">
        <v>77.239999999999995</v>
      </c>
      <c r="M166" s="18">
        <v>179.62</v>
      </c>
      <c r="O166" s="19">
        <f ca="1">IF('Stock Price'!$I$11="OK",B166/INDEX(B$5:B$1258,'Stock Price'!$I$9)-1,"")</f>
        <v>0.38763583234407828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0.32945048283029488</v>
      </c>
      <c r="Y166" s="19">
        <f ca="1">IF('Stock Price'!$I$11="OK",L166/INDEX(L$5:L$1258,'Stock Price'!$I$9)-1,"")</f>
        <v>0.30583262890955187</v>
      </c>
      <c r="Z166" s="19">
        <f ca="1">IF('Stock Price'!$I$11="OK",M166/INDEX(M$5:M$1258,'Stock Price'!$I$9)-1,"")</f>
        <v>0.12557964657225207</v>
      </c>
    </row>
    <row r="167" spans="1:26" x14ac:dyDescent="0.2">
      <c r="A167" s="16">
        <f>'Stock Price'!A167</f>
        <v>44707</v>
      </c>
      <c r="B167" s="17">
        <f>'Stock Price'!E167</f>
        <v>150.57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313.45999999999998</v>
      </c>
      <c r="L167" s="18">
        <v>77.59</v>
      </c>
      <c r="M167" s="18">
        <v>179.46</v>
      </c>
      <c r="O167" s="19">
        <f ca="1">IF('Stock Price'!$I$11="OK",B167/INDEX(B$5:B$1258,'Stock Price'!$I$9)-1,"")</f>
        <v>0.3749429275865217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0.35738102455289478</v>
      </c>
      <c r="Y167" s="19">
        <f ca="1">IF('Stock Price'!$I$11="OK",L167/INDEX(L$5:L$1258,'Stock Price'!$I$9)-1,"")</f>
        <v>0.31174978867286574</v>
      </c>
      <c r="Z167" s="19">
        <f ca="1">IF('Stock Price'!$I$11="OK",M167/INDEX(M$5:M$1258,'Stock Price'!$I$9)-1,"")</f>
        <v>0.12457701466349169</v>
      </c>
    </row>
    <row r="168" spans="1:26" x14ac:dyDescent="0.2">
      <c r="A168" s="16">
        <f>'Stock Price'!A168</f>
        <v>44708</v>
      </c>
      <c r="B168" s="17">
        <f>'Stock Price'!E168</f>
        <v>150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323.48</v>
      </c>
      <c r="L168" s="18">
        <v>76.14</v>
      </c>
      <c r="M168" s="18">
        <v>181.09</v>
      </c>
      <c r="O168" s="19">
        <f ca="1">IF('Stock Price'!$I$11="OK",B168/INDEX(B$5:B$1258,'Stock Price'!$I$9)-1,"")</f>
        <v>0.36973792347730794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0.40077079634521295</v>
      </c>
      <c r="Y168" s="19">
        <f ca="1">IF('Stock Price'!$I$11="OK",L168/INDEX(L$5:L$1258,'Stock Price'!$I$9)-1,"")</f>
        <v>0.28723584108199507</v>
      </c>
      <c r="Z168" s="19">
        <f ca="1">IF('Stock Price'!$I$11="OK",M168/INDEX(M$5:M$1258,'Stock Price'!$I$9)-1,"")</f>
        <v>0.13479132723398912</v>
      </c>
    </row>
    <row r="169" spans="1:26" x14ac:dyDescent="0.2">
      <c r="A169" s="16">
        <f>'Stock Price'!A169</f>
        <v>44712</v>
      </c>
      <c r="B169" s="17">
        <f>'Stock Price'!E169</f>
        <v>147.37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313.44</v>
      </c>
      <c r="L169" s="18">
        <v>75.45</v>
      </c>
      <c r="M169" s="18">
        <v>179.53</v>
      </c>
      <c r="O169" s="19">
        <f ca="1">IF('Stock Price'!$I$11="OK",B169/INDEX(B$5:B$1258,'Stock Price'!$I$9)-1,"")</f>
        <v>0.34572185188567262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0.35729441822197194</v>
      </c>
      <c r="Y169" s="19">
        <f ca="1">IF('Stock Price'!$I$11="OK",L169/INDEX(L$5:L$1258,'Stock Price'!$I$9)-1,"")</f>
        <v>0.27557058326289097</v>
      </c>
      <c r="Z169" s="19">
        <f ca="1">IF('Stock Price'!$I$11="OK",M169/INDEX(M$5:M$1258,'Stock Price'!$I$9)-1,"")</f>
        <v>0.1250156661235744</v>
      </c>
    </row>
    <row r="170" spans="1:26" x14ac:dyDescent="0.2">
      <c r="A170" s="16">
        <f>'Stock Price'!A170</f>
        <v>44713</v>
      </c>
      <c r="B170" s="17">
        <f>'Stock Price'!E170</f>
        <v>146.02000000000001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311.08</v>
      </c>
      <c r="L170" s="18">
        <v>74.959999999999994</v>
      </c>
      <c r="M170" s="18">
        <v>177.71</v>
      </c>
      <c r="O170" s="19">
        <f ca="1">IF('Stock Price'!$I$11="OK",B170/INDEX(B$5:B$1258,'Stock Price'!$I$9)-1,"")</f>
        <v>0.33339421057437679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0.34707487117308267</v>
      </c>
      <c r="Y170" s="19">
        <f ca="1">IF('Stock Price'!$I$11="OK",L170/INDEX(L$5:L$1258,'Stock Price'!$I$9)-1,"")</f>
        <v>0.26728655959425174</v>
      </c>
      <c r="Z170" s="19">
        <f ca="1">IF('Stock Price'!$I$11="OK",M170/INDEX(M$5:M$1258,'Stock Price'!$I$9)-1,"")</f>
        <v>0.11361072816142359</v>
      </c>
    </row>
    <row r="171" spans="1:26" x14ac:dyDescent="0.2">
      <c r="A171" s="16">
        <f>'Stock Price'!A171</f>
        <v>44714</v>
      </c>
      <c r="B171" s="17">
        <f>'Stock Price'!E171</f>
        <v>146.75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302.43</v>
      </c>
      <c r="L171" s="18">
        <v>75.069999999999993</v>
      </c>
      <c r="M171" s="18">
        <v>177.15</v>
      </c>
      <c r="O171" s="19">
        <f ca="1">IF('Stock Price'!$I$11="OK",B171/INDEX(B$5:B$1258,'Stock Price'!$I$9)-1,"")</f>
        <v>0.34006026846863291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0.30961763304897594</v>
      </c>
      <c r="Y171" s="19">
        <f ca="1">IF('Stock Price'!$I$11="OK",L171/INDEX(L$5:L$1258,'Stock Price'!$I$9)-1,"")</f>
        <v>0.26914623837700757</v>
      </c>
      <c r="Z171" s="19">
        <f ca="1">IF('Stock Price'!$I$11="OK",M171/INDEX(M$5:M$1258,'Stock Price'!$I$9)-1,"")</f>
        <v>0.11010151648076194</v>
      </c>
    </row>
    <row r="172" spans="1:26" x14ac:dyDescent="0.2">
      <c r="A172" s="16">
        <f>'Stock Price'!A172</f>
        <v>44715</v>
      </c>
      <c r="B172" s="17">
        <f>'Stock Price'!E172</f>
        <v>147.16999999999999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301.64999999999998</v>
      </c>
      <c r="L172" s="18">
        <v>75.17</v>
      </c>
      <c r="M172" s="18">
        <v>176.42</v>
      </c>
      <c r="O172" s="19">
        <f ca="1">IF('Stock Price'!$I$11="OK",B172/INDEX(B$5:B$1258,'Stock Price'!$I$9)-1,"")</f>
        <v>0.34389553465436928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0.30623998614298698</v>
      </c>
      <c r="Y172" s="19">
        <f ca="1">IF('Stock Price'!$I$11="OK",L172/INDEX(L$5:L$1258,'Stock Price'!$I$9)-1,"")</f>
        <v>0.27083685545224023</v>
      </c>
      <c r="Z172" s="19">
        <f ca="1">IF('Stock Price'!$I$11="OK",M172/INDEX(M$5:M$1258,'Stock Price'!$I$9)-1,"")</f>
        <v>0.1055270083970421</v>
      </c>
    </row>
    <row r="173" spans="1:26" x14ac:dyDescent="0.2">
      <c r="A173" s="16">
        <f>'Stock Price'!A173</f>
        <v>44718</v>
      </c>
      <c r="B173" s="17">
        <f>'Stock Price'!E173</f>
        <v>146.53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303.36</v>
      </c>
      <c r="L173" s="18">
        <v>75.25</v>
      </c>
      <c r="M173" s="18">
        <v>176.4</v>
      </c>
      <c r="O173" s="19">
        <f ca="1">IF('Stock Price'!$I$11="OK",B173/INDEX(B$5:B$1258,'Stock Price'!$I$9)-1,"")</f>
        <v>0.33805131951419964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0.31364482743688571</v>
      </c>
      <c r="Y173" s="19">
        <f ca="1">IF('Stock Price'!$I$11="OK",L173/INDEX(L$5:L$1258,'Stock Price'!$I$9)-1,"")</f>
        <v>0.27218934911242609</v>
      </c>
      <c r="Z173" s="19">
        <f ca="1">IF('Stock Price'!$I$11="OK",M173/INDEX(M$5:M$1258,'Stock Price'!$I$9)-1,"")</f>
        <v>0.10540167940844714</v>
      </c>
    </row>
    <row r="174" spans="1:26" x14ac:dyDescent="0.2">
      <c r="A174" s="16">
        <f>'Stock Price'!A174</f>
        <v>44719</v>
      </c>
      <c r="B174" s="17">
        <f>'Stock Price'!E174</f>
        <v>149.13999999999999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312.10000000000002</v>
      </c>
      <c r="L174" s="18">
        <v>76.59</v>
      </c>
      <c r="M174" s="18">
        <v>178.34</v>
      </c>
      <c r="O174" s="19">
        <f ca="1">IF('Stock Price'!$I$11="OK",B174/INDEX(B$5:B$1258,'Stock Price'!$I$9)-1,"")</f>
        <v>0.36188475938270459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0.35149179405014519</v>
      </c>
      <c r="Y174" s="19">
        <f ca="1">IF('Stock Price'!$I$11="OK",L174/INDEX(L$5:L$1258,'Stock Price'!$I$9)-1,"")</f>
        <v>0.29484361792054115</v>
      </c>
      <c r="Z174" s="19">
        <f ca="1">IF('Stock Price'!$I$11="OK",M174/INDEX(M$5:M$1258,'Stock Price'!$I$9)-1,"")</f>
        <v>0.11755859130216817</v>
      </c>
    </row>
    <row r="175" spans="1:26" x14ac:dyDescent="0.2">
      <c r="A175" s="16">
        <f>'Stock Price'!A175</f>
        <v>44720</v>
      </c>
      <c r="B175" s="17">
        <f>'Stock Price'!E175</f>
        <v>149.25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313.49</v>
      </c>
      <c r="L175" s="18">
        <v>76.180000000000007</v>
      </c>
      <c r="M175" s="18">
        <v>177.28</v>
      </c>
      <c r="O175" s="19">
        <f ca="1">IF('Stock Price'!$I$11="OK",B175/INDEX(B$5:B$1258,'Stock Price'!$I$9)-1,"")</f>
        <v>0.36288923385992145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0.35751093404927903</v>
      </c>
      <c r="Y175" s="19">
        <f ca="1">IF('Stock Price'!$I$11="OK",L175/INDEX(L$5:L$1258,'Stock Price'!$I$9)-1,"")</f>
        <v>0.287912087912088</v>
      </c>
      <c r="Z175" s="19">
        <f ca="1">IF('Stock Price'!$I$11="OK",M175/INDEX(M$5:M$1258,'Stock Price'!$I$9)-1,"")</f>
        <v>0.11091615490662976</v>
      </c>
    </row>
    <row r="176" spans="1:26" x14ac:dyDescent="0.2">
      <c r="A176" s="16">
        <f>'Stock Price'!A176</f>
        <v>44721</v>
      </c>
      <c r="B176" s="17">
        <f>'Stock Price'!E176</f>
        <v>145.43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303.25</v>
      </c>
      <c r="L176" s="18">
        <v>75.98</v>
      </c>
      <c r="M176" s="18">
        <v>173.71</v>
      </c>
      <c r="O176" s="19">
        <f ca="1">IF('Stock Price'!$I$11="OK",B176/INDEX(B$5:B$1258,'Stock Price'!$I$9)-1,"")</f>
        <v>0.32800657474203265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0.31316849261681035</v>
      </c>
      <c r="Y176" s="19">
        <f ca="1">IF('Stock Price'!$I$11="OK",L176/INDEX(L$5:L$1258,'Stock Price'!$I$9)-1,"")</f>
        <v>0.28453085376162313</v>
      </c>
      <c r="Z176" s="19">
        <f ca="1">IF('Stock Price'!$I$11="OK",M176/INDEX(M$5:M$1258,'Stock Price'!$I$9)-1,"")</f>
        <v>8.8544930442411296E-2</v>
      </c>
    </row>
    <row r="177" spans="1:26" x14ac:dyDescent="0.2">
      <c r="A177" s="16">
        <f>'Stock Price'!A177</f>
        <v>44722</v>
      </c>
      <c r="B177" s="17">
        <f>'Stock Price'!E177</f>
        <v>143.19999999999999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297.01</v>
      </c>
      <c r="L177" s="18">
        <v>75.09</v>
      </c>
      <c r="M177" s="18">
        <v>172.55</v>
      </c>
      <c r="O177" s="19">
        <f ca="1">IF('Stock Price'!$I$11="OK",B177/INDEX(B$5:B$1258,'Stock Price'!$I$9)-1,"")</f>
        <v>0.3076431376130031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0.28614731736889953</v>
      </c>
      <c r="Y177" s="19">
        <f ca="1">IF('Stock Price'!$I$11="OK",L177/INDEX(L$5:L$1258,'Stock Price'!$I$9)-1,"")</f>
        <v>0.26948436179205415</v>
      </c>
      <c r="Z177" s="19">
        <f ca="1">IF('Stock Price'!$I$11="OK",M177/INDEX(M$5:M$1258,'Stock Price'!$I$9)-1,"")</f>
        <v>8.1275849103897624E-2</v>
      </c>
    </row>
    <row r="178" spans="1:26" x14ac:dyDescent="0.2">
      <c r="A178" s="16">
        <f>'Stock Price'!A178</f>
        <v>44725</v>
      </c>
      <c r="B178" s="17">
        <f>'Stock Price'!E178</f>
        <v>139.41999999999999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291.27999999999997</v>
      </c>
      <c r="L178" s="18">
        <v>73.58</v>
      </c>
      <c r="M178" s="18">
        <v>170.81</v>
      </c>
      <c r="O178" s="19">
        <f ca="1">IF('Stock Price'!$I$11="OK",B178/INDEX(B$5:B$1258,'Stock Price'!$I$9)-1,"")</f>
        <v>0.27312574194137507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0.2613346035595201</v>
      </c>
      <c r="Y178" s="19">
        <f ca="1">IF('Stock Price'!$I$11="OK",L178/INDEX(L$5:L$1258,'Stock Price'!$I$9)-1,"")</f>
        <v>0.24395604395604398</v>
      </c>
      <c r="Z178" s="19">
        <f ca="1">IF('Stock Price'!$I$11="OK",M178/INDEX(M$5:M$1258,'Stock Price'!$I$9)-1,"")</f>
        <v>7.0372227096127338E-2</v>
      </c>
    </row>
    <row r="179" spans="1:26" x14ac:dyDescent="0.2">
      <c r="A179" s="16">
        <f>'Stock Price'!A179</f>
        <v>44726</v>
      </c>
      <c r="B179" s="17">
        <f>'Stock Price'!E179</f>
        <v>137.62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290.79000000000002</v>
      </c>
      <c r="L179" s="18">
        <v>72.87</v>
      </c>
      <c r="M179" s="18">
        <v>168.19</v>
      </c>
      <c r="O179" s="19">
        <f ca="1">IF('Stock Price'!$I$11="OK",B179/INDEX(B$5:B$1258,'Stock Price'!$I$9)-1,"")</f>
        <v>0.25668888685964752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0.25921274845191178</v>
      </c>
      <c r="Y179" s="19">
        <f ca="1">IF('Stock Price'!$I$11="OK",L179/INDEX(L$5:L$1258,'Stock Price'!$I$9)-1,"")</f>
        <v>0.23195266272189352</v>
      </c>
      <c r="Z179" s="19">
        <f ca="1">IF('Stock Price'!$I$11="OK",M179/INDEX(M$5:M$1258,'Stock Price'!$I$9)-1,"")</f>
        <v>5.3954129590174205E-2</v>
      </c>
    </row>
    <row r="180" spans="1:26" x14ac:dyDescent="0.2">
      <c r="A180" s="16">
        <f>'Stock Price'!A180</f>
        <v>44727</v>
      </c>
      <c r="B180" s="17">
        <f>'Stock Price'!E180</f>
        <v>138.09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292.99</v>
      </c>
      <c r="L180" s="18">
        <v>73.02</v>
      </c>
      <c r="M180" s="18">
        <v>169.99</v>
      </c>
      <c r="O180" s="19">
        <f ca="1">IF('Stock Price'!$I$11="OK",B180/INDEX(B$5:B$1258,'Stock Price'!$I$9)-1,"")</f>
        <v>0.26098073235320962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0.26873944485341883</v>
      </c>
      <c r="Y180" s="19">
        <f ca="1">IF('Stock Price'!$I$11="OK",L180/INDEX(L$5:L$1258,'Stock Price'!$I$9)-1,"")</f>
        <v>0.23448858833474207</v>
      </c>
      <c r="Z180" s="19">
        <f ca="1">IF('Stock Price'!$I$11="OK",M180/INDEX(M$5:M$1258,'Stock Price'!$I$9)-1,"")</f>
        <v>6.5233738563729826E-2</v>
      </c>
    </row>
    <row r="181" spans="1:26" x14ac:dyDescent="0.2">
      <c r="A181" s="16">
        <f>'Stock Price'!A181</f>
        <v>44728</v>
      </c>
      <c r="B181" s="17">
        <f>'Stock Price'!E181</f>
        <v>139.15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288.07</v>
      </c>
      <c r="L181" s="18">
        <v>72.62</v>
      </c>
      <c r="M181" s="18">
        <v>170.08</v>
      </c>
      <c r="O181" s="19">
        <f ca="1">IF('Stock Price'!$I$11="OK",B181/INDEX(B$5:B$1258,'Stock Price'!$I$9)-1,"")</f>
        <v>0.27066021367911608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0.24743428744641216</v>
      </c>
      <c r="Y181" s="19">
        <f ca="1">IF('Stock Price'!$I$11="OK",L181/INDEX(L$5:L$1258,'Stock Price'!$I$9)-1,"")</f>
        <v>0.22772612003381254</v>
      </c>
      <c r="Z181" s="19">
        <f ca="1">IF('Stock Price'!$I$11="OK",M181/INDEX(M$5:M$1258,'Stock Price'!$I$9)-1,"")</f>
        <v>6.5797719012407496E-2</v>
      </c>
    </row>
    <row r="182" spans="1:26" x14ac:dyDescent="0.2">
      <c r="A182" s="16">
        <f>'Stock Price'!A182</f>
        <v>44729</v>
      </c>
      <c r="B182" s="17">
        <f>'Stock Price'!E182</f>
        <v>138.28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290.89999999999998</v>
      </c>
      <c r="L182" s="18">
        <v>73.77</v>
      </c>
      <c r="M182" s="18">
        <v>169.46</v>
      </c>
      <c r="O182" s="19">
        <f ca="1">IF('Stock Price'!$I$11="OK",B182/INDEX(B$5:B$1258,'Stock Price'!$I$9)-1,"")</f>
        <v>0.26271573372294754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0.25968908327198714</v>
      </c>
      <c r="Y182" s="19">
        <f ca="1">IF('Stock Price'!$I$11="OK",L182/INDEX(L$5:L$1258,'Stock Price'!$I$9)-1,"")</f>
        <v>0.24716821639898567</v>
      </c>
      <c r="Z182" s="19">
        <f ca="1">IF('Stock Price'!$I$11="OK",M182/INDEX(M$5:M$1258,'Stock Price'!$I$9)-1,"")</f>
        <v>6.1912520365960511E-2</v>
      </c>
    </row>
    <row r="183" spans="1:26" x14ac:dyDescent="0.2">
      <c r="A183" s="16">
        <f>'Stock Price'!A183</f>
        <v>44733</v>
      </c>
      <c r="B183" s="17">
        <f>'Stock Price'!E183</f>
        <v>143.47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297.33999999999997</v>
      </c>
      <c r="L183" s="18">
        <v>76.47</v>
      </c>
      <c r="M183" s="18">
        <v>173.01</v>
      </c>
      <c r="O183" s="19">
        <f ca="1">IF('Stock Price'!$I$11="OK",B183/INDEX(B$5:B$1258,'Stock Price'!$I$9)-1,"")</f>
        <v>0.31010866587526253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0.28757632182912563</v>
      </c>
      <c r="Y183" s="19">
        <f ca="1">IF('Stock Price'!$I$11="OK",L183/INDEX(L$5:L$1258,'Stock Price'!$I$9)-1,"")</f>
        <v>0.29281487743026213</v>
      </c>
      <c r="Z183" s="19">
        <f ca="1">IF('Stock Price'!$I$11="OK",M183/INDEX(M$5:M$1258,'Stock Price'!$I$9)-1,"")</f>
        <v>8.4158415841584011E-2</v>
      </c>
    </row>
    <row r="184" spans="1:26" x14ac:dyDescent="0.2">
      <c r="A184" s="16">
        <f>'Stock Price'!A184</f>
        <v>44734</v>
      </c>
      <c r="B184" s="17">
        <f>'Stock Price'!E184</f>
        <v>147.56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306.69</v>
      </c>
      <c r="L184" s="18">
        <v>76.55</v>
      </c>
      <c r="M184" s="18">
        <v>175.74</v>
      </c>
      <c r="O184" s="19">
        <f ca="1">IF('Stock Price'!$I$11="OK",B184/INDEX(B$5:B$1258,'Stock Price'!$I$9)-1,"")</f>
        <v>0.34745685325541031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0.3280647815355302</v>
      </c>
      <c r="Y184" s="19">
        <f ca="1">IF('Stock Price'!$I$11="OK",L184/INDEX(L$5:L$1258,'Stock Price'!$I$9)-1,"")</f>
        <v>0.29416737109044799</v>
      </c>
      <c r="Z184" s="19">
        <f ca="1">IF('Stock Price'!$I$11="OK",M184/INDEX(M$5:M$1258,'Stock Price'!$I$9)-1,"")</f>
        <v>0.10126582278481</v>
      </c>
    </row>
    <row r="185" spans="1:26" x14ac:dyDescent="0.2">
      <c r="A185" s="16">
        <f>'Stock Price'!A185</f>
        <v>44735</v>
      </c>
      <c r="B185" s="17">
        <f>'Stock Price'!E185</f>
        <v>149.44999999999999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312.72000000000003</v>
      </c>
      <c r="L185" s="18">
        <v>77.69</v>
      </c>
      <c r="M185" s="18">
        <v>179.66</v>
      </c>
      <c r="O185" s="19">
        <f ca="1">IF('Stock Price'!$I$11="OK",B185/INDEX(B$5:B$1258,'Stock Price'!$I$9)-1,"")</f>
        <v>0.36471555109122433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0.3541765903087517</v>
      </c>
      <c r="Y185" s="19">
        <f ca="1">IF('Stock Price'!$I$11="OK",L185/INDEX(L$5:L$1258,'Stock Price'!$I$9)-1,"")</f>
        <v>0.31344040574809795</v>
      </c>
      <c r="Z185" s="19">
        <f ca="1">IF('Stock Price'!$I$11="OK",M185/INDEX(M$5:M$1258,'Stock Price'!$I$9)-1,"")</f>
        <v>0.12583030454944222</v>
      </c>
    </row>
    <row r="186" spans="1:26" x14ac:dyDescent="0.2">
      <c r="A186" s="16">
        <f>'Stock Price'!A186</f>
        <v>44736</v>
      </c>
      <c r="B186" s="17">
        <f>'Stock Price'!E186</f>
        <v>152.34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325.62</v>
      </c>
      <c r="L186" s="18">
        <v>78.959999999999994</v>
      </c>
      <c r="M186" s="18">
        <v>182.29</v>
      </c>
      <c r="O186" s="19">
        <f ca="1">IF('Stock Price'!$I$11="OK",B186/INDEX(B$5:B$1258,'Stock Price'!$I$9)-1,"")</f>
        <v>0.3911058350835539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0.41003767375395128</v>
      </c>
      <c r="Y186" s="19">
        <f ca="1">IF('Stock Price'!$I$11="OK",L186/INDEX(L$5:L$1258,'Stock Price'!$I$9)-1,"")</f>
        <v>0.33491124260355032</v>
      </c>
      <c r="Z186" s="19">
        <f ca="1">IF('Stock Price'!$I$11="OK",M186/INDEX(M$5:M$1258,'Stock Price'!$I$9)-1,"")</f>
        <v>0.14231106654969272</v>
      </c>
    </row>
    <row r="187" spans="1:26" x14ac:dyDescent="0.2">
      <c r="A187" s="16">
        <f>'Stock Price'!A187</f>
        <v>44739</v>
      </c>
      <c r="B187" s="17">
        <f>'Stock Price'!E187</f>
        <v>153.13999999999999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327.27</v>
      </c>
      <c r="L187" s="18">
        <v>79.98</v>
      </c>
      <c r="M187" s="18">
        <v>182.12</v>
      </c>
      <c r="O187" s="19">
        <f ca="1">IF('Stock Price'!$I$11="OK",B187/INDEX(B$5:B$1258,'Stock Price'!$I$9)-1,"")</f>
        <v>0.39841110400876611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0.41718269605508151</v>
      </c>
      <c r="Y187" s="19">
        <f ca="1">IF('Stock Price'!$I$11="OK",L187/INDEX(L$5:L$1258,'Stock Price'!$I$9)-1,"")</f>
        <v>0.35215553677092148</v>
      </c>
      <c r="Z187" s="19">
        <f ca="1">IF('Stock Price'!$I$11="OK",M187/INDEX(M$5:M$1258,'Stock Price'!$I$9)-1,"")</f>
        <v>0.14124577014663475</v>
      </c>
    </row>
    <row r="188" spans="1:26" x14ac:dyDescent="0.2">
      <c r="A188" s="16">
        <f>'Stock Price'!A188</f>
        <v>44740</v>
      </c>
      <c r="B188" s="17">
        <f>'Stock Price'!E188</f>
        <v>152.49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317.62</v>
      </c>
      <c r="L188" s="18">
        <v>78.7</v>
      </c>
      <c r="M188" s="18">
        <v>176.94</v>
      </c>
      <c r="O188" s="19">
        <f ca="1">IF('Stock Price'!$I$11="OK",B188/INDEX(B$5:B$1258,'Stock Price'!$I$9)-1,"")</f>
        <v>0.39247557300703129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0.37539514138483532</v>
      </c>
      <c r="Y188" s="19">
        <f ca="1">IF('Stock Price'!$I$11="OK",L188/INDEX(L$5:L$1258,'Stock Price'!$I$9)-1,"")</f>
        <v>0.33051563820794594</v>
      </c>
      <c r="Z188" s="19">
        <f ca="1">IF('Stock Price'!$I$11="OK",M188/INDEX(M$5:M$1258,'Stock Price'!$I$9)-1,"")</f>
        <v>0.10878556210051382</v>
      </c>
    </row>
    <row r="189" spans="1:26" x14ac:dyDescent="0.2">
      <c r="A189" s="16">
        <f>'Stock Price'!A189</f>
        <v>44741</v>
      </c>
      <c r="B189" s="17">
        <f>'Stock Price'!E189</f>
        <v>154.13999999999999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323</v>
      </c>
      <c r="L189" s="18">
        <v>78.28</v>
      </c>
      <c r="M189" s="18">
        <v>176.99</v>
      </c>
      <c r="O189" s="19">
        <f ca="1">IF('Stock Price'!$I$11="OK",B189/INDEX(B$5:B$1258,'Stock Price'!$I$9)-1,"")</f>
        <v>0.40754269016528144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0.39869224440306583</v>
      </c>
      <c r="Y189" s="19">
        <f ca="1">IF('Stock Price'!$I$11="OK",L189/INDEX(L$5:L$1258,'Stock Price'!$I$9)-1,"")</f>
        <v>0.32341504649196962</v>
      </c>
      <c r="Z189" s="19">
        <f ca="1">IF('Stock Price'!$I$11="OK",M189/INDEX(M$5:M$1258,'Stock Price'!$I$9)-1,"")</f>
        <v>0.10909888457200156</v>
      </c>
    </row>
    <row r="190" spans="1:26" x14ac:dyDescent="0.2">
      <c r="A190" s="16">
        <f>'Stock Price'!A190</f>
        <v>44742</v>
      </c>
      <c r="B190" s="17">
        <f>'Stock Price'!E190</f>
        <v>153.16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324.23</v>
      </c>
      <c r="L190" s="18">
        <v>77</v>
      </c>
      <c r="M190" s="18">
        <v>177.51</v>
      </c>
      <c r="O190" s="19">
        <f ca="1">IF('Stock Price'!$I$11="OK",B190/INDEX(B$5:B$1258,'Stock Price'!$I$9)-1,"")</f>
        <v>0.39859373573189649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0.40401853375481744</v>
      </c>
      <c r="Y190" s="19">
        <f ca="1">IF('Stock Price'!$I$11="OK",L190/INDEX(L$5:L$1258,'Stock Price'!$I$9)-1,"")</f>
        <v>0.30177514792899407</v>
      </c>
      <c r="Z190" s="19">
        <f ca="1">IF('Stock Price'!$I$11="OK",M190/INDEX(M$5:M$1258,'Stock Price'!$I$9)-1,"")</f>
        <v>0.11235743827547306</v>
      </c>
    </row>
    <row r="191" spans="1:26" x14ac:dyDescent="0.2">
      <c r="A191" s="16">
        <f>'Stock Price'!A191</f>
        <v>44743</v>
      </c>
      <c r="B191" s="17">
        <f>'Stock Price'!E191</f>
        <v>153.80000000000001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324.70999999999998</v>
      </c>
      <c r="L191" s="18">
        <v>76.84</v>
      </c>
      <c r="M191" s="18">
        <v>179.52</v>
      </c>
      <c r="O191" s="19">
        <f ca="1">IF('Stock Price'!$I$11="OK",B191/INDEX(B$5:B$1258,'Stock Price'!$I$9)-1,"")</f>
        <v>0.40443795087206658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0.40609708569696434</v>
      </c>
      <c r="Y191" s="19">
        <f ca="1">IF('Stock Price'!$I$11="OK",L191/INDEX(L$5:L$1258,'Stock Price'!$I$9)-1,"")</f>
        <v>0.29907016060862213</v>
      </c>
      <c r="Z191" s="19">
        <f ca="1">IF('Stock Price'!$I$11="OK",M191/INDEX(M$5:M$1258,'Stock Price'!$I$9)-1,"")</f>
        <v>0.12495300162927681</v>
      </c>
    </row>
    <row r="192" spans="1:26" x14ac:dyDescent="0.2">
      <c r="A192" s="16">
        <f>'Stock Price'!A192</f>
        <v>44747</v>
      </c>
      <c r="B192" s="17">
        <f>'Stock Price'!E192</f>
        <v>153.93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327.18</v>
      </c>
      <c r="L192" s="18">
        <v>75.959999999999994</v>
      </c>
      <c r="M192" s="18">
        <v>178.14</v>
      </c>
      <c r="O192" s="19">
        <f ca="1">IF('Stock Price'!$I$11="OK",B192/INDEX(B$5:B$1258,'Stock Price'!$I$9)-1,"")</f>
        <v>0.40562505707241336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0.41679296756592898</v>
      </c>
      <c r="Y192" s="19">
        <f ca="1">IF('Stock Price'!$I$11="OK",L192/INDEX(L$5:L$1258,'Stock Price'!$I$9)-1,"")</f>
        <v>0.28419273034657633</v>
      </c>
      <c r="Z192" s="19">
        <f ca="1">IF('Stock Price'!$I$11="OK",M192/INDEX(M$5:M$1258,'Stock Price'!$I$9)-1,"")</f>
        <v>0.11630530141621742</v>
      </c>
    </row>
    <row r="193" spans="1:26" x14ac:dyDescent="0.2">
      <c r="A193" s="16">
        <f>'Stock Price'!A193</f>
        <v>44748</v>
      </c>
      <c r="B193" s="17">
        <f>'Stock Price'!E193</f>
        <v>152.53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330.15</v>
      </c>
      <c r="L193" s="18">
        <v>76.22</v>
      </c>
      <c r="M193" s="18">
        <v>178.3</v>
      </c>
      <c r="O193" s="19">
        <f ca="1">IF('Stock Price'!$I$11="OK",B193/INDEX(B$5:B$1258,'Stock Price'!$I$9)-1,"")</f>
        <v>0.39284083645329182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0.42965400770796336</v>
      </c>
      <c r="Y193" s="19">
        <f ca="1">IF('Stock Price'!$I$11="OK",L193/INDEX(L$5:L$1258,'Stock Price'!$I$9)-1,"")</f>
        <v>0.28858833474218093</v>
      </c>
      <c r="Z193" s="19">
        <f ca="1">IF('Stock Price'!$I$11="OK",M193/INDEX(M$5:M$1258,'Stock Price'!$I$9)-1,"")</f>
        <v>0.11730793332497802</v>
      </c>
    </row>
    <row r="194" spans="1:26" x14ac:dyDescent="0.2">
      <c r="A194" s="16">
        <f>'Stock Price'!A194</f>
        <v>44749</v>
      </c>
      <c r="B194" s="17">
        <f>'Stock Price'!E194</f>
        <v>152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327.95</v>
      </c>
      <c r="L194" s="18">
        <v>75.14</v>
      </c>
      <c r="M194" s="18">
        <v>178.5</v>
      </c>
      <c r="O194" s="19">
        <f ca="1">IF('Stock Price'!$I$11="OK",B194/INDEX(B$5:B$1258,'Stock Price'!$I$9)-1,"")</f>
        <v>0.38800109579033881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0.42012731130645631</v>
      </c>
      <c r="Y194" s="19">
        <f ca="1">IF('Stock Price'!$I$11="OK",L194/INDEX(L$5:L$1258,'Stock Price'!$I$9)-1,"")</f>
        <v>0.27032967032967048</v>
      </c>
      <c r="Z194" s="19">
        <f ca="1">IF('Stock Price'!$I$11="OK",M194/INDEX(M$5:M$1258,'Stock Price'!$I$9)-1,"")</f>
        <v>0.11856122321092855</v>
      </c>
    </row>
    <row r="195" spans="1:26" x14ac:dyDescent="0.2">
      <c r="A195" s="16">
        <f>'Stock Price'!A195</f>
        <v>44750</v>
      </c>
      <c r="B195" s="17">
        <f>'Stock Price'!E195</f>
        <v>152.85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330.47</v>
      </c>
      <c r="L195" s="18">
        <v>75.38</v>
      </c>
      <c r="M195" s="18">
        <v>178.28</v>
      </c>
      <c r="O195" s="19">
        <f ca="1">IF('Stock Price'!$I$11="OK",B195/INDEX(B$5:B$1258,'Stock Price'!$I$9)-1,"")</f>
        <v>0.39576294402337675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0.43103970900272826</v>
      </c>
      <c r="Y195" s="19">
        <f ca="1">IF('Stock Price'!$I$11="OK",L195/INDEX(L$5:L$1258,'Stock Price'!$I$9)-1,"")</f>
        <v>0.27438715131022828</v>
      </c>
      <c r="Z195" s="19">
        <f ca="1">IF('Stock Price'!$I$11="OK",M195/INDEX(M$5:M$1258,'Stock Price'!$I$9)-1,"")</f>
        <v>0.11718260433638283</v>
      </c>
    </row>
    <row r="196" spans="1:26" x14ac:dyDescent="0.2">
      <c r="A196" s="16">
        <f>'Stock Price'!A196</f>
        <v>44753</v>
      </c>
      <c r="B196" s="17">
        <f>'Stock Price'!E196</f>
        <v>153.22999999999999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331.07</v>
      </c>
      <c r="L196" s="18">
        <v>75.56</v>
      </c>
      <c r="M196" s="18">
        <v>178.35</v>
      </c>
      <c r="O196" s="19">
        <f ca="1">IF('Stock Price'!$I$11="OK",B196/INDEX(B$5:B$1258,'Stock Price'!$I$9)-1,"")</f>
        <v>0.39923294676285259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0.43363789893041171</v>
      </c>
      <c r="Y196" s="19">
        <f ca="1">IF('Stock Price'!$I$11="OK",L196/INDEX(L$5:L$1258,'Stock Price'!$I$9)-1,"")</f>
        <v>0.2774302620456468</v>
      </c>
      <c r="Z196" s="19">
        <f ca="1">IF('Stock Price'!$I$11="OK",M196/INDEX(M$5:M$1258,'Stock Price'!$I$9)-1,"")</f>
        <v>0.11762125579646554</v>
      </c>
    </row>
    <row r="197" spans="1:26" x14ac:dyDescent="0.2">
      <c r="A197" s="16">
        <f>'Stock Price'!A197</f>
        <v>44754</v>
      </c>
      <c r="B197" s="17">
        <f>'Stock Price'!E197</f>
        <v>152.46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323.58999999999997</v>
      </c>
      <c r="L197" s="18">
        <v>75.010000000000005</v>
      </c>
      <c r="M197" s="18">
        <v>175.85</v>
      </c>
      <c r="O197" s="19">
        <f ca="1">IF('Stock Price'!$I$11="OK",B197/INDEX(B$5:B$1258,'Stock Price'!$I$9)-1,"")</f>
        <v>0.39220162542233594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0.4012471311652881</v>
      </c>
      <c r="Y197" s="19">
        <f ca="1">IF('Stock Price'!$I$11="OK",L197/INDEX(L$5:L$1258,'Stock Price'!$I$9)-1,"")</f>
        <v>0.26813186813186829</v>
      </c>
      <c r="Z197" s="19">
        <f ca="1">IF('Stock Price'!$I$11="OK",M197/INDEX(M$5:M$1258,'Stock Price'!$I$9)-1,"")</f>
        <v>0.10195513222208286</v>
      </c>
    </row>
    <row r="198" spans="1:26" x14ac:dyDescent="0.2">
      <c r="A198" s="16">
        <f>'Stock Price'!A198</f>
        <v>44755</v>
      </c>
      <c r="B198" s="17">
        <f>'Stock Price'!E198</f>
        <v>152.15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322.45999999999998</v>
      </c>
      <c r="L198" s="18">
        <v>74.53</v>
      </c>
      <c r="M198" s="18">
        <v>175.44</v>
      </c>
      <c r="O198" s="19">
        <f ca="1">IF('Stock Price'!$I$11="OK",B198/INDEX(B$5:B$1258,'Stock Price'!$I$9)-1,"")</f>
        <v>0.38937083371381598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0.39635387346815043</v>
      </c>
      <c r="Y198" s="19">
        <f ca="1">IF('Stock Price'!$I$11="OK",L198/INDEX(L$5:L$1258,'Stock Price'!$I$9)-1,"")</f>
        <v>0.26001690617075246</v>
      </c>
      <c r="Z198" s="19">
        <f ca="1">IF('Stock Price'!$I$11="OK",M198/INDEX(M$5:M$1258,'Stock Price'!$I$9)-1,"")</f>
        <v>9.9385887955883989E-2</v>
      </c>
    </row>
    <row r="199" spans="1:26" x14ac:dyDescent="0.2">
      <c r="A199" s="16">
        <f>'Stock Price'!A199</f>
        <v>44756</v>
      </c>
      <c r="B199" s="17">
        <f>'Stock Price'!E199</f>
        <v>150.44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326.89</v>
      </c>
      <c r="L199" s="18">
        <v>74.010000000000005</v>
      </c>
      <c r="M199" s="18">
        <v>175.68</v>
      </c>
      <c r="O199" s="19">
        <f ca="1">IF('Stock Price'!$I$11="OK",B199/INDEX(B$5:B$1258,'Stock Price'!$I$9)-1,"")</f>
        <v>0.37375582138617469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0.41553717576754856</v>
      </c>
      <c r="Y199" s="19">
        <f ca="1">IF('Stock Price'!$I$11="OK",L199/INDEX(L$5:L$1258,'Stock Price'!$I$9)-1,"")</f>
        <v>0.2512256973795437</v>
      </c>
      <c r="Z199" s="19">
        <f ca="1">IF('Stock Price'!$I$11="OK",M199/INDEX(M$5:M$1258,'Stock Price'!$I$9)-1,"")</f>
        <v>0.10088983581902489</v>
      </c>
    </row>
    <row r="200" spans="1:26" x14ac:dyDescent="0.2">
      <c r="A200" s="16">
        <f>'Stock Price'!A200</f>
        <v>44757</v>
      </c>
      <c r="B200" s="17">
        <f>'Stock Price'!E200</f>
        <v>153.62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331.6</v>
      </c>
      <c r="L200" s="18">
        <v>75.650000000000006</v>
      </c>
      <c r="M200" s="18">
        <v>178.23</v>
      </c>
      <c r="O200" s="19">
        <f ca="1">IF('Stock Price'!$I$11="OK",B200/INDEX(B$5:B$1258,'Stock Price'!$I$9)-1,"")</f>
        <v>0.40279426536389362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0.43593296669986592</v>
      </c>
      <c r="Y200" s="19">
        <f ca="1">IF('Stock Price'!$I$11="OK",L200/INDEX(L$5:L$1258,'Stock Price'!$I$9)-1,"")</f>
        <v>0.27895181741335606</v>
      </c>
      <c r="Z200" s="19">
        <f ca="1">IF('Stock Price'!$I$11="OK",M200/INDEX(M$5:M$1258,'Stock Price'!$I$9)-1,"")</f>
        <v>0.11686928186489509</v>
      </c>
    </row>
    <row r="201" spans="1:26" x14ac:dyDescent="0.2">
      <c r="A201" s="16">
        <f>'Stock Price'!A201</f>
        <v>44760</v>
      </c>
      <c r="B201" s="17">
        <f>'Stock Price'!E201</f>
        <v>149.57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321.77</v>
      </c>
      <c r="L201" s="18">
        <v>73.739999999999995</v>
      </c>
      <c r="M201" s="18">
        <v>174.23</v>
      </c>
      <c r="O201" s="19">
        <f ca="1">IF('Stock Price'!$I$11="OK",B201/INDEX(B$5:B$1258,'Stock Price'!$I$9)-1,"")</f>
        <v>0.36581134143000638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0.39336595505131422</v>
      </c>
      <c r="Y201" s="19">
        <f ca="1">IF('Stock Price'!$I$11="OK",L201/INDEX(L$5:L$1258,'Stock Price'!$I$9)-1,"")</f>
        <v>0.24666103127641592</v>
      </c>
      <c r="Z201" s="19">
        <f ca="1">IF('Stock Price'!$I$11="OK",M201/INDEX(M$5:M$1258,'Stock Price'!$I$9)-1,"")</f>
        <v>9.1803484145882797E-2</v>
      </c>
    </row>
    <row r="202" spans="1:26" x14ac:dyDescent="0.2">
      <c r="A202" s="16">
        <f>'Stock Price'!A202</f>
        <v>44761</v>
      </c>
      <c r="B202" s="17">
        <f>'Stock Price'!E202</f>
        <v>149.74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326.2</v>
      </c>
      <c r="L202" s="18">
        <v>73.14</v>
      </c>
      <c r="M202" s="18">
        <v>171.69</v>
      </c>
      <c r="O202" s="19">
        <f ca="1">IF('Stock Price'!$I$11="OK",B202/INDEX(B$5:B$1258,'Stock Price'!$I$9)-1,"")</f>
        <v>0.36736371107661392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0.41254925735071235</v>
      </c>
      <c r="Y202" s="19">
        <f ca="1">IF('Stock Price'!$I$11="OK",L202/INDEX(L$5:L$1258,'Stock Price'!$I$9)-1,"")</f>
        <v>0.23651732882502108</v>
      </c>
      <c r="Z202" s="19">
        <f ca="1">IF('Stock Price'!$I$11="OK",M202/INDEX(M$5:M$1258,'Stock Price'!$I$9)-1,"")</f>
        <v>7.5886702594309963E-2</v>
      </c>
    </row>
    <row r="203" spans="1:26" x14ac:dyDescent="0.2">
      <c r="A203" s="16">
        <f>'Stock Price'!A203</f>
        <v>44762</v>
      </c>
      <c r="B203" s="17">
        <f>'Stock Price'!E203</f>
        <v>147.69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322.02999999999997</v>
      </c>
      <c r="L203" s="18">
        <v>72.819999999999993</v>
      </c>
      <c r="M203" s="18">
        <v>170.71</v>
      </c>
      <c r="O203" s="19">
        <f ca="1">IF('Stock Price'!$I$11="OK",B203/INDEX(B$5:B$1258,'Stock Price'!$I$9)-1,"")</f>
        <v>0.34864395945575732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0.39449183735331039</v>
      </c>
      <c r="Y203" s="19">
        <f ca="1">IF('Stock Price'!$I$11="OK",L203/INDEX(L$5:L$1258,'Stock Price'!$I$9)-1,"")</f>
        <v>0.23110735418427719</v>
      </c>
      <c r="Z203" s="19">
        <f ca="1">IF('Stock Price'!$I$11="OK",M203/INDEX(M$5:M$1258,'Stock Price'!$I$9)-1,"")</f>
        <v>6.9745582153152075E-2</v>
      </c>
    </row>
    <row r="204" spans="1:26" x14ac:dyDescent="0.2">
      <c r="A204" s="16">
        <f>'Stock Price'!A204</f>
        <v>44763</v>
      </c>
      <c r="B204" s="17">
        <f>'Stock Price'!E204</f>
        <v>147.75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326.92</v>
      </c>
      <c r="L204" s="18">
        <v>73.040000000000006</v>
      </c>
      <c r="M204" s="18">
        <v>171.31</v>
      </c>
      <c r="O204" s="19">
        <f ca="1">IF('Stock Price'!$I$11="OK",B204/INDEX(B$5:B$1258,'Stock Price'!$I$9)-1,"")</f>
        <v>0.34919185462514823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0.41566708526393281</v>
      </c>
      <c r="Y204" s="19">
        <f ca="1">IF('Stock Price'!$I$11="OK",L204/INDEX(L$5:L$1258,'Stock Price'!$I$9)-1,"")</f>
        <v>0.23482671174978886</v>
      </c>
      <c r="Z204" s="19">
        <f ca="1">IF('Stock Price'!$I$11="OK",M204/INDEX(M$5:M$1258,'Stock Price'!$I$9)-1,"")</f>
        <v>7.3505451811003875E-2</v>
      </c>
    </row>
    <row r="205" spans="1:26" x14ac:dyDescent="0.2">
      <c r="A205" s="16">
        <f>'Stock Price'!A205</f>
        <v>44764</v>
      </c>
      <c r="B205" s="17">
        <f>'Stock Price'!E205</f>
        <v>148.47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328.75</v>
      </c>
      <c r="L205" s="18">
        <v>72.95</v>
      </c>
      <c r="M205" s="18">
        <v>172.12</v>
      </c>
      <c r="O205" s="19">
        <f ca="1">IF('Stock Price'!$I$11="OK",B205/INDEX(B$5:B$1258,'Stock Price'!$I$9)-1,"")</f>
        <v>0.35576659665783938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0.4235915645433681</v>
      </c>
      <c r="Y205" s="19">
        <f ca="1">IF('Stock Price'!$I$11="OK",L205/INDEX(L$5:L$1258,'Stock Price'!$I$9)-1,"")</f>
        <v>0.2333051563820796</v>
      </c>
      <c r="Z205" s="19">
        <f ca="1">IF('Stock Price'!$I$11="OK",M205/INDEX(M$5:M$1258,'Stock Price'!$I$9)-1,"")</f>
        <v>7.8581275849103793E-2</v>
      </c>
    </row>
    <row r="206" spans="1:26" x14ac:dyDescent="0.2">
      <c r="A206" s="16">
        <f>'Stock Price'!A206</f>
        <v>44767</v>
      </c>
      <c r="B206" s="17">
        <f>'Stock Price'!E206</f>
        <v>150.22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331.55</v>
      </c>
      <c r="L206" s="18">
        <v>72.84</v>
      </c>
      <c r="M206" s="18">
        <v>172.46</v>
      </c>
      <c r="O206" s="19">
        <f ca="1">IF('Stock Price'!$I$11="OK",B206/INDEX(B$5:B$1258,'Stock Price'!$I$9)-1,"")</f>
        <v>0.37174687243174143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0.43571645087255884</v>
      </c>
      <c r="Y206" s="19">
        <f ca="1">IF('Stock Price'!$I$11="OK",L206/INDEX(L$5:L$1258,'Stock Price'!$I$9)-1,"")</f>
        <v>0.23144547759932377</v>
      </c>
      <c r="Z206" s="19">
        <f ca="1">IF('Stock Price'!$I$11="OK",M206/INDEX(M$5:M$1258,'Stock Price'!$I$9)-1,"")</f>
        <v>8.0711868655219954E-2</v>
      </c>
    </row>
    <row r="207" spans="1:26" x14ac:dyDescent="0.2">
      <c r="A207" s="16">
        <f>'Stock Price'!A207</f>
        <v>44768</v>
      </c>
      <c r="B207" s="17">
        <f>'Stock Price'!E207</f>
        <v>150.87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331.56</v>
      </c>
      <c r="L207" s="18">
        <v>73.63</v>
      </c>
      <c r="M207" s="18">
        <v>173.68</v>
      </c>
      <c r="O207" s="19">
        <f ca="1">IF('Stock Price'!$I$11="OK",B207/INDEX(B$5:B$1258,'Stock Price'!$I$9)-1,"")</f>
        <v>0.37768240343347648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0.43575975403802025</v>
      </c>
      <c r="Y207" s="19">
        <f ca="1">IF('Stock Price'!$I$11="OK",L207/INDEX(L$5:L$1258,'Stock Price'!$I$9)-1,"")</f>
        <v>0.24480135249366008</v>
      </c>
      <c r="Z207" s="19">
        <f ca="1">IF('Stock Price'!$I$11="OK",M207/INDEX(M$5:M$1258,'Stock Price'!$I$9)-1,"")</f>
        <v>8.8356936959518739E-2</v>
      </c>
    </row>
    <row r="208" spans="1:26" x14ac:dyDescent="0.2">
      <c r="A208" s="16">
        <f>'Stock Price'!A208</f>
        <v>44769</v>
      </c>
      <c r="B208" s="17">
        <f>'Stock Price'!E208</f>
        <v>151.15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328.94</v>
      </c>
      <c r="L208" s="18">
        <v>74.81</v>
      </c>
      <c r="M208" s="18">
        <v>173.2</v>
      </c>
      <c r="O208" s="19">
        <f ca="1">IF('Stock Price'!$I$11="OK",B208/INDEX(B$5:B$1258,'Stock Price'!$I$9)-1,"")</f>
        <v>0.38023924755730065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0.42441432468713458</v>
      </c>
      <c r="Y208" s="19">
        <f ca="1">IF('Stock Price'!$I$11="OK",L208/INDEX(L$5:L$1258,'Stock Price'!$I$9)-1,"")</f>
        <v>0.26475063398140319</v>
      </c>
      <c r="Z208" s="19">
        <f ca="1">IF('Stock Price'!$I$11="OK",M208/INDEX(M$5:M$1258,'Stock Price'!$I$9)-1,"")</f>
        <v>8.5349041233237166E-2</v>
      </c>
    </row>
    <row r="209" spans="1:26" x14ac:dyDescent="0.2">
      <c r="A209" s="16">
        <f>'Stock Price'!A209</f>
        <v>44770</v>
      </c>
      <c r="B209" s="17">
        <f>'Stock Price'!E209</f>
        <v>149.75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330.8</v>
      </c>
      <c r="L209" s="18">
        <v>74.7</v>
      </c>
      <c r="M209" s="18">
        <v>174.2</v>
      </c>
      <c r="O209" s="19">
        <f ca="1">IF('Stock Price'!$I$11="OK",B209/INDEX(B$5:B$1258,'Stock Price'!$I$9)-1,"")</f>
        <v>0.36745502693817911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0.43246871346295412</v>
      </c>
      <c r="Y209" s="19">
        <f ca="1">IF('Stock Price'!$I$11="OK",L209/INDEX(L$5:L$1258,'Stock Price'!$I$9)-1,"")</f>
        <v>0.26289095519864758</v>
      </c>
      <c r="Z209" s="19">
        <f ca="1">IF('Stock Price'!$I$11="OK",M209/INDEX(M$5:M$1258,'Stock Price'!$I$9)-1,"")</f>
        <v>9.161549066299024E-2</v>
      </c>
    </row>
    <row r="210" spans="1:26" x14ac:dyDescent="0.2">
      <c r="A210" s="16">
        <f>'Stock Price'!A210</f>
        <v>44771</v>
      </c>
      <c r="B210" s="17">
        <f>'Stock Price'!E210</f>
        <v>143.51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329.69</v>
      </c>
      <c r="L210" s="18">
        <v>73.78</v>
      </c>
      <c r="M210" s="18">
        <v>174.52</v>
      </c>
      <c r="O210" s="19">
        <f ca="1">IF('Stock Price'!$I$11="OK",B210/INDEX(B$5:B$1258,'Stock Price'!$I$9)-1,"")</f>
        <v>0.31047392932152307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0.42766206209673929</v>
      </c>
      <c r="Y210" s="19">
        <f ca="1">IF('Stock Price'!$I$11="OK",L210/INDEX(L$5:L$1258,'Stock Price'!$I$9)-1,"")</f>
        <v>0.24733727810650885</v>
      </c>
      <c r="Z210" s="19">
        <f ca="1">IF('Stock Price'!$I$11="OK",M210/INDEX(M$5:M$1258,'Stock Price'!$I$9)-1,"")</f>
        <v>9.3620754480511215E-2</v>
      </c>
    </row>
    <row r="211" spans="1:26" x14ac:dyDescent="0.2">
      <c r="A211" s="16">
        <f>'Stock Price'!A211</f>
        <v>44774</v>
      </c>
      <c r="B211" s="17">
        <f>'Stock Price'!E211</f>
        <v>140.22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324.14999999999998</v>
      </c>
      <c r="L211" s="18">
        <v>73.62</v>
      </c>
      <c r="M211" s="18">
        <v>173.91</v>
      </c>
      <c r="O211" s="19">
        <f ca="1">IF('Stock Price'!$I$11="OK",B211/INDEX(B$5:B$1258,'Stock Price'!$I$9)-1,"")</f>
        <v>0.2804310108665875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0.40367210843112611</v>
      </c>
      <c r="Y211" s="19">
        <f ca="1">IF('Stock Price'!$I$11="OK",L211/INDEX(L$5:L$1258,'Stock Price'!$I$9)-1,"")</f>
        <v>0.24463229078613713</v>
      </c>
      <c r="Z211" s="19">
        <f ca="1">IF('Stock Price'!$I$11="OK",M211/INDEX(M$5:M$1258,'Stock Price'!$I$9)-1,"")</f>
        <v>8.9798220328361822E-2</v>
      </c>
    </row>
    <row r="212" spans="1:26" x14ac:dyDescent="0.2">
      <c r="A212" s="16">
        <f>'Stock Price'!A212</f>
        <v>44775</v>
      </c>
      <c r="B212" s="17">
        <f>'Stock Price'!E212</f>
        <v>140.38999999999999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320.2</v>
      </c>
      <c r="L212" s="18">
        <v>73.28</v>
      </c>
      <c r="M212" s="18">
        <v>172.92</v>
      </c>
      <c r="O212" s="19">
        <f ca="1">IF('Stock Price'!$I$11="OK",B212/INDEX(B$5:B$1258,'Stock Price'!$I$9)-1,"")</f>
        <v>0.28198338051319505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0.3865673580738751</v>
      </c>
      <c r="Y212" s="19">
        <f ca="1">IF('Stock Price'!$I$11="OK",L212/INDEX(L$5:L$1258,'Stock Price'!$I$9)-1,"")</f>
        <v>0.23888419273034667</v>
      </c>
      <c r="Z212" s="19">
        <f ca="1">IF('Stock Price'!$I$11="OK",M212/INDEX(M$5:M$1258,'Stock Price'!$I$9)-1,"")</f>
        <v>8.3594435392906119E-2</v>
      </c>
    </row>
    <row r="213" spans="1:26" x14ac:dyDescent="0.2">
      <c r="A213" s="16">
        <f>'Stock Price'!A213</f>
        <v>44776</v>
      </c>
      <c r="B213" s="17">
        <f>'Stock Price'!E213</f>
        <v>141.19999999999999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313.83</v>
      </c>
      <c r="L213" s="18">
        <v>72.989999999999995</v>
      </c>
      <c r="M213" s="18">
        <v>174.59</v>
      </c>
      <c r="O213" s="19">
        <f ca="1">IF('Stock Price'!$I$11="OK",B213/INDEX(B$5:B$1258,'Stock Price'!$I$9)-1,"")</f>
        <v>0.28937996529997245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0.35898324167496631</v>
      </c>
      <c r="Y213" s="19">
        <f ca="1">IF('Stock Price'!$I$11="OK",L213/INDEX(L$5:L$1258,'Stock Price'!$I$9)-1,"")</f>
        <v>0.23398140321217231</v>
      </c>
      <c r="Z213" s="19">
        <f ca="1">IF('Stock Price'!$I$11="OK",M213/INDEX(M$5:M$1258,'Stock Price'!$I$9)-1,"")</f>
        <v>9.4059405940593921E-2</v>
      </c>
    </row>
    <row r="214" spans="1:26" x14ac:dyDescent="0.2">
      <c r="A214" s="16">
        <f>'Stock Price'!A214</f>
        <v>44777</v>
      </c>
      <c r="B214" s="17">
        <f>'Stock Price'!E214</f>
        <v>138.91999999999999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305.79000000000002</v>
      </c>
      <c r="L214" s="18">
        <v>72.12</v>
      </c>
      <c r="M214" s="18">
        <v>171.79</v>
      </c>
      <c r="O214" s="19">
        <f ca="1">IF('Stock Price'!$I$11="OK",B214/INDEX(B$5:B$1258,'Stock Price'!$I$9)-1,"")</f>
        <v>0.2685599488631174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0.32416749664400468</v>
      </c>
      <c r="Y214" s="19">
        <f ca="1">IF('Stock Price'!$I$11="OK",L214/INDEX(L$5:L$1258,'Stock Price'!$I$9)-1,"")</f>
        <v>0.21927303465765013</v>
      </c>
      <c r="Z214" s="19">
        <f ca="1">IF('Stock Price'!$I$11="OK",M214/INDEX(M$5:M$1258,'Stock Price'!$I$9)-1,"")</f>
        <v>7.6513347537285226E-2</v>
      </c>
    </row>
    <row r="215" spans="1:26" x14ac:dyDescent="0.2">
      <c r="A215" s="16">
        <f>'Stock Price'!A215</f>
        <v>44778</v>
      </c>
      <c r="B215" s="17">
        <f>'Stock Price'!E215</f>
        <v>138.04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301.32</v>
      </c>
      <c r="L215" s="18">
        <v>72.12</v>
      </c>
      <c r="M215" s="18">
        <v>171.11</v>
      </c>
      <c r="O215" s="19">
        <f ca="1">IF('Stock Price'!$I$11="OK",B215/INDEX(B$5:B$1258,'Stock Price'!$I$9)-1,"")</f>
        <v>0.2605241530453839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0.30481098168276088</v>
      </c>
      <c r="Y215" s="19">
        <f ca="1">IF('Stock Price'!$I$11="OK",L215/INDEX(L$5:L$1258,'Stock Price'!$I$9)-1,"")</f>
        <v>0.21927303465765013</v>
      </c>
      <c r="Z215" s="19">
        <f ca="1">IF('Stock Price'!$I$11="OK",M215/INDEX(M$5:M$1258,'Stock Price'!$I$9)-1,"")</f>
        <v>7.2252161925053349E-2</v>
      </c>
    </row>
    <row r="216" spans="1:26" x14ac:dyDescent="0.2">
      <c r="A216" s="16">
        <f>'Stock Price'!A216</f>
        <v>44781</v>
      </c>
      <c r="B216" s="17">
        <f>'Stock Price'!E216</f>
        <v>140.34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302.5</v>
      </c>
      <c r="L216" s="18">
        <v>73.8</v>
      </c>
      <c r="M216" s="18">
        <v>170.2</v>
      </c>
      <c r="O216" s="19">
        <f ca="1">IF('Stock Price'!$I$11="OK",B216/INDEX(B$5:B$1258,'Stock Price'!$I$9)-1,"")</f>
        <v>0.28152680120536933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0.30992075520720563</v>
      </c>
      <c r="Y216" s="19">
        <f ca="1">IF('Stock Price'!$I$11="OK",L216/INDEX(L$5:L$1258,'Stock Price'!$I$9)-1,"")</f>
        <v>0.24767540152155543</v>
      </c>
      <c r="Z216" s="19">
        <f ca="1">IF('Stock Price'!$I$11="OK",M216/INDEX(M$5:M$1258,'Stock Price'!$I$9)-1,"")</f>
        <v>6.6549692943977723E-2</v>
      </c>
    </row>
    <row r="217" spans="1:26" x14ac:dyDescent="0.2">
      <c r="A217" s="16">
        <f>'Stock Price'!A217</f>
        <v>44782</v>
      </c>
      <c r="B217" s="17">
        <f>'Stock Price'!E217</f>
        <v>140.25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303.02</v>
      </c>
      <c r="L217" s="18">
        <v>74.959999999999994</v>
      </c>
      <c r="M217" s="18">
        <v>170.18</v>
      </c>
      <c r="O217" s="19">
        <f ca="1">IF('Stock Price'!$I$11="OK",B217/INDEX(B$5:B$1258,'Stock Price'!$I$9)-1,"")</f>
        <v>0.28070495845128285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0.31217251981119798</v>
      </c>
      <c r="Y217" s="19">
        <f ca="1">IF('Stock Price'!$I$11="OK",L217/INDEX(L$5:L$1258,'Stock Price'!$I$9)-1,"")</f>
        <v>0.26728655959425174</v>
      </c>
      <c r="Z217" s="19">
        <f ca="1">IF('Stock Price'!$I$11="OK",M217/INDEX(M$5:M$1258,'Stock Price'!$I$9)-1,"")</f>
        <v>6.6424363955382759E-2</v>
      </c>
    </row>
    <row r="218" spans="1:26" x14ac:dyDescent="0.2">
      <c r="A218" s="16">
        <f>'Stock Price'!A218</f>
        <v>44783</v>
      </c>
      <c r="B218" s="17">
        <f>'Stock Price'!E218</f>
        <v>140.94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304.61</v>
      </c>
      <c r="L218" s="18">
        <v>74.86</v>
      </c>
      <c r="M218" s="18">
        <v>170.67</v>
      </c>
      <c r="O218" s="19">
        <f ca="1">IF('Stock Price'!$I$11="OK",B218/INDEX(B$5:B$1258,'Stock Price'!$I$9)-1,"")</f>
        <v>0.28700575289927843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0.31905772311956015</v>
      </c>
      <c r="Y218" s="19">
        <f ca="1">IF('Stock Price'!$I$11="OK",L218/INDEX(L$5:L$1258,'Stock Price'!$I$9)-1,"")</f>
        <v>0.26559594251901952</v>
      </c>
      <c r="Z218" s="19">
        <f ca="1">IF('Stock Price'!$I$11="OK",M218/INDEX(M$5:M$1258,'Stock Price'!$I$9)-1,"")</f>
        <v>6.9494924175961703E-2</v>
      </c>
    </row>
    <row r="219" spans="1:26" x14ac:dyDescent="0.2">
      <c r="A219" s="16">
        <f>'Stock Price'!A219</f>
        <v>44784</v>
      </c>
      <c r="B219" s="17">
        <f>'Stock Price'!E219</f>
        <v>142.08000000000001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301.17</v>
      </c>
      <c r="L219" s="18">
        <v>74.459999999999994</v>
      </c>
      <c r="M219" s="18">
        <v>167.14</v>
      </c>
      <c r="O219" s="19">
        <f ca="1">IF('Stock Price'!$I$11="OK",B219/INDEX(B$5:B$1258,'Stock Price'!$I$9)-1,"")</f>
        <v>0.29741576111770618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0.30416143420084008</v>
      </c>
      <c r="Y219" s="19">
        <f ca="1">IF('Stock Price'!$I$11="OK",L219/INDEX(L$5:L$1258,'Stock Price'!$I$9)-1,"")</f>
        <v>0.25883347421808955</v>
      </c>
      <c r="Z219" s="19">
        <f ca="1">IF('Stock Price'!$I$11="OK",M219/INDEX(M$5:M$1258,'Stock Price'!$I$9)-1,"")</f>
        <v>4.7374357688933388E-2</v>
      </c>
    </row>
    <row r="220" spans="1:26" x14ac:dyDescent="0.2">
      <c r="A220" s="16">
        <f>'Stock Price'!A220</f>
        <v>44785</v>
      </c>
      <c r="B220" s="17">
        <f>'Stock Price'!E220</f>
        <v>142.6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308.08</v>
      </c>
      <c r="L220" s="18">
        <v>75.569999999999993</v>
      </c>
      <c r="M220" s="18">
        <v>165.3</v>
      </c>
      <c r="O220" s="19">
        <f ca="1">IF('Stock Price'!$I$11="OK",B220/INDEX(B$5:B$1258,'Stock Price'!$I$9)-1,"")</f>
        <v>0.302164185919094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0.33408392153466404</v>
      </c>
      <c r="Y220" s="19">
        <f ca="1">IF('Stock Price'!$I$11="OK",L220/INDEX(L$5:L$1258,'Stock Price'!$I$9)-1,"")</f>
        <v>0.27759932375316976</v>
      </c>
      <c r="Z220" s="19">
        <f ca="1">IF('Stock Price'!$I$11="OK",M220/INDEX(M$5:M$1258,'Stock Price'!$I$9)-1,"")</f>
        <v>3.5844090738187839E-2</v>
      </c>
    </row>
    <row r="221" spans="1:26" x14ac:dyDescent="0.2">
      <c r="A221" s="16">
        <f>'Stock Price'!A221</f>
        <v>44788</v>
      </c>
      <c r="B221" s="17">
        <f>'Stock Price'!E221</f>
        <v>142.29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313.94</v>
      </c>
      <c r="L221" s="18">
        <v>74.53</v>
      </c>
      <c r="M221" s="18">
        <v>166.09</v>
      </c>
      <c r="O221" s="19">
        <f ca="1">IF('Stock Price'!$I$11="OK",B221/INDEX(B$5:B$1258,'Stock Price'!$I$9)-1,"")</f>
        <v>0.29933339421057426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0.35945957649504168</v>
      </c>
      <c r="Y221" s="19">
        <f ca="1">IF('Stock Price'!$I$11="OK",L221/INDEX(L$5:L$1258,'Stock Price'!$I$9)-1,"")</f>
        <v>0.26001690617075246</v>
      </c>
      <c r="Z221" s="19">
        <f ca="1">IF('Stock Price'!$I$11="OK",M221/INDEX(M$5:M$1258,'Stock Price'!$I$9)-1,"")</f>
        <v>4.0794585787692572E-2</v>
      </c>
    </row>
    <row r="222" spans="1:26" x14ac:dyDescent="0.2">
      <c r="A222" s="16">
        <f>'Stock Price'!A222</f>
        <v>44789</v>
      </c>
      <c r="B222" s="17">
        <f>'Stock Price'!E222</f>
        <v>142.55000000000001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310.31</v>
      </c>
      <c r="L222" s="18">
        <v>74.13</v>
      </c>
      <c r="M222" s="18">
        <v>167.57</v>
      </c>
      <c r="O222" s="19">
        <f ca="1">IF('Stock Price'!$I$11="OK",B222/INDEX(B$5:B$1258,'Stock Price'!$I$9)-1,"")</f>
        <v>0.3017076066112685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0.34374052743255534</v>
      </c>
      <c r="Y222" s="19">
        <f ca="1">IF('Stock Price'!$I$11="OK",L222/INDEX(L$5:L$1258,'Stock Price'!$I$9)-1,"")</f>
        <v>0.25325443786982249</v>
      </c>
      <c r="Z222" s="19">
        <f ca="1">IF('Stock Price'!$I$11="OK",M222/INDEX(M$5:M$1258,'Stock Price'!$I$9)-1,"")</f>
        <v>5.0068930943727219E-2</v>
      </c>
    </row>
    <row r="223" spans="1:26" x14ac:dyDescent="0.2">
      <c r="A223" s="16">
        <f>'Stock Price'!A223</f>
        <v>44790</v>
      </c>
      <c r="B223" s="17">
        <f>'Stock Price'!E223</f>
        <v>141.44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316.82</v>
      </c>
      <c r="L223" s="18">
        <v>74.56</v>
      </c>
      <c r="M223" s="18">
        <v>167.58</v>
      </c>
      <c r="O223" s="19">
        <f ca="1">IF('Stock Price'!$I$11="OK",B223/INDEX(B$5:B$1258,'Stock Price'!$I$9)-1,"")</f>
        <v>0.29157154597753632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0.37193088814792352</v>
      </c>
      <c r="Y223" s="19">
        <f ca="1">IF('Stock Price'!$I$11="OK",L223/INDEX(L$5:L$1258,'Stock Price'!$I$9)-1,"")</f>
        <v>0.26052409129332221</v>
      </c>
      <c r="Z223" s="19">
        <f ca="1">IF('Stock Price'!$I$11="OK",M223/INDEX(M$5:M$1258,'Stock Price'!$I$9)-1,"")</f>
        <v>5.0131595438024812E-2</v>
      </c>
    </row>
    <row r="224" spans="1:26" x14ac:dyDescent="0.2">
      <c r="A224" s="16">
        <f>'Stock Price'!A224</f>
        <v>44791</v>
      </c>
      <c r="B224" s="17">
        <f>'Stock Price'!E224</f>
        <v>141.29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316.72000000000003</v>
      </c>
      <c r="L224" s="18">
        <v>74.150000000000006</v>
      </c>
      <c r="M224" s="18">
        <v>166.77</v>
      </c>
      <c r="O224" s="19">
        <f ca="1">IF('Stock Price'!$I$11="OK",B224/INDEX(B$5:B$1258,'Stock Price'!$I$9)-1,"")</f>
        <v>0.29020180805405893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0.3714978564933098</v>
      </c>
      <c r="Y224" s="19">
        <f ca="1">IF('Stock Price'!$I$11="OK",L224/INDEX(L$5:L$1258,'Stock Price'!$I$9)-1,"")</f>
        <v>0.25359256128486907</v>
      </c>
      <c r="Z224" s="19">
        <f ca="1">IF('Stock Price'!$I$11="OK",M224/INDEX(M$5:M$1258,'Stock Price'!$I$9)-1,"")</f>
        <v>4.5055771399924893E-2</v>
      </c>
    </row>
    <row r="225" spans="1:26" x14ac:dyDescent="0.2">
      <c r="A225" s="16">
        <f>'Stock Price'!A225</f>
        <v>44792</v>
      </c>
      <c r="B225" s="17">
        <f>'Stock Price'!E225</f>
        <v>141.85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322.77</v>
      </c>
      <c r="L225" s="18">
        <v>75.33</v>
      </c>
      <c r="M225" s="18">
        <v>169.31</v>
      </c>
      <c r="O225" s="19">
        <f ca="1">IF('Stock Price'!$I$11="OK",B225/INDEX(B$5:B$1258,'Stock Price'!$I$9)-1,"")</f>
        <v>0.2953154963017075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0.39769627159745369</v>
      </c>
      <c r="Y225" s="19">
        <f ca="1">IF('Stock Price'!$I$11="OK",L225/INDEX(L$5:L$1258,'Stock Price'!$I$9)-1,"")</f>
        <v>0.27354184277261195</v>
      </c>
      <c r="Z225" s="19">
        <f ca="1">IF('Stock Price'!$I$11="OK",M225/INDEX(M$5:M$1258,'Stock Price'!$I$9)-1,"")</f>
        <v>6.0972552951497505E-2</v>
      </c>
    </row>
    <row r="226" spans="1:26" x14ac:dyDescent="0.2">
      <c r="A226" s="16">
        <f>'Stock Price'!A226</f>
        <v>44795</v>
      </c>
      <c r="B226" s="17">
        <f>'Stock Price'!E226</f>
        <v>140.34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323.10000000000002</v>
      </c>
      <c r="L226" s="18">
        <v>74.55</v>
      </c>
      <c r="M226" s="18">
        <v>167.59</v>
      </c>
      <c r="O226" s="19">
        <f ca="1">IF('Stock Price'!$I$11="OK",B226/INDEX(B$5:B$1258,'Stock Price'!$I$9)-1,"")</f>
        <v>0.28152680120536933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0.39912527605767978</v>
      </c>
      <c r="Y226" s="19">
        <f ca="1">IF('Stock Price'!$I$11="OK",L226/INDEX(L$5:L$1258,'Stock Price'!$I$9)-1,"")</f>
        <v>0.26035502958579881</v>
      </c>
      <c r="Z226" s="19">
        <f ca="1">IF('Stock Price'!$I$11="OK",M226/INDEX(M$5:M$1258,'Stock Price'!$I$9)-1,"")</f>
        <v>5.0194259932322183E-2</v>
      </c>
    </row>
    <row r="227" spans="1:26" x14ac:dyDescent="0.2">
      <c r="A227" s="16">
        <f>'Stock Price'!A227</f>
        <v>44796</v>
      </c>
      <c r="B227" s="17">
        <f>'Stock Price'!E227</f>
        <v>139.02000000000001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315.10000000000002</v>
      </c>
      <c r="L227" s="18">
        <v>72.77</v>
      </c>
      <c r="M227" s="18">
        <v>166.13</v>
      </c>
      <c r="O227" s="19">
        <f ca="1">IF('Stock Price'!$I$11="OK",B227/INDEX(B$5:B$1258,'Stock Price'!$I$9)-1,"")</f>
        <v>0.26947310747876907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0.36448274368856359</v>
      </c>
      <c r="Y227" s="19">
        <f ca="1">IF('Stock Price'!$I$11="OK",L227/INDEX(L$5:L$1258,'Stock Price'!$I$9)-1,"")</f>
        <v>0.23026204564666108</v>
      </c>
      <c r="Z227" s="19">
        <f ca="1">IF('Stock Price'!$I$11="OK",M227/INDEX(M$5:M$1258,'Stock Price'!$I$9)-1,"")</f>
        <v>4.1045243764882722E-2</v>
      </c>
    </row>
    <row r="228" spans="1:26" x14ac:dyDescent="0.2">
      <c r="A228" s="16">
        <f>'Stock Price'!A228</f>
        <v>44797</v>
      </c>
      <c r="B228" s="17">
        <f>'Stock Price'!E228</f>
        <v>137.91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318.87</v>
      </c>
      <c r="L228" s="18">
        <v>72.42</v>
      </c>
      <c r="M228" s="18">
        <v>165.58</v>
      </c>
      <c r="O228" s="19">
        <f ca="1">IF('Stock Price'!$I$11="OK",B228/INDEX(B$5:B$1258,'Stock Price'!$I$9)-1,"")</f>
        <v>0.25933704684503689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0.38080803706750954</v>
      </c>
      <c r="Y228" s="19">
        <f ca="1">IF('Stock Price'!$I$11="OK",L228/INDEX(L$5:L$1258,'Stock Price'!$I$9)-1,"")</f>
        <v>0.22434488588334744</v>
      </c>
      <c r="Z228" s="19">
        <f ca="1">IF('Stock Price'!$I$11="OK",M228/INDEX(M$5:M$1258,'Stock Price'!$I$9)-1,"")</f>
        <v>3.7598696578518664E-2</v>
      </c>
    </row>
    <row r="229" spans="1:26" x14ac:dyDescent="0.2">
      <c r="A229" s="16">
        <f>'Stock Price'!A229</f>
        <v>44798</v>
      </c>
      <c r="B229" s="17">
        <f>'Stock Price'!E229</f>
        <v>139.33000000000001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323.14</v>
      </c>
      <c r="L229" s="18">
        <v>71.5</v>
      </c>
      <c r="M229" s="18">
        <v>167.13</v>
      </c>
      <c r="O229" s="19">
        <f ca="1">IF('Stock Price'!$I$11="OK",B229/INDEX(B$5:B$1258,'Stock Price'!$I$9)-1,"")</f>
        <v>0.27230389918728881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0.39929848871952522</v>
      </c>
      <c r="Y229" s="19">
        <f ca="1">IF('Stock Price'!$I$11="OK",L229/INDEX(L$5:L$1258,'Stock Price'!$I$9)-1,"")</f>
        <v>0.20879120879120872</v>
      </c>
      <c r="Z229" s="19">
        <f ca="1">IF('Stock Price'!$I$11="OK",M229/INDEX(M$5:M$1258,'Stock Price'!$I$9)-1,"")</f>
        <v>4.7311693194635795E-2</v>
      </c>
    </row>
    <row r="230" spans="1:26" x14ac:dyDescent="0.2">
      <c r="A230" s="16">
        <f>'Stock Price'!A230</f>
        <v>44799</v>
      </c>
      <c r="B230" s="17">
        <f>'Stock Price'!E230</f>
        <v>136.35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315.56</v>
      </c>
      <c r="L230" s="18">
        <v>71.19</v>
      </c>
      <c r="M230" s="18">
        <v>164.27</v>
      </c>
      <c r="O230" s="19">
        <f ca="1">IF('Stock Price'!$I$11="OK",B230/INDEX(B$5:B$1258,'Stock Price'!$I$9)-1,"")</f>
        <v>0.24509177244087277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0.36647468929978788</v>
      </c>
      <c r="Y230" s="19">
        <f ca="1">IF('Stock Price'!$I$11="OK",L230/INDEX(L$5:L$1258,'Stock Price'!$I$9)-1,"")</f>
        <v>0.20355029585798823</v>
      </c>
      <c r="Z230" s="19">
        <f ca="1">IF('Stock Price'!$I$11="OK",M230/INDEX(M$5:M$1258,'Stock Price'!$I$9)-1,"")</f>
        <v>2.9389647825541987E-2</v>
      </c>
    </row>
    <row r="231" spans="1:26" x14ac:dyDescent="0.2">
      <c r="A231" s="16">
        <f>'Stock Price'!A231</f>
        <v>44802</v>
      </c>
      <c r="B231" s="17">
        <f>'Stock Price'!E231</f>
        <v>135.71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310.14999999999998</v>
      </c>
      <c r="L231" s="18">
        <v>66.75</v>
      </c>
      <c r="M231" s="18">
        <v>163</v>
      </c>
      <c r="O231" s="19">
        <f ca="1">IF('Stock Price'!$I$11="OK",B231/INDEX(B$5:B$1258,'Stock Price'!$I$9)-1,"")</f>
        <v>0.23924755730070313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0.34304767678517289</v>
      </c>
      <c r="Y231" s="19">
        <f ca="1">IF('Stock Price'!$I$11="OK",L231/INDEX(L$5:L$1258,'Stock Price'!$I$9)-1,"")</f>
        <v>0.12848689771766697</v>
      </c>
      <c r="Z231" s="19">
        <f ca="1">IF('Stock Price'!$I$11="OK",M231/INDEX(M$5:M$1258,'Stock Price'!$I$9)-1,"")</f>
        <v>2.1431257049755459E-2</v>
      </c>
    </row>
    <row r="232" spans="1:26" x14ac:dyDescent="0.2">
      <c r="A232" s="16">
        <f>'Stock Price'!A232</f>
        <v>44803</v>
      </c>
      <c r="B232" s="17">
        <f>'Stock Price'!E232</f>
        <v>135.55000000000001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307.04000000000002</v>
      </c>
      <c r="L232" s="18">
        <v>67.2</v>
      </c>
      <c r="M232" s="18">
        <v>162.43</v>
      </c>
      <c r="O232" s="19">
        <f ca="1">IF('Stock Price'!$I$11="OK",B232/INDEX(B$5:B$1258,'Stock Price'!$I$9)-1,"")</f>
        <v>0.23778650351566077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0.32958039232667913</v>
      </c>
      <c r="Y232" s="19">
        <f ca="1">IF('Stock Price'!$I$11="OK",L232/INDEX(L$5:L$1258,'Stock Price'!$I$9)-1,"")</f>
        <v>0.13609467455621305</v>
      </c>
      <c r="Z232" s="19">
        <f ca="1">IF('Stock Price'!$I$11="OK",M232/INDEX(M$5:M$1258,'Stock Price'!$I$9)-1,"")</f>
        <v>1.7859380874796216E-2</v>
      </c>
    </row>
    <row r="233" spans="1:26" x14ac:dyDescent="0.2">
      <c r="A233" s="16">
        <f>'Stock Price'!A233</f>
        <v>44804</v>
      </c>
      <c r="B233" s="17">
        <f>'Stock Price'!E233</f>
        <v>134.46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301.23</v>
      </c>
      <c r="L233" s="18">
        <v>67.41</v>
      </c>
      <c r="M233" s="18">
        <v>161.34</v>
      </c>
      <c r="O233" s="19">
        <f ca="1">IF('Stock Price'!$I$11="OK",B233/INDEX(B$5:B$1258,'Stock Price'!$I$9)-1,"")</f>
        <v>0.22783307460505897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0.30442125319360858</v>
      </c>
      <c r="Y233" s="19">
        <f ca="1">IF('Stock Price'!$I$11="OK",L233/INDEX(L$5:L$1258,'Stock Price'!$I$9)-1,"")</f>
        <v>0.1396449704142011</v>
      </c>
      <c r="Z233" s="19">
        <f ca="1">IF('Stock Price'!$I$11="OK",M233/INDEX(M$5:M$1258,'Stock Price'!$I$9)-1,"")</f>
        <v>1.1028950996365472E-2</v>
      </c>
    </row>
    <row r="234" spans="1:26" x14ac:dyDescent="0.2">
      <c r="A234" s="16">
        <f>'Stock Price'!A234</f>
        <v>44805</v>
      </c>
      <c r="B234" s="17">
        <f>'Stock Price'!E234</f>
        <v>138.44999999999999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309.13</v>
      </c>
      <c r="L234" s="18">
        <v>69.09</v>
      </c>
      <c r="M234" s="18">
        <v>165.34</v>
      </c>
      <c r="O234" s="19">
        <f ca="1">IF('Stock Price'!$I$11="OK",B234/INDEX(B$5:B$1258,'Stock Price'!$I$9)-1,"")</f>
        <v>0.26426810336955509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0.33863075390811059</v>
      </c>
      <c r="Y234" s="19">
        <f ca="1">IF('Stock Price'!$I$11="OK",L234/INDEX(L$5:L$1258,'Stock Price'!$I$9)-1,"")</f>
        <v>0.16804733727810661</v>
      </c>
      <c r="Z234" s="19">
        <f ca="1">IF('Stock Price'!$I$11="OK",M234/INDEX(M$5:M$1258,'Stock Price'!$I$9)-1,"")</f>
        <v>3.6094748715377767E-2</v>
      </c>
    </row>
    <row r="235" spans="1:26" x14ac:dyDescent="0.2">
      <c r="A235" s="16">
        <f>'Stock Price'!A235</f>
        <v>44806</v>
      </c>
      <c r="B235" s="17">
        <f>'Stock Price'!E235</f>
        <v>136.28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301.33</v>
      </c>
      <c r="L235" s="18">
        <v>68.61</v>
      </c>
      <c r="M235" s="18">
        <v>162.74</v>
      </c>
      <c r="O235" s="19">
        <f ca="1">IF('Stock Price'!$I$11="OK",B235/INDEX(B$5:B$1258,'Stock Price'!$I$9)-1,"")</f>
        <v>0.24445256140991689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0.3048542848482223</v>
      </c>
      <c r="Y235" s="19">
        <f ca="1">IF('Stock Price'!$I$11="OK",L235/INDEX(L$5:L$1258,'Stock Price'!$I$9)-1,"")</f>
        <v>0.15993237531699078</v>
      </c>
      <c r="Z235" s="19">
        <f ca="1">IF('Stock Price'!$I$11="OK",M235/INDEX(M$5:M$1258,'Stock Price'!$I$9)-1,"")</f>
        <v>1.980198019801982E-2</v>
      </c>
    </row>
    <row r="236" spans="1:26" x14ac:dyDescent="0.2">
      <c r="A236" s="16">
        <f>'Stock Price'!A236</f>
        <v>44810</v>
      </c>
      <c r="B236" s="17">
        <f>'Stock Price'!E236</f>
        <v>137.59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306.82</v>
      </c>
      <c r="L236" s="18">
        <v>68.650000000000006</v>
      </c>
      <c r="M236" s="18">
        <v>163.18</v>
      </c>
      <c r="O236" s="19">
        <f ca="1">IF('Stock Price'!$I$11="OK",B236/INDEX(B$5:B$1258,'Stock Price'!$I$9)-1,"")</f>
        <v>0.25641493927495196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0.3286277226865284</v>
      </c>
      <c r="Y236" s="19">
        <f ca="1">IF('Stock Price'!$I$11="OK",L236/INDEX(L$5:L$1258,'Stock Price'!$I$9)-1,"")</f>
        <v>0.16060862214708371</v>
      </c>
      <c r="Z236" s="19">
        <f ca="1">IF('Stock Price'!$I$11="OK",M236/INDEX(M$5:M$1258,'Stock Price'!$I$9)-1,"")</f>
        <v>2.2559217947111021E-2</v>
      </c>
    </row>
    <row r="237" spans="1:26" x14ac:dyDescent="0.2">
      <c r="A237" s="16">
        <f>'Stock Price'!A237</f>
        <v>44811</v>
      </c>
      <c r="B237" s="17">
        <f>'Stock Price'!E237</f>
        <v>138.71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311.60000000000002</v>
      </c>
      <c r="L237" s="18">
        <v>68.760000000000005</v>
      </c>
      <c r="M237" s="18">
        <v>164.07</v>
      </c>
      <c r="O237" s="19">
        <f ca="1">IF('Stock Price'!$I$11="OK",B237/INDEX(B$5:B$1258,'Stock Price'!$I$9)-1,"")</f>
        <v>0.26664231577024933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0.34932663577707546</v>
      </c>
      <c r="Y237" s="19">
        <f ca="1">IF('Stock Price'!$I$11="OK",L237/INDEX(L$5:L$1258,'Stock Price'!$I$9)-1,"")</f>
        <v>0.16246830092983955</v>
      </c>
      <c r="Z237" s="19">
        <f ca="1">IF('Stock Price'!$I$11="OK",M237/INDEX(M$5:M$1258,'Stock Price'!$I$9)-1,"")</f>
        <v>2.8136357939591239E-2</v>
      </c>
    </row>
    <row r="238" spans="1:26" x14ac:dyDescent="0.2">
      <c r="A238" s="16">
        <f>'Stock Price'!A238</f>
        <v>44812</v>
      </c>
      <c r="B238" s="17">
        <f>'Stock Price'!E238</f>
        <v>140.52000000000001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315.5</v>
      </c>
      <c r="L238" s="18">
        <v>69.38</v>
      </c>
      <c r="M238" s="18">
        <v>165.39</v>
      </c>
      <c r="O238" s="19">
        <f ca="1">IF('Stock Price'!$I$11="OK",B238/INDEX(B$5:B$1258,'Stock Price'!$I$9)-1,"")</f>
        <v>0.28317048671354228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0.36621487030701938</v>
      </c>
      <c r="Y238" s="19">
        <f ca="1">IF('Stock Price'!$I$11="OK",L238/INDEX(L$5:L$1258,'Stock Price'!$I$9)-1,"")</f>
        <v>0.17295012679628052</v>
      </c>
      <c r="Z238" s="19">
        <f ca="1">IF('Stock Price'!$I$11="OK",M238/INDEX(M$5:M$1258,'Stock Price'!$I$9)-1,"")</f>
        <v>3.6408071186865287E-2</v>
      </c>
    </row>
    <row r="239" spans="1:26" x14ac:dyDescent="0.2">
      <c r="A239" s="16">
        <f>'Stock Price'!A239</f>
        <v>44813</v>
      </c>
      <c r="B239" s="17">
        <f>'Stock Price'!E239</f>
        <v>141.41999999999999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317.7</v>
      </c>
      <c r="L239" s="18">
        <v>70.16</v>
      </c>
      <c r="M239" s="18">
        <v>165.71</v>
      </c>
      <c r="O239" s="19">
        <f ca="1">IF('Stock Price'!$I$11="OK",B239/INDEX(B$5:B$1258,'Stock Price'!$I$9)-1,"")</f>
        <v>0.29138891425440572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0.37574156670852621</v>
      </c>
      <c r="Y239" s="19">
        <f ca="1">IF('Stock Price'!$I$11="OK",L239/INDEX(L$5:L$1258,'Stock Price'!$I$9)-1,"")</f>
        <v>0.18613693998309389</v>
      </c>
      <c r="Z239" s="19">
        <f ca="1">IF('Stock Price'!$I$11="OK",M239/INDEX(M$5:M$1258,'Stock Price'!$I$9)-1,"")</f>
        <v>3.8413335004386484E-2</v>
      </c>
    </row>
    <row r="240" spans="1:26" x14ac:dyDescent="0.2">
      <c r="A240" s="16">
        <f>'Stock Price'!A240</f>
        <v>44816</v>
      </c>
      <c r="B240" s="17">
        <f>'Stock Price'!E240</f>
        <v>142.24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315.22000000000003</v>
      </c>
      <c r="L240" s="18">
        <v>72.36</v>
      </c>
      <c r="M240" s="18">
        <v>165.64</v>
      </c>
      <c r="O240" s="19">
        <f ca="1">IF('Stock Price'!$I$11="OK",B240/INDEX(B$5:B$1258,'Stock Price'!$I$9)-1,"")</f>
        <v>0.29887681490274853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0.36500238167410037</v>
      </c>
      <c r="Y240" s="19">
        <f ca="1">IF('Stock Price'!$I$11="OK",L240/INDEX(L$5:L$1258,'Stock Price'!$I$9)-1,"")</f>
        <v>0.22333051563820794</v>
      </c>
      <c r="Z240" s="19">
        <f ca="1">IF('Stock Price'!$I$11="OK",M240/INDEX(M$5:M$1258,'Stock Price'!$I$9)-1,"")</f>
        <v>3.7974683544303556E-2</v>
      </c>
    </row>
    <row r="241" spans="1:26" x14ac:dyDescent="0.2">
      <c r="A241" s="16">
        <f>'Stock Price'!A241</f>
        <v>44817</v>
      </c>
      <c r="B241" s="17">
        <f>'Stock Price'!E241</f>
        <v>138.53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306.48</v>
      </c>
      <c r="L241" s="18">
        <v>71.040000000000006</v>
      </c>
      <c r="M241" s="18">
        <v>161.33000000000001</v>
      </c>
      <c r="O241" s="19">
        <f ca="1">IF('Stock Price'!$I$11="OK",B241/INDEX(B$5:B$1258,'Stock Price'!$I$9)-1,"")</f>
        <v>0.26499863026207637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0.32715541506084089</v>
      </c>
      <c r="Y241" s="19">
        <f ca="1">IF('Stock Price'!$I$11="OK",L241/INDEX(L$5:L$1258,'Stock Price'!$I$9)-1,"")</f>
        <v>0.20101437024513968</v>
      </c>
      <c r="Z241" s="19">
        <f ca="1">IF('Stock Price'!$I$11="OK",M241/INDEX(M$5:M$1258,'Stock Price'!$I$9)-1,"")</f>
        <v>1.0966286502067879E-2</v>
      </c>
    </row>
    <row r="242" spans="1:26" x14ac:dyDescent="0.2">
      <c r="A242" s="16">
        <f>'Stock Price'!A242</f>
        <v>44818</v>
      </c>
      <c r="B242" s="17">
        <f>'Stock Price'!E242</f>
        <v>139.55000000000001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309.61</v>
      </c>
      <c r="L242" s="18">
        <v>70.47</v>
      </c>
      <c r="M242" s="18">
        <v>164.66</v>
      </c>
      <c r="O242" s="19">
        <f ca="1">IF('Stock Price'!$I$11="OK",B242/INDEX(B$5:B$1258,'Stock Price'!$I$9)-1,"")</f>
        <v>0.2743128481417223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0.34070930585025772</v>
      </c>
      <c r="Y242" s="19">
        <f ca="1">IF('Stock Price'!$I$11="OK",L242/INDEX(L$5:L$1258,'Stock Price'!$I$9)-1,"")</f>
        <v>0.19137785291631437</v>
      </c>
      <c r="Z242" s="19">
        <f ca="1">IF('Stock Price'!$I$11="OK",M242/INDEX(M$5:M$1258,'Stock Price'!$I$9)-1,"")</f>
        <v>3.1833563103145668E-2</v>
      </c>
    </row>
    <row r="243" spans="1:26" x14ac:dyDescent="0.2">
      <c r="A243" s="16">
        <f>'Stock Price'!A243</f>
        <v>44819</v>
      </c>
      <c r="B243" s="17">
        <f>'Stock Price'!E243</f>
        <v>142.51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309.47000000000003</v>
      </c>
      <c r="L243" s="18">
        <v>71.78</v>
      </c>
      <c r="M243" s="18">
        <v>165.08</v>
      </c>
      <c r="O243" s="19">
        <f ca="1">IF('Stock Price'!$I$11="OK",B243/INDEX(B$5:B$1258,'Stock Price'!$I$9)-1,"")</f>
        <v>0.30134234316500752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0.3401030615337981</v>
      </c>
      <c r="Y243" s="19">
        <f ca="1">IF('Stock Price'!$I$11="OK",L243/INDEX(L$5:L$1258,'Stock Price'!$I$9)-1,"")</f>
        <v>0.21352493660185967</v>
      </c>
      <c r="Z243" s="19">
        <f ca="1">IF('Stock Price'!$I$11="OK",M243/INDEX(M$5:M$1258,'Stock Price'!$I$9)-1,"")</f>
        <v>3.4465471863642128E-2</v>
      </c>
    </row>
    <row r="244" spans="1:26" x14ac:dyDescent="0.2">
      <c r="A244" s="16">
        <f>'Stock Price'!A244</f>
        <v>44820</v>
      </c>
      <c r="B244" s="17">
        <f>'Stock Price'!E244</f>
        <v>144.06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308.89</v>
      </c>
      <c r="L244" s="18">
        <v>71.52</v>
      </c>
      <c r="M244" s="18">
        <v>167.6</v>
      </c>
      <c r="O244" s="19">
        <f ca="1">IF('Stock Price'!$I$11="OK",B244/INDEX(B$5:B$1258,'Stock Price'!$I$9)-1,"")</f>
        <v>0.31549630170760667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0.33759147793703703</v>
      </c>
      <c r="Y244" s="19">
        <f ca="1">IF('Stock Price'!$I$11="OK",L244/INDEX(L$5:L$1258,'Stock Price'!$I$9)-1,"")</f>
        <v>0.20912933220625529</v>
      </c>
      <c r="Z244" s="19">
        <f ca="1">IF('Stock Price'!$I$11="OK",M244/INDEX(M$5:M$1258,'Stock Price'!$I$9)-1,"")</f>
        <v>5.0256924426619776E-2</v>
      </c>
    </row>
    <row r="245" spans="1:26" x14ac:dyDescent="0.2">
      <c r="A245" s="16">
        <f>'Stock Price'!A245</f>
        <v>44823</v>
      </c>
      <c r="B245" s="17">
        <f>'Stock Price'!E245</f>
        <v>142.66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305.08999999999997</v>
      </c>
      <c r="L245" s="18">
        <v>70.19</v>
      </c>
      <c r="M245" s="18">
        <v>166.28</v>
      </c>
      <c r="O245" s="19">
        <f ca="1">IF('Stock Price'!$I$11="OK",B245/INDEX(B$5:B$1258,'Stock Price'!$I$9)-1,"")</f>
        <v>0.30271208108848491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0.32113627506170683</v>
      </c>
      <c r="Y245" s="19">
        <f ca="1">IF('Stock Price'!$I$11="OK",L245/INDEX(L$5:L$1258,'Stock Price'!$I$9)-1,"")</f>
        <v>0.18664412510566364</v>
      </c>
      <c r="Z245" s="19">
        <f ca="1">IF('Stock Price'!$I$11="OK",M245/INDEX(M$5:M$1258,'Stock Price'!$I$9)-1,"")</f>
        <v>4.1985211179345727E-2</v>
      </c>
    </row>
    <row r="246" spans="1:26" x14ac:dyDescent="0.2">
      <c r="A246" s="16">
        <f>'Stock Price'!A246</f>
        <v>44824</v>
      </c>
      <c r="B246" s="17">
        <f>'Stock Price'!E246</f>
        <v>141.77000000000001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301.73</v>
      </c>
      <c r="L246" s="18">
        <v>69.73</v>
      </c>
      <c r="M246" s="18">
        <v>164.97</v>
      </c>
      <c r="O246" s="19">
        <f ca="1">IF('Stock Price'!$I$11="OK",B246/INDEX(B$5:B$1258,'Stock Price'!$I$9)-1,"")</f>
        <v>0.29458496940918644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0.30658641146667831</v>
      </c>
      <c r="Y246" s="19">
        <f ca="1">IF('Stock Price'!$I$11="OK",L246/INDEX(L$5:L$1258,'Stock Price'!$I$9)-1,"")</f>
        <v>0.17886728655959439</v>
      </c>
      <c r="Z246" s="19">
        <f ca="1">IF('Stock Price'!$I$11="OK",M246/INDEX(M$5:M$1258,'Stock Price'!$I$9)-1,"")</f>
        <v>3.377616242636905E-2</v>
      </c>
    </row>
    <row r="247" spans="1:26" x14ac:dyDescent="0.2">
      <c r="A247" s="16">
        <f>'Stock Price'!A247</f>
        <v>44825</v>
      </c>
      <c r="B247" s="17">
        <f>'Stock Price'!E247</f>
        <v>140.31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296.48</v>
      </c>
      <c r="L247" s="18">
        <v>69.459999999999994</v>
      </c>
      <c r="M247" s="18">
        <v>163.28</v>
      </c>
      <c r="O247" s="19">
        <f ca="1">IF('Stock Price'!$I$11="OK",B247/INDEX(B$5:B$1258,'Stock Price'!$I$9)-1,"")</f>
        <v>0.28125285362067398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0.28385224959944577</v>
      </c>
      <c r="Y247" s="19">
        <f ca="1">IF('Stock Price'!$I$11="OK",L247/INDEX(L$5:L$1258,'Stock Price'!$I$9)-1,"")</f>
        <v>0.17430262045646661</v>
      </c>
      <c r="Z247" s="19">
        <f ca="1">IF('Stock Price'!$I$11="OK",M247/INDEX(M$5:M$1258,'Stock Price'!$I$9)-1,"")</f>
        <v>2.3185862890086506E-2</v>
      </c>
    </row>
    <row r="248" spans="1:26" x14ac:dyDescent="0.2">
      <c r="A248" s="16">
        <f>'Stock Price'!A248</f>
        <v>44826</v>
      </c>
      <c r="B248" s="17">
        <f>'Stock Price'!E248</f>
        <v>143.01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310.87</v>
      </c>
      <c r="L248" s="18">
        <v>71.290000000000006</v>
      </c>
      <c r="M248" s="18">
        <v>166.18</v>
      </c>
      <c r="O248" s="19">
        <f ca="1">IF('Stock Price'!$I$11="OK",B248/INDEX(B$5:B$1258,'Stock Price'!$I$9)-1,"")</f>
        <v>0.3059081362432654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0.34616550469839336</v>
      </c>
      <c r="Y248" s="19">
        <f ca="1">IF('Stock Price'!$I$11="OK",L248/INDEX(L$5:L$1258,'Stock Price'!$I$9)-1,"")</f>
        <v>0.20524091293322066</v>
      </c>
      <c r="Z248" s="19">
        <f ca="1">IF('Stock Price'!$I$11="OK",M248/INDEX(M$5:M$1258,'Stock Price'!$I$9)-1,"")</f>
        <v>4.1358566236370464E-2</v>
      </c>
    </row>
    <row r="249" spans="1:26" x14ac:dyDescent="0.2">
      <c r="A249" s="16">
        <f>'Stock Price'!A249</f>
        <v>44827</v>
      </c>
      <c r="B249" s="17">
        <f>'Stock Price'!E249</f>
        <v>143.06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311.45999999999998</v>
      </c>
      <c r="L249" s="18">
        <v>70.709999999999994</v>
      </c>
      <c r="M249" s="18">
        <v>166.72</v>
      </c>
      <c r="O249" s="19">
        <f ca="1">IF('Stock Price'!$I$11="OK",B249/INDEX(B$5:B$1258,'Stock Price'!$I$9)-1,"")</f>
        <v>0.30636471555109113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0.34872039146061562</v>
      </c>
      <c r="Y249" s="19">
        <f ca="1">IF('Stock Price'!$I$11="OK",L249/INDEX(L$5:L$1258,'Stock Price'!$I$9)-1,"")</f>
        <v>0.19543533389687218</v>
      </c>
      <c r="Z249" s="19">
        <f ca="1">IF('Stock Price'!$I$11="OK",M249/INDEX(M$5:M$1258,'Stock Price'!$I$9)-1,"")</f>
        <v>4.4742448928437151E-2</v>
      </c>
    </row>
    <row r="250" spans="1:26" x14ac:dyDescent="0.2">
      <c r="A250" s="16">
        <f>'Stock Price'!A250</f>
        <v>44830</v>
      </c>
      <c r="B250" s="17">
        <f>'Stock Price'!E250</f>
        <v>141.21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307.5</v>
      </c>
      <c r="L250" s="18">
        <v>70.150000000000006</v>
      </c>
      <c r="M250" s="18">
        <v>165.7</v>
      </c>
      <c r="O250" s="19">
        <f ca="1">IF('Stock Price'!$I$11="OK",B250/INDEX(B$5:B$1258,'Stock Price'!$I$9)-1,"")</f>
        <v>0.28947128116153786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0.33157233793790319</v>
      </c>
      <c r="Y250" s="19">
        <f ca="1">IF('Stock Price'!$I$11="OK",L250/INDEX(L$5:L$1258,'Stock Price'!$I$9)-1,"")</f>
        <v>0.18596787827557071</v>
      </c>
      <c r="Z250" s="19">
        <f ca="1">IF('Stock Price'!$I$11="OK",M250/INDEX(M$5:M$1258,'Stock Price'!$I$9)-1,"")</f>
        <v>3.8350670510088891E-2</v>
      </c>
    </row>
    <row r="251" spans="1:26" x14ac:dyDescent="0.2">
      <c r="A251" s="16">
        <f>'Stock Price'!A251</f>
        <v>44831</v>
      </c>
      <c r="B251" s="17">
        <f>'Stock Price'!E251</f>
        <v>141.72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311.10000000000002</v>
      </c>
      <c r="L251" s="18">
        <v>70.36</v>
      </c>
      <c r="M251" s="18">
        <v>164.94</v>
      </c>
      <c r="O251" s="19">
        <f ca="1">IF('Stock Price'!$I$11="OK",B251/INDEX(B$5:B$1258,'Stock Price'!$I$9)-1,"")</f>
        <v>0.29412839010136049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0.3471614775040055</v>
      </c>
      <c r="Y251" s="19">
        <f ca="1">IF('Stock Price'!$I$11="OK",L251/INDEX(L$5:L$1258,'Stock Price'!$I$9)-1,"")</f>
        <v>0.18951817413355876</v>
      </c>
      <c r="Z251" s="19">
        <f ca="1">IF('Stock Price'!$I$11="OK",M251/INDEX(M$5:M$1258,'Stock Price'!$I$9)-1,"")</f>
        <v>3.3588168943476493E-2</v>
      </c>
    </row>
    <row r="252" spans="1:26" x14ac:dyDescent="0.2">
      <c r="A252" s="16">
        <f>'Stock Price'!A252</f>
        <v>44832</v>
      </c>
      <c r="B252" s="17">
        <f>'Stock Price'!E252</f>
        <v>144.6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334.38</v>
      </c>
      <c r="L252" s="18">
        <v>72.06</v>
      </c>
      <c r="M252" s="18">
        <v>166.36</v>
      </c>
      <c r="O252" s="19">
        <f ca="1">IF('Stock Price'!$I$11="OK",B252/INDEX(B$5:B$1258,'Stock Price'!$I$9)-1,"")</f>
        <v>0.32042735823212487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0.4479712466981336</v>
      </c>
      <c r="Y252" s="19">
        <f ca="1">IF('Stock Price'!$I$11="OK",L252/INDEX(L$5:L$1258,'Stock Price'!$I$9)-1,"")</f>
        <v>0.21825866441251063</v>
      </c>
      <c r="Z252" s="19">
        <f ca="1">IF('Stock Price'!$I$11="OK",M252/INDEX(M$5:M$1258,'Stock Price'!$I$9)-1,"")</f>
        <v>4.2486527133726026E-2</v>
      </c>
    </row>
    <row r="253" spans="1:26" x14ac:dyDescent="0.2">
      <c r="A253" s="16">
        <f>'Stock Price'!A253</f>
        <v>44833</v>
      </c>
      <c r="B253" s="17">
        <f>'Stock Price'!E253</f>
        <v>142.72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330.01</v>
      </c>
      <c r="L253" s="18">
        <v>71.709999999999994</v>
      </c>
      <c r="M253" s="18">
        <v>164.53</v>
      </c>
      <c r="O253" s="19">
        <f ca="1">IF('Stock Price'!$I$11="OK",B253/INDEX(B$5:B$1258,'Stock Price'!$I$9)-1,"")</f>
        <v>0.30325997625787582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0.42904776339150374</v>
      </c>
      <c r="Y253" s="19">
        <f ca="1">IF('Stock Price'!$I$11="OK",L253/INDEX(L$5:L$1258,'Stock Price'!$I$9)-1,"")</f>
        <v>0.21234150464919699</v>
      </c>
      <c r="Z253" s="19">
        <f ca="1">IF('Stock Price'!$I$11="OK",M253/INDEX(M$5:M$1258,'Stock Price'!$I$9)-1,"")</f>
        <v>3.1018924677277848E-2</v>
      </c>
    </row>
    <row r="254" spans="1:26" x14ac:dyDescent="0.2">
      <c r="A254" s="16">
        <f>'Stock Price'!A254</f>
        <v>44834</v>
      </c>
      <c r="B254" s="17">
        <f>'Stock Price'!E254</f>
        <v>134.21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323.35000000000002</v>
      </c>
      <c r="L254" s="18">
        <v>71.09</v>
      </c>
      <c r="M254" s="18">
        <v>163.36000000000001</v>
      </c>
      <c r="O254" s="19">
        <f ca="1">IF('Stock Price'!$I$11="OK",B254/INDEX(B$5:B$1258,'Stock Price'!$I$9)-1,"")</f>
        <v>0.22555017806593014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0.40020785519421476</v>
      </c>
      <c r="Y254" s="19">
        <f ca="1">IF('Stock Price'!$I$11="OK",L254/INDEX(L$5:L$1258,'Stock Price'!$I$9)-1,"")</f>
        <v>0.20185967878275579</v>
      </c>
      <c r="Z254" s="19">
        <f ca="1">IF('Stock Price'!$I$11="OK",M254/INDEX(M$5:M$1258,'Stock Price'!$I$9)-1,"")</f>
        <v>2.3687178844466805E-2</v>
      </c>
    </row>
    <row r="255" spans="1:26" x14ac:dyDescent="0.2">
      <c r="A255" s="16">
        <f>'Stock Price'!A255</f>
        <v>44837</v>
      </c>
      <c r="B255" s="17">
        <f>'Stock Price'!E255</f>
        <v>138.32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321.55</v>
      </c>
      <c r="L255" s="18">
        <v>70.53</v>
      </c>
      <c r="M255" s="18">
        <v>163.19999999999999</v>
      </c>
      <c r="O255" s="19">
        <f ca="1">IF('Stock Price'!$I$11="OK",B255/INDEX(B$5:B$1258,'Stock Price'!$I$9)-1,"")</f>
        <v>0.26308099716920808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0.39241328541116349</v>
      </c>
      <c r="Y255" s="19">
        <f ca="1">IF('Stock Price'!$I$11="OK",L255/INDEX(L$5:L$1258,'Stock Price'!$I$9)-1,"")</f>
        <v>0.19239222316145388</v>
      </c>
      <c r="Z255" s="19">
        <f ca="1">IF('Stock Price'!$I$11="OK",M255/INDEX(M$5:M$1258,'Stock Price'!$I$9)-1,"")</f>
        <v>2.2684546935705985E-2</v>
      </c>
    </row>
    <row r="256" spans="1:26" x14ac:dyDescent="0.2">
      <c r="A256" s="16">
        <f>'Stock Price'!A256</f>
        <v>44838</v>
      </c>
      <c r="B256" s="17">
        <f>'Stock Price'!E256</f>
        <v>141.99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329.89</v>
      </c>
      <c r="L256" s="18">
        <v>71.209999999999994</v>
      </c>
      <c r="M256" s="18">
        <v>165.62</v>
      </c>
      <c r="O256" s="19">
        <f ca="1">IF('Stock Price'!$I$11="OK",B256/INDEX(B$5:B$1258,'Stock Price'!$I$9)-1,"")</f>
        <v>0.2965939183636197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0.42852812540596696</v>
      </c>
      <c r="Y256" s="19">
        <f ca="1">IF('Stock Price'!$I$11="OK",L256/INDEX(L$5:L$1258,'Stock Price'!$I$9)-1,"")</f>
        <v>0.20388841927303458</v>
      </c>
      <c r="Z256" s="19">
        <f ca="1">IF('Stock Price'!$I$11="OK",M256/INDEX(M$5:M$1258,'Stock Price'!$I$9)-1,"")</f>
        <v>3.7849354555708592E-2</v>
      </c>
    </row>
    <row r="257" spans="1:26" x14ac:dyDescent="0.2">
      <c r="A257" s="16">
        <f>'Stock Price'!A257</f>
        <v>44839</v>
      </c>
      <c r="B257" s="17">
        <f>'Stock Price'!E257</f>
        <v>143.33000000000001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331.78</v>
      </c>
      <c r="L257" s="18">
        <v>71.45</v>
      </c>
      <c r="M257" s="18">
        <v>165.11</v>
      </c>
      <c r="O257" s="19">
        <f ca="1">IF('Stock Price'!$I$11="OK",B257/INDEX(B$5:B$1258,'Stock Price'!$I$9)-1,"")</f>
        <v>0.30883024381335034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0.43671242367817076</v>
      </c>
      <c r="Y257" s="19">
        <f ca="1">IF('Stock Price'!$I$11="OK",L257/INDEX(L$5:L$1258,'Stock Price'!$I$9)-1,"")</f>
        <v>0.20794590025359261</v>
      </c>
      <c r="Z257" s="19">
        <f ca="1">IF('Stock Price'!$I$11="OK",M257/INDEX(M$5:M$1258,'Stock Price'!$I$9)-1,"")</f>
        <v>3.4653465346534684E-2</v>
      </c>
    </row>
    <row r="258" spans="1:26" x14ac:dyDescent="0.2">
      <c r="A258" s="16">
        <f>'Stock Price'!A258</f>
        <v>44840</v>
      </c>
      <c r="B258" s="17">
        <f>'Stock Price'!E258</f>
        <v>140.29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332.95</v>
      </c>
      <c r="L258" s="18">
        <v>70.239999999999995</v>
      </c>
      <c r="M258" s="18">
        <v>161.91</v>
      </c>
      <c r="O258" s="19">
        <f ca="1">IF('Stock Price'!$I$11="OK",B258/INDEX(B$5:B$1258,'Stock Price'!$I$9)-1,"")</f>
        <v>0.28107022189754338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0.44177889403715409</v>
      </c>
      <c r="Y258" s="19">
        <f ca="1">IF('Stock Price'!$I$11="OK",L258/INDEX(L$5:L$1258,'Stock Price'!$I$9)-1,"")</f>
        <v>0.18748943364327975</v>
      </c>
      <c r="Z258" s="19">
        <f ca="1">IF('Stock Price'!$I$11="OK",M258/INDEX(M$5:M$1258,'Stock Price'!$I$9)-1,"")</f>
        <v>1.4600827171324715E-2</v>
      </c>
    </row>
    <row r="259" spans="1:26" x14ac:dyDescent="0.2">
      <c r="A259" s="16">
        <f>'Stock Price'!A259</f>
        <v>44841</v>
      </c>
      <c r="B259" s="17">
        <f>'Stock Price'!E259</f>
        <v>138.76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326.66000000000003</v>
      </c>
      <c r="L259" s="18">
        <v>69.7</v>
      </c>
      <c r="M259" s="18">
        <v>160.19999999999999</v>
      </c>
      <c r="O259" s="19">
        <f ca="1">IF('Stock Price'!$I$11="OK",B259/INDEX(B$5:B$1258,'Stock Price'!$I$9)-1,"")</f>
        <v>0.26709889507807483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0.41454120296193664</v>
      </c>
      <c r="Y259" s="19">
        <f ca="1">IF('Stock Price'!$I$11="OK",L259/INDEX(L$5:L$1258,'Stock Price'!$I$9)-1,"")</f>
        <v>0.17836010143702463</v>
      </c>
      <c r="Z259" s="19">
        <f ca="1">IF('Stock Price'!$I$11="OK",M259/INDEX(M$5:M$1258,'Stock Price'!$I$9)-1,"")</f>
        <v>3.8851986464467636E-3</v>
      </c>
    </row>
    <row r="260" spans="1:26" x14ac:dyDescent="0.2">
      <c r="A260" s="16">
        <f>'Stock Price'!A260</f>
        <v>44844</v>
      </c>
      <c r="B260" s="17">
        <f>'Stock Price'!E260</f>
        <v>138.31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323.89</v>
      </c>
      <c r="L260" s="18">
        <v>68.48</v>
      </c>
      <c r="M260" s="18">
        <v>160.41</v>
      </c>
      <c r="O260" s="19">
        <f ca="1">IF('Stock Price'!$I$11="OK",B260/INDEX(B$5:B$1258,'Stock Price'!$I$9)-1,"")</f>
        <v>0.26298968130764311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0.40254622612912994</v>
      </c>
      <c r="Y260" s="19">
        <f ca="1">IF('Stock Price'!$I$11="OK",L260/INDEX(L$5:L$1258,'Stock Price'!$I$9)-1,"")</f>
        <v>0.15773457311918859</v>
      </c>
      <c r="Z260" s="19">
        <f ca="1">IF('Stock Price'!$I$11="OK",M260/INDEX(M$5:M$1258,'Stock Price'!$I$9)-1,"")</f>
        <v>5.2011530266948824E-3</v>
      </c>
    </row>
    <row r="261" spans="1:26" x14ac:dyDescent="0.2">
      <c r="A261" s="16">
        <f>'Stock Price'!A261</f>
        <v>44845</v>
      </c>
      <c r="B261" s="17">
        <f>'Stock Price'!E261</f>
        <v>141.51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327.60000000000002</v>
      </c>
      <c r="L261" s="18">
        <v>69.650000000000006</v>
      </c>
      <c r="M261" s="18">
        <v>162.72999999999999</v>
      </c>
      <c r="O261" s="19">
        <f ca="1">IF('Stock Price'!$I$11="OK",B261/INDEX(B$5:B$1258,'Stock Price'!$I$9)-1,"")</f>
        <v>0.29221075700849219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0.41861170051530783</v>
      </c>
      <c r="Y261" s="19">
        <f ca="1">IF('Stock Price'!$I$11="OK",L261/INDEX(L$5:L$1258,'Stock Price'!$I$9)-1,"")</f>
        <v>0.1775147928994083</v>
      </c>
      <c r="Z261" s="19">
        <f ca="1">IF('Stock Price'!$I$11="OK",M261/INDEX(M$5:M$1258,'Stock Price'!$I$9)-1,"")</f>
        <v>1.9739315703722227E-2</v>
      </c>
    </row>
    <row r="262" spans="1:26" x14ac:dyDescent="0.2">
      <c r="A262" s="16">
        <f>'Stock Price'!A262</f>
        <v>44846</v>
      </c>
      <c r="B262" s="17">
        <f>'Stock Price'!E262</f>
        <v>139.97999999999999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324.57</v>
      </c>
      <c r="L262" s="18">
        <v>69.28</v>
      </c>
      <c r="M262" s="18">
        <v>162.69</v>
      </c>
      <c r="O262" s="19">
        <f ca="1">IF('Stock Price'!$I$11="OK",B262/INDEX(B$5:B$1258,'Stock Price'!$I$9)-1,"")</f>
        <v>0.27823943018902364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0.40549084138050495</v>
      </c>
      <c r="Y262" s="19">
        <f ca="1">IF('Stock Price'!$I$11="OK",L262/INDEX(L$5:L$1258,'Stock Price'!$I$9)-1,"")</f>
        <v>0.17125950972104831</v>
      </c>
      <c r="Z262" s="19">
        <f ca="1">IF('Stock Price'!$I$11="OK",M262/INDEX(M$5:M$1258,'Stock Price'!$I$9)-1,"")</f>
        <v>1.9488657726532077E-2</v>
      </c>
    </row>
    <row r="263" spans="1:26" x14ac:dyDescent="0.2">
      <c r="A263" s="16">
        <f>'Stock Price'!A263</f>
        <v>44847</v>
      </c>
      <c r="B263" s="17">
        <f>'Stock Price'!E263</f>
        <v>142.91999999999999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332.1</v>
      </c>
      <c r="L263" s="18">
        <v>70.77</v>
      </c>
      <c r="M263" s="18">
        <v>165.15</v>
      </c>
      <c r="O263" s="19">
        <f ca="1">IF('Stock Price'!$I$11="OK",B263/INDEX(B$5:B$1258,'Stock Price'!$I$9)-1,"")</f>
        <v>0.30508629348917893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0.43809812497293565</v>
      </c>
      <c r="Y263" s="19">
        <f ca="1">IF('Stock Price'!$I$11="OK",L263/INDEX(L$5:L$1258,'Stock Price'!$I$9)-1,"")</f>
        <v>0.19644970414201191</v>
      </c>
      <c r="Z263" s="19">
        <f ca="1">IF('Stock Price'!$I$11="OK",M263/INDEX(M$5:M$1258,'Stock Price'!$I$9)-1,"")</f>
        <v>3.4904123323724834E-2</v>
      </c>
    </row>
    <row r="264" spans="1:26" x14ac:dyDescent="0.2">
      <c r="A264" s="16">
        <f>'Stock Price'!A264</f>
        <v>44848</v>
      </c>
      <c r="B264" s="17">
        <f>'Stock Price'!E264</f>
        <v>142.94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331.39</v>
      </c>
      <c r="L264" s="18">
        <v>70.62</v>
      </c>
      <c r="M264" s="18">
        <v>164.46</v>
      </c>
      <c r="O264" s="19">
        <f ca="1">IF('Stock Price'!$I$11="OK",B264/INDEX(B$5:B$1258,'Stock Price'!$I$9)-1,"")</f>
        <v>0.30526892521230931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0.43502360022517639</v>
      </c>
      <c r="Y264" s="19">
        <f ca="1">IF('Stock Price'!$I$11="OK",L264/INDEX(L$5:L$1258,'Stock Price'!$I$9)-1,"")</f>
        <v>0.19391377852916336</v>
      </c>
      <c r="Z264" s="19">
        <f ca="1">IF('Stock Price'!$I$11="OK",M264/INDEX(M$5:M$1258,'Stock Price'!$I$9)-1,"")</f>
        <v>3.0580273217195142E-2</v>
      </c>
    </row>
    <row r="265" spans="1:26" x14ac:dyDescent="0.2">
      <c r="A265" s="16">
        <f>'Stock Price'!A265</f>
        <v>44851</v>
      </c>
      <c r="B265" s="17">
        <f>'Stock Price'!E265</f>
        <v>144.41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332.76</v>
      </c>
      <c r="L265" s="18">
        <v>71.38</v>
      </c>
      <c r="M265" s="18">
        <v>166.59</v>
      </c>
      <c r="O265" s="19">
        <f ca="1">IF('Stock Price'!$I$11="OK",B265/INDEX(B$5:B$1258,'Stock Price'!$I$9)-1,"")</f>
        <v>0.31869235686238695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0.44095613389338761</v>
      </c>
      <c r="Y265" s="19">
        <f ca="1">IF('Stock Price'!$I$11="OK",L265/INDEX(L$5:L$1258,'Stock Price'!$I$9)-1,"")</f>
        <v>0.2067624683009297</v>
      </c>
      <c r="Z265" s="19">
        <f ca="1">IF('Stock Price'!$I$11="OK",M265/INDEX(M$5:M$1258,'Stock Price'!$I$9)-1,"")</f>
        <v>4.3927810502569109E-2</v>
      </c>
    </row>
    <row r="266" spans="1:26" x14ac:dyDescent="0.2">
      <c r="A266" s="16">
        <f>'Stock Price'!A266</f>
        <v>44852</v>
      </c>
      <c r="B266" s="17">
        <f>'Stock Price'!E266</f>
        <v>144.6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335.03</v>
      </c>
      <c r="L266" s="18">
        <v>71.739999999999995</v>
      </c>
      <c r="M266" s="18">
        <v>166.01</v>
      </c>
      <c r="O266" s="19">
        <f ca="1">IF('Stock Price'!$I$11="OK",B266/INDEX(B$5:B$1258,'Stock Price'!$I$9)-1,"")</f>
        <v>0.32042735823212487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0.45078595245312414</v>
      </c>
      <c r="Y266" s="19">
        <f ca="1">IF('Stock Price'!$I$11="OK",L266/INDEX(L$5:L$1258,'Stock Price'!$I$9)-1,"")</f>
        <v>0.21284868977176674</v>
      </c>
      <c r="Z266" s="19">
        <f ca="1">IF('Stock Price'!$I$11="OK",M266/INDEX(M$5:M$1258,'Stock Price'!$I$9)-1,"")</f>
        <v>4.0293269833312273E-2</v>
      </c>
    </row>
    <row r="267" spans="1:26" x14ac:dyDescent="0.2">
      <c r="A267" s="16">
        <f>'Stock Price'!A267</f>
        <v>44853</v>
      </c>
      <c r="B267" s="17">
        <f>'Stock Price'!E267</f>
        <v>143.13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329.29</v>
      </c>
      <c r="L267" s="18">
        <v>71.14</v>
      </c>
      <c r="M267" s="18">
        <v>164.69</v>
      </c>
      <c r="O267" s="19">
        <f ca="1">IF('Stock Price'!$I$11="OK",B267/INDEX(B$5:B$1258,'Stock Price'!$I$9)-1,"")</f>
        <v>0.30700392658204723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0.42592993547828351</v>
      </c>
      <c r="Y267" s="19">
        <f ca="1">IF('Stock Price'!$I$11="OK",L267/INDEX(L$5:L$1258,'Stock Price'!$I$9)-1,"")</f>
        <v>0.2027049873203719</v>
      </c>
      <c r="Z267" s="19">
        <f ca="1">IF('Stock Price'!$I$11="OK",M267/INDEX(M$5:M$1258,'Stock Price'!$I$9)-1,"")</f>
        <v>3.2021556586038225E-2</v>
      </c>
    </row>
    <row r="268" spans="1:26" x14ac:dyDescent="0.2">
      <c r="A268" s="16">
        <f>'Stock Price'!A268</f>
        <v>44854</v>
      </c>
      <c r="B268" s="17">
        <f>'Stock Price'!E268</f>
        <v>142.93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329.07</v>
      </c>
      <c r="L268" s="18">
        <v>70.349999999999994</v>
      </c>
      <c r="M268" s="18">
        <v>165.11</v>
      </c>
      <c r="O268" s="19">
        <f ca="1">IF('Stock Price'!$I$11="OK",B268/INDEX(B$5:B$1258,'Stock Price'!$I$9)-1,"")</f>
        <v>0.30517760935074412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0.42497726583813278</v>
      </c>
      <c r="Y268" s="19">
        <f ca="1">IF('Stock Price'!$I$11="OK",L268/INDEX(L$5:L$1258,'Stock Price'!$I$9)-1,"")</f>
        <v>0.18934911242603536</v>
      </c>
      <c r="Z268" s="19">
        <f ca="1">IF('Stock Price'!$I$11="OK",M268/INDEX(M$5:M$1258,'Stock Price'!$I$9)-1,"")</f>
        <v>3.4653465346534684E-2</v>
      </c>
    </row>
    <row r="269" spans="1:26" x14ac:dyDescent="0.2">
      <c r="A269" s="16">
        <f>'Stock Price'!A269</f>
        <v>44855</v>
      </c>
      <c r="B269" s="17">
        <f>'Stock Price'!E269</f>
        <v>147.06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340.77</v>
      </c>
      <c r="L269" s="18">
        <v>72.209999999999994</v>
      </c>
      <c r="M269" s="18">
        <v>168.71</v>
      </c>
      <c r="O269" s="19">
        <f ca="1">IF('Stock Price'!$I$11="OK",B269/INDEX(B$5:B$1258,'Stock Price'!$I$9)-1,"")</f>
        <v>0.34289106017715265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0.47564196942796499</v>
      </c>
      <c r="Y269" s="19">
        <f ca="1">IF('Stock Price'!$I$11="OK",L269/INDEX(L$5:L$1258,'Stock Price'!$I$9)-1,"")</f>
        <v>0.22079459002535917</v>
      </c>
      <c r="Z269" s="19">
        <f ca="1">IF('Stock Price'!$I$11="OK",M269/INDEX(M$5:M$1258,'Stock Price'!$I$9)-1,"")</f>
        <v>5.7212683293645705E-2</v>
      </c>
    </row>
    <row r="270" spans="1:26" x14ac:dyDescent="0.2">
      <c r="A270" s="16">
        <f>'Stock Price'!A270</f>
        <v>44858</v>
      </c>
      <c r="B270" s="17">
        <f>'Stock Price'!E270</f>
        <v>150.88999999999999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347.9</v>
      </c>
      <c r="L270" s="18">
        <v>72.989999999999995</v>
      </c>
      <c r="M270" s="18">
        <v>170.98</v>
      </c>
      <c r="O270" s="19">
        <f ca="1">IF('Stock Price'!$I$11="OK",B270/INDEX(B$5:B$1258,'Stock Price'!$I$9)-1,"")</f>
        <v>0.37786503515660641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0.50651712640193991</v>
      </c>
      <c r="Y270" s="19">
        <f ca="1">IF('Stock Price'!$I$11="OK",L270/INDEX(L$5:L$1258,'Stock Price'!$I$9)-1,"")</f>
        <v>0.23398140321217231</v>
      </c>
      <c r="Z270" s="19">
        <f ca="1">IF('Stock Price'!$I$11="OK",M270/INDEX(M$5:M$1258,'Stock Price'!$I$9)-1,"")</f>
        <v>7.1437523499185307E-2</v>
      </c>
    </row>
    <row r="271" spans="1:26" x14ac:dyDescent="0.2">
      <c r="A271" s="16">
        <f>'Stock Price'!A271</f>
        <v>44859</v>
      </c>
      <c r="B271" s="17">
        <f>'Stock Price'!E271</f>
        <v>149.82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351.31</v>
      </c>
      <c r="L271" s="18">
        <v>72.77</v>
      </c>
      <c r="M271" s="18">
        <v>170.71</v>
      </c>
      <c r="O271" s="19">
        <f ca="1">IF('Stock Price'!$I$11="OK",B271/INDEX(B$5:B$1258,'Stock Price'!$I$9)-1,"")</f>
        <v>0.36809423796913521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0.52128350582427574</v>
      </c>
      <c r="Y271" s="19">
        <f ca="1">IF('Stock Price'!$I$11="OK",L271/INDEX(L$5:L$1258,'Stock Price'!$I$9)-1,"")</f>
        <v>0.23026204564666108</v>
      </c>
      <c r="Z271" s="19">
        <f ca="1">IF('Stock Price'!$I$11="OK",M271/INDEX(M$5:M$1258,'Stock Price'!$I$9)-1,"")</f>
        <v>6.9745582153152075E-2</v>
      </c>
    </row>
    <row r="272" spans="1:26" x14ac:dyDescent="0.2">
      <c r="A272" s="16">
        <f>'Stock Price'!A272</f>
        <v>44860</v>
      </c>
      <c r="B272" s="17">
        <f>'Stock Price'!E272</f>
        <v>152.51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357.86</v>
      </c>
      <c r="L272" s="18">
        <v>74.45</v>
      </c>
      <c r="M272" s="18">
        <v>172.21</v>
      </c>
      <c r="O272" s="19">
        <f ca="1">IF('Stock Price'!$I$11="OK",B272/INDEX(B$5:B$1258,'Stock Price'!$I$9)-1,"")</f>
        <v>0.39265820473016144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0.54964707920148959</v>
      </c>
      <c r="Y272" s="19">
        <f ca="1">IF('Stock Price'!$I$11="OK",L272/INDEX(L$5:L$1258,'Stock Price'!$I$9)-1,"")</f>
        <v>0.25866441251056638</v>
      </c>
      <c r="Z272" s="19">
        <f ca="1">IF('Stock Price'!$I$11="OK",M272/INDEX(M$5:M$1258,'Stock Price'!$I$9)-1,"")</f>
        <v>7.9145256297781685E-2</v>
      </c>
    </row>
    <row r="273" spans="1:26" x14ac:dyDescent="0.2">
      <c r="A273" s="16">
        <f>'Stock Price'!A273</f>
        <v>44861</v>
      </c>
      <c r="B273" s="17">
        <f>'Stock Price'!E273</f>
        <v>153.5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356.33</v>
      </c>
      <c r="L273" s="18">
        <v>74.599999999999994</v>
      </c>
      <c r="M273" s="18">
        <v>172.31</v>
      </c>
      <c r="O273" s="19">
        <f ca="1">IF('Stock Price'!$I$11="OK",B273/INDEX(B$5:B$1258,'Stock Price'!$I$9)-1,"")</f>
        <v>0.4016984750251118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0.54302169488589613</v>
      </c>
      <c r="Y273" s="19">
        <f ca="1">IF('Stock Price'!$I$11="OK",L273/INDEX(L$5:L$1258,'Stock Price'!$I$9)-1,"")</f>
        <v>0.26120033812341492</v>
      </c>
      <c r="Z273" s="19">
        <f ca="1">IF('Stock Price'!$I$11="OK",M273/INDEX(M$5:M$1258,'Stock Price'!$I$9)-1,"")</f>
        <v>7.9771901240756948E-2</v>
      </c>
    </row>
    <row r="274" spans="1:26" x14ac:dyDescent="0.2">
      <c r="A274" s="16">
        <f>'Stock Price'!A274</f>
        <v>44862</v>
      </c>
      <c r="B274" s="17">
        <f>'Stock Price'!E274</f>
        <v>147.61000000000001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359.9</v>
      </c>
      <c r="L274" s="18">
        <v>76.83</v>
      </c>
      <c r="M274" s="18">
        <v>174.87</v>
      </c>
      <c r="O274" s="19">
        <f ca="1">IF('Stock Price'!$I$11="OK",B274/INDEX(B$5:B$1258,'Stock Price'!$I$9)-1,"")</f>
        <v>0.34791343256323626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0.55848092495561419</v>
      </c>
      <c r="Y274" s="19">
        <f ca="1">IF('Stock Price'!$I$11="OK",L274/INDEX(L$5:L$1258,'Stock Price'!$I$9)-1,"")</f>
        <v>0.29890109890109895</v>
      </c>
      <c r="Z274" s="19">
        <f ca="1">IF('Stock Price'!$I$11="OK",M274/INDEX(M$5:M$1258,'Stock Price'!$I$9)-1,"")</f>
        <v>9.5814011780924968E-2</v>
      </c>
    </row>
    <row r="275" spans="1:26" x14ac:dyDescent="0.2">
      <c r="A275" s="16">
        <f>'Stock Price'!A275</f>
        <v>44865</v>
      </c>
      <c r="B275" s="17">
        <f>'Stock Price'!E275</f>
        <v>146.4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362.09</v>
      </c>
      <c r="L275" s="18">
        <v>77.47</v>
      </c>
      <c r="M275" s="18">
        <v>173.97</v>
      </c>
      <c r="O275" s="19">
        <f ca="1">IF('Stock Price'!$I$11="OK",B275/INDEX(B$5:B$1258,'Stock Price'!$I$9)-1,"")</f>
        <v>0.33686421331385263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0.5679643181916596</v>
      </c>
      <c r="Y275" s="19">
        <f ca="1">IF('Stock Price'!$I$11="OK",L275/INDEX(L$5:L$1258,'Stock Price'!$I$9)-1,"")</f>
        <v>0.30972104818258672</v>
      </c>
      <c r="Z275" s="19">
        <f ca="1">IF('Stock Price'!$I$11="OK",M275/INDEX(M$5:M$1258,'Stock Price'!$I$9)-1,"")</f>
        <v>9.0174207294146935E-2</v>
      </c>
    </row>
    <row r="276" spans="1:26" x14ac:dyDescent="0.2">
      <c r="A276" s="16">
        <f>'Stock Price'!A276</f>
        <v>44866</v>
      </c>
      <c r="B276" s="17">
        <f>'Stock Price'!E276</f>
        <v>146.91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352.58</v>
      </c>
      <c r="L276" s="18">
        <v>77.7</v>
      </c>
      <c r="M276" s="18">
        <v>173.09</v>
      </c>
      <c r="O276" s="19">
        <f ca="1">IF('Stock Price'!$I$11="OK",B276/INDEX(B$5:B$1258,'Stock Price'!$I$9)-1,"")</f>
        <v>0.34152132225367526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0.5267830078378728</v>
      </c>
      <c r="Y276" s="19">
        <f ca="1">IF('Stock Price'!$I$11="OK",L276/INDEX(L$5:L$1258,'Stock Price'!$I$9)-1,"")</f>
        <v>0.31360946745562135</v>
      </c>
      <c r="Z276" s="19">
        <f ca="1">IF('Stock Price'!$I$11="OK",M276/INDEX(M$5:M$1258,'Stock Price'!$I$9)-1,"")</f>
        <v>8.465973179596431E-2</v>
      </c>
    </row>
    <row r="277" spans="1:26" x14ac:dyDescent="0.2">
      <c r="A277" s="16">
        <f>'Stock Price'!A277</f>
        <v>44867</v>
      </c>
      <c r="B277" s="17">
        <f>'Stock Price'!E277</f>
        <v>144.52000000000001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354.96</v>
      </c>
      <c r="L277" s="18">
        <v>77.45</v>
      </c>
      <c r="M277" s="18">
        <v>170.43</v>
      </c>
      <c r="O277" s="19">
        <f ca="1">IF('Stock Price'!$I$11="OK",B277/INDEX(B$5:B$1258,'Stock Price'!$I$9)-1,"")</f>
        <v>0.3196968313396038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0.53708916121768491</v>
      </c>
      <c r="Y277" s="19">
        <f ca="1">IF('Stock Price'!$I$11="OK",L277/INDEX(L$5:L$1258,'Stock Price'!$I$9)-1,"")</f>
        <v>0.30938292476754015</v>
      </c>
      <c r="Z277" s="19">
        <f ca="1">IF('Stock Price'!$I$11="OK",M277/INDEX(M$5:M$1258,'Stock Price'!$I$9)-1,"")</f>
        <v>6.7990976312821028E-2</v>
      </c>
    </row>
    <row r="278" spans="1:26" x14ac:dyDescent="0.2">
      <c r="A278" s="16">
        <f>'Stock Price'!A278</f>
        <v>44868</v>
      </c>
      <c r="B278" s="17">
        <f>'Stock Price'!E278</f>
        <v>144.41999999999999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361.68</v>
      </c>
      <c r="L278" s="18">
        <v>78.48</v>
      </c>
      <c r="M278" s="18">
        <v>170.72</v>
      </c>
      <c r="O278" s="19">
        <f ca="1">IF('Stock Price'!$I$11="OK",B278/INDEX(B$5:B$1258,'Stock Price'!$I$9)-1,"")</f>
        <v>0.31878367272395192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0.56618888840774262</v>
      </c>
      <c r="Y278" s="19">
        <f ca="1">IF('Stock Price'!$I$11="OK",L278/INDEX(L$5:L$1258,'Stock Price'!$I$9)-1,"")</f>
        <v>0.32679628064243449</v>
      </c>
      <c r="Z278" s="19">
        <f ca="1">IF('Stock Price'!$I$11="OK",M278/INDEX(M$5:M$1258,'Stock Price'!$I$9)-1,"")</f>
        <v>6.9808246647449446E-2</v>
      </c>
    </row>
    <row r="279" spans="1:26" x14ac:dyDescent="0.2">
      <c r="A279" s="16">
        <f>'Stock Price'!A279</f>
        <v>44869</v>
      </c>
      <c r="B279" s="17">
        <f>'Stock Price'!E279</f>
        <v>145.28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357.41</v>
      </c>
      <c r="L279" s="18">
        <v>78.78</v>
      </c>
      <c r="M279" s="18">
        <v>171.48</v>
      </c>
      <c r="O279" s="19">
        <f ca="1">IF('Stock Price'!$I$11="OK",B279/INDEX(B$5:B$1258,'Stock Price'!$I$9)-1,"")</f>
        <v>0.32663683681855527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0.54769843675572694</v>
      </c>
      <c r="Y279" s="19">
        <f ca="1">IF('Stock Price'!$I$11="OK",L279/INDEX(L$5:L$1258,'Stock Price'!$I$9)-1,"")</f>
        <v>0.33186813186813202</v>
      </c>
      <c r="Z279" s="19">
        <f ca="1">IF('Stock Price'!$I$11="OK",M279/INDEX(M$5:M$1258,'Stock Price'!$I$9)-1,"")</f>
        <v>7.4570748214061844E-2</v>
      </c>
    </row>
    <row r="280" spans="1:26" x14ac:dyDescent="0.2">
      <c r="A280" s="16">
        <f>'Stock Price'!A280</f>
        <v>44872</v>
      </c>
      <c r="B280" s="17">
        <f>'Stock Price'!E280</f>
        <v>148.1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365.07</v>
      </c>
      <c r="L280" s="18">
        <v>79.19</v>
      </c>
      <c r="M280" s="18">
        <v>172.98</v>
      </c>
      <c r="O280" s="19">
        <f ca="1">IF('Stock Price'!$I$11="OK",B280/INDEX(B$5:B$1258,'Stock Price'!$I$9)-1,"")</f>
        <v>0.35238790977992873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0.58086866149915561</v>
      </c>
      <c r="Y280" s="19">
        <f ca="1">IF('Stock Price'!$I$11="OK",L280/INDEX(L$5:L$1258,'Stock Price'!$I$9)-1,"")</f>
        <v>0.33879966187658495</v>
      </c>
      <c r="Z280" s="19">
        <f ca="1">IF('Stock Price'!$I$11="OK",M280/INDEX(M$5:M$1258,'Stock Price'!$I$9)-1,"")</f>
        <v>8.3970422358691454E-2</v>
      </c>
    </row>
    <row r="281" spans="1:26" x14ac:dyDescent="0.2">
      <c r="A281" s="16">
        <f>'Stock Price'!A281</f>
        <v>44873</v>
      </c>
      <c r="B281" s="17">
        <f>'Stock Price'!E281</f>
        <v>148.53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366.66</v>
      </c>
      <c r="L281" s="18">
        <v>79.98</v>
      </c>
      <c r="M281" s="18">
        <v>173.84</v>
      </c>
      <c r="O281" s="19">
        <f ca="1">IF('Stock Price'!$I$11="OK",B281/INDEX(B$5:B$1258,'Stock Price'!$I$9)-1,"")</f>
        <v>0.3563144918272303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0.58775386480751757</v>
      </c>
      <c r="Y281" s="19">
        <f ca="1">IF('Stock Price'!$I$11="OK",L281/INDEX(L$5:L$1258,'Stock Price'!$I$9)-1,"")</f>
        <v>0.35215553677092148</v>
      </c>
      <c r="Z281" s="19">
        <f ca="1">IF('Stock Price'!$I$11="OK",M281/INDEX(M$5:M$1258,'Stock Price'!$I$9)-1,"")</f>
        <v>8.9359568868279116E-2</v>
      </c>
    </row>
    <row r="282" spans="1:26" x14ac:dyDescent="0.2">
      <c r="A282" s="16">
        <f>'Stock Price'!A282</f>
        <v>44874</v>
      </c>
      <c r="B282" s="17">
        <f>'Stock Price'!E282</f>
        <v>147.62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363.27</v>
      </c>
      <c r="L282" s="18">
        <v>79.78</v>
      </c>
      <c r="M282" s="18">
        <v>172.45</v>
      </c>
      <c r="O282" s="19">
        <f ca="1">IF('Stock Price'!$I$11="OK",B282/INDEX(B$5:B$1258,'Stock Price'!$I$9)-1,"")</f>
        <v>0.34800474842480145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0.57307409171610435</v>
      </c>
      <c r="Y282" s="19">
        <f ca="1">IF('Stock Price'!$I$11="OK",L282/INDEX(L$5:L$1258,'Stock Price'!$I$9)-1,"")</f>
        <v>0.34877430262045661</v>
      </c>
      <c r="Z282" s="19">
        <f ca="1">IF('Stock Price'!$I$11="OK",M282/INDEX(M$5:M$1258,'Stock Price'!$I$9)-1,"")</f>
        <v>8.0649204160922361E-2</v>
      </c>
    </row>
    <row r="283" spans="1:26" x14ac:dyDescent="0.2">
      <c r="A283" s="16">
        <f>'Stock Price'!A283</f>
        <v>44875</v>
      </c>
      <c r="B283" s="17">
        <f>'Stock Price'!E283</f>
        <v>149.72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368.72</v>
      </c>
      <c r="L283" s="18">
        <v>79.38</v>
      </c>
      <c r="M283" s="18">
        <v>174.47</v>
      </c>
      <c r="O283" s="19">
        <f ca="1">IF('Stock Price'!$I$11="OK",B283/INDEX(B$5:B$1258,'Stock Price'!$I$9)-1,"")</f>
        <v>0.36718107935348354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0.596674316892565</v>
      </c>
      <c r="Y283" s="19">
        <f ca="1">IF('Stock Price'!$I$11="OK",L283/INDEX(L$5:L$1258,'Stock Price'!$I$9)-1,"")</f>
        <v>0.34201183431952664</v>
      </c>
      <c r="Z283" s="19">
        <f ca="1">IF('Stock Price'!$I$11="OK",M283/INDEX(M$5:M$1258,'Stock Price'!$I$9)-1,"")</f>
        <v>9.3307432009023694E-2</v>
      </c>
    </row>
    <row r="284" spans="1:26" x14ac:dyDescent="0.2">
      <c r="A284" s="16">
        <f>'Stock Price'!A284</f>
        <v>44876</v>
      </c>
      <c r="B284" s="17">
        <f>'Stock Price'!E284</f>
        <v>150.16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352.3</v>
      </c>
      <c r="L284" s="18">
        <v>75.959999999999994</v>
      </c>
      <c r="M284" s="18">
        <v>169.25</v>
      </c>
      <c r="O284" s="19">
        <f ca="1">IF('Stock Price'!$I$11="OK",B284/INDEX(B$5:B$1258,'Stock Price'!$I$9)-1,"")</f>
        <v>0.37119897726235029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0.52557051920495379</v>
      </c>
      <c r="Y284" s="19">
        <f ca="1">IF('Stock Price'!$I$11="OK",L284/INDEX(L$5:L$1258,'Stock Price'!$I$9)-1,"")</f>
        <v>0.28419273034657633</v>
      </c>
      <c r="Z284" s="19">
        <f ca="1">IF('Stock Price'!$I$11="OK",M284/INDEX(M$5:M$1258,'Stock Price'!$I$9)-1,"")</f>
        <v>6.0596565985712392E-2</v>
      </c>
    </row>
    <row r="285" spans="1:26" x14ac:dyDescent="0.2">
      <c r="A285" s="16">
        <f>'Stock Price'!A285</f>
        <v>44879</v>
      </c>
      <c r="B285" s="17">
        <f>'Stock Price'!E285</f>
        <v>151.74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356.06</v>
      </c>
      <c r="L285" s="18">
        <v>76.39</v>
      </c>
      <c r="M285" s="18">
        <v>171.91</v>
      </c>
      <c r="O285" s="19">
        <f ca="1">IF('Stock Price'!$I$11="OK",B285/INDEX(B$5:B$1258,'Stock Price'!$I$9)-1,"")</f>
        <v>0.38562688338964479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0.54185250941843854</v>
      </c>
      <c r="Y285" s="19">
        <f ca="1">IF('Stock Price'!$I$11="OK",L285/INDEX(L$5:L$1258,'Stock Price'!$I$9)-1,"")</f>
        <v>0.29146238377007605</v>
      </c>
      <c r="Z285" s="19">
        <f ca="1">IF('Stock Price'!$I$11="OK",M285/INDEX(M$5:M$1258,'Stock Price'!$I$9)-1,"")</f>
        <v>7.7265321468855674E-2</v>
      </c>
    </row>
    <row r="286" spans="1:26" x14ac:dyDescent="0.2">
      <c r="A286" s="16">
        <f>'Stock Price'!A286</f>
        <v>44880</v>
      </c>
      <c r="B286" s="17">
        <f>'Stock Price'!E286</f>
        <v>153.04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349.95</v>
      </c>
      <c r="L286" s="18">
        <v>76.28</v>
      </c>
      <c r="M286" s="18">
        <v>172.39</v>
      </c>
      <c r="O286" s="19">
        <f ca="1">IF('Stock Price'!$I$11="OK",B286/INDEX(B$5:B$1258,'Stock Price'!$I$9)-1,"")</f>
        <v>0.39749794539311467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0.51539427532152593</v>
      </c>
      <c r="Y286" s="19">
        <f ca="1">IF('Stock Price'!$I$11="OK",L286/INDEX(L$5:L$1258,'Stock Price'!$I$9)-1,"")</f>
        <v>0.28960270498732044</v>
      </c>
      <c r="Z286" s="19">
        <f ca="1">IF('Stock Price'!$I$11="OK",M286/INDEX(M$5:M$1258,'Stock Price'!$I$9)-1,"")</f>
        <v>8.0273217195137025E-2</v>
      </c>
    </row>
    <row r="287" spans="1:26" x14ac:dyDescent="0.2">
      <c r="A287" s="16">
        <f>'Stock Price'!A287</f>
        <v>44881</v>
      </c>
      <c r="B287" s="17">
        <f>'Stock Price'!E287</f>
        <v>151.87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352.93</v>
      </c>
      <c r="L287" s="18">
        <v>76.150000000000006</v>
      </c>
      <c r="M287" s="18">
        <v>173.46</v>
      </c>
      <c r="O287" s="19">
        <f ca="1">IF('Stock Price'!$I$11="OK",B287/INDEX(B$5:B$1258,'Stock Price'!$I$9)-1,"")</f>
        <v>0.3868139895899918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0.52829861862902172</v>
      </c>
      <c r="Y287" s="19">
        <f ca="1">IF('Stock Price'!$I$11="OK",L287/INDEX(L$5:L$1258,'Stock Price'!$I$9)-1,"")</f>
        <v>0.28740490278951825</v>
      </c>
      <c r="Z287" s="19">
        <f ca="1">IF('Stock Price'!$I$11="OK",M287/INDEX(M$5:M$1258,'Stock Price'!$I$9)-1,"")</f>
        <v>8.6978318084973028E-2</v>
      </c>
    </row>
    <row r="288" spans="1:26" x14ac:dyDescent="0.2">
      <c r="A288" s="16">
        <f>'Stock Price'!A288</f>
        <v>44882</v>
      </c>
      <c r="B288" s="17">
        <f>'Stock Price'!E288</f>
        <v>152.16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360.77</v>
      </c>
      <c r="L288" s="18">
        <v>77.16</v>
      </c>
      <c r="M288" s="18">
        <v>174.86</v>
      </c>
      <c r="O288" s="19">
        <f ca="1">IF('Stock Price'!$I$11="OK",B288/INDEX(B$5:B$1258,'Stock Price'!$I$9)-1,"")</f>
        <v>0.38946214957538117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0.56224830035075546</v>
      </c>
      <c r="Y288" s="19">
        <f ca="1">IF('Stock Price'!$I$11="OK",L288/INDEX(L$5:L$1258,'Stock Price'!$I$9)-1,"")</f>
        <v>0.30448013524936601</v>
      </c>
      <c r="Z288" s="19">
        <f ca="1">IF('Stock Price'!$I$11="OK",M288/INDEX(M$5:M$1258,'Stock Price'!$I$9)-1,"")</f>
        <v>9.5751347286627375E-2</v>
      </c>
    </row>
    <row r="289" spans="1:26" x14ac:dyDescent="0.2">
      <c r="A289" s="16">
        <f>'Stock Price'!A289</f>
        <v>44883</v>
      </c>
      <c r="B289" s="17">
        <f>'Stock Price'!E289</f>
        <v>154.97999999999999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361.67</v>
      </c>
      <c r="L289" s="18">
        <v>77.45</v>
      </c>
      <c r="M289" s="18">
        <v>176.2</v>
      </c>
      <c r="O289" s="19">
        <f ca="1">IF('Stock Price'!$I$11="OK",B289/INDEX(B$5:B$1258,'Stock Price'!$I$9)-1,"")</f>
        <v>0.41521322253675441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0.5661455852422812</v>
      </c>
      <c r="Y289" s="19">
        <f ca="1">IF('Stock Price'!$I$11="OK",L289/INDEX(L$5:L$1258,'Stock Price'!$I$9)-1,"")</f>
        <v>0.30938292476754015</v>
      </c>
      <c r="Z289" s="19">
        <f ca="1">IF('Stock Price'!$I$11="OK",M289/INDEX(M$5:M$1258,'Stock Price'!$I$9)-1,"")</f>
        <v>0.10414838952249639</v>
      </c>
    </row>
    <row r="290" spans="1:26" x14ac:dyDescent="0.2">
      <c r="A290" s="16">
        <f>'Stock Price'!A290</f>
        <v>44886</v>
      </c>
      <c r="B290" s="17">
        <f>'Stock Price'!E290</f>
        <v>157.11000000000001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361.17</v>
      </c>
      <c r="L290" s="18">
        <v>78.959999999999994</v>
      </c>
      <c r="M290" s="18">
        <v>175.97</v>
      </c>
      <c r="O290" s="19">
        <f ca="1">IF('Stock Price'!$I$11="OK",B290/INDEX(B$5:B$1258,'Stock Price'!$I$9)-1,"")</f>
        <v>0.43466350105013252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0.56398042696921147</v>
      </c>
      <c r="Y290" s="19">
        <f ca="1">IF('Stock Price'!$I$11="OK",L290/INDEX(L$5:L$1258,'Stock Price'!$I$9)-1,"")</f>
        <v>0.33491124260355032</v>
      </c>
      <c r="Z290" s="19">
        <f ca="1">IF('Stock Price'!$I$11="OK",M290/INDEX(M$5:M$1258,'Stock Price'!$I$9)-1,"")</f>
        <v>0.1027071061536533</v>
      </c>
    </row>
    <row r="291" spans="1:26" x14ac:dyDescent="0.2">
      <c r="A291" s="16">
        <f>'Stock Price'!A291</f>
        <v>44887</v>
      </c>
      <c r="B291" s="17">
        <f>'Stock Price'!E291</f>
        <v>159.79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360.88</v>
      </c>
      <c r="L291" s="18">
        <v>78.86</v>
      </c>
      <c r="M291" s="18">
        <v>176.82</v>
      </c>
      <c r="O291" s="19">
        <f ca="1">IF('Stock Price'!$I$11="OK",B291/INDEX(B$5:B$1258,'Stock Price'!$I$9)-1,"")</f>
        <v>0.45913615194959356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0.56272463517083082</v>
      </c>
      <c r="Y291" s="19">
        <f ca="1">IF('Stock Price'!$I$11="OK",L291/INDEX(L$5:L$1258,'Stock Price'!$I$9)-1,"")</f>
        <v>0.33322062552831788</v>
      </c>
      <c r="Z291" s="19">
        <f ca="1">IF('Stock Price'!$I$11="OK",M291/INDEX(M$5:M$1258,'Stock Price'!$I$9)-1,"")</f>
        <v>0.10803358816894337</v>
      </c>
    </row>
    <row r="292" spans="1:26" x14ac:dyDescent="0.2">
      <c r="A292" s="16">
        <f>'Stock Price'!A292</f>
        <v>44888</v>
      </c>
      <c r="B292" s="17">
        <f>'Stock Price'!E292</f>
        <v>159.38999999999999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361.72</v>
      </c>
      <c r="L292" s="18">
        <v>79.14</v>
      </c>
      <c r="M292" s="18">
        <v>177.01</v>
      </c>
      <c r="O292" s="19">
        <f ca="1">IF('Stock Price'!$I$11="OK",B292/INDEX(B$5:B$1258,'Stock Price'!$I$9)-1,"")</f>
        <v>0.45548351748698734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0.56636210106958829</v>
      </c>
      <c r="Y292" s="19">
        <f ca="1">IF('Stock Price'!$I$11="OK",L292/INDEX(L$5:L$1258,'Stock Price'!$I$9)-1,"")</f>
        <v>0.33795435333896884</v>
      </c>
      <c r="Z292" s="19">
        <f ca="1">IF('Stock Price'!$I$11="OK",M292/INDEX(M$5:M$1258,'Stock Price'!$I$9)-1,"")</f>
        <v>0.10922421356059653</v>
      </c>
    </row>
    <row r="293" spans="1:26" x14ac:dyDescent="0.2">
      <c r="A293" s="16">
        <f>'Stock Price'!A293</f>
        <v>44890</v>
      </c>
      <c r="B293" s="17">
        <f>'Stock Price'!E293</f>
        <v>159.62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365.25</v>
      </c>
      <c r="L293" s="18">
        <v>79.239999999999995</v>
      </c>
      <c r="M293" s="18">
        <v>177.24</v>
      </c>
      <c r="O293" s="19">
        <f ca="1">IF('Stock Price'!$I$11="OK",B293/INDEX(B$5:B$1258,'Stock Price'!$I$9)-1,"")</f>
        <v>0.45758378230298602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0.58164811847746067</v>
      </c>
      <c r="Y293" s="19">
        <f ca="1">IF('Stock Price'!$I$11="OK",L293/INDEX(L$5:L$1258,'Stock Price'!$I$9)-1,"")</f>
        <v>0.33964497041420105</v>
      </c>
      <c r="Z293" s="19">
        <f ca="1">IF('Stock Price'!$I$11="OK",M293/INDEX(M$5:M$1258,'Stock Price'!$I$9)-1,"")</f>
        <v>0.11066549692943983</v>
      </c>
    </row>
    <row r="294" spans="1:26" x14ac:dyDescent="0.2">
      <c r="A294" s="16">
        <f>'Stock Price'!A294</f>
        <v>44893</v>
      </c>
      <c r="B294" s="17">
        <f>'Stock Price'!E294</f>
        <v>158.43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365.77</v>
      </c>
      <c r="L294" s="18">
        <v>79.14</v>
      </c>
      <c r="M294" s="18">
        <v>177.33</v>
      </c>
      <c r="O294" s="19">
        <f ca="1">IF('Stock Price'!$I$11="OK",B294/INDEX(B$5:B$1258,'Stock Price'!$I$9)-1,"")</f>
        <v>0.44671719477673277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0.58389988308145302</v>
      </c>
      <c r="Y294" s="19">
        <f ca="1">IF('Stock Price'!$I$11="OK",L294/INDEX(L$5:L$1258,'Stock Price'!$I$9)-1,"")</f>
        <v>0.33795435333896884</v>
      </c>
      <c r="Z294" s="19">
        <f ca="1">IF('Stock Price'!$I$11="OK",M294/INDEX(M$5:M$1258,'Stock Price'!$I$9)-1,"")</f>
        <v>0.1112294773781175</v>
      </c>
    </row>
    <row r="295" spans="1:26" x14ac:dyDescent="0.2">
      <c r="A295" s="16">
        <f>'Stock Price'!A295</f>
        <v>44894</v>
      </c>
      <c r="B295" s="17">
        <f>'Stock Price'!E295</f>
        <v>158.19999999999999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363.95</v>
      </c>
      <c r="L295" s="18">
        <v>79.03</v>
      </c>
      <c r="M295" s="18">
        <v>176.09</v>
      </c>
      <c r="O295" s="19">
        <f ca="1">IF('Stock Price'!$I$11="OK",B295/INDEX(B$5:B$1258,'Stock Price'!$I$9)-1,"")</f>
        <v>0.4446169299607341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0.57601870696747914</v>
      </c>
      <c r="Y295" s="19">
        <f ca="1">IF('Stock Price'!$I$11="OK",L295/INDEX(L$5:L$1258,'Stock Price'!$I$9)-1,"")</f>
        <v>0.336094674556213</v>
      </c>
      <c r="Z295" s="19">
        <f ca="1">IF('Stock Price'!$I$11="OK",M295/INDEX(M$5:M$1258,'Stock Price'!$I$9)-1,"")</f>
        <v>0.10345908008522375</v>
      </c>
    </row>
    <row r="296" spans="1:26" x14ac:dyDescent="0.2">
      <c r="A296" s="16">
        <f>'Stock Price'!A296</f>
        <v>44895</v>
      </c>
      <c r="B296" s="17">
        <f>'Stock Price'!E296</f>
        <v>161.18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371.08</v>
      </c>
      <c r="L296" s="18">
        <v>80.28</v>
      </c>
      <c r="M296" s="18">
        <v>178</v>
      </c>
      <c r="O296" s="19">
        <f ca="1">IF('Stock Price'!$I$11="OK",B296/INDEX(B$5:B$1258,'Stock Price'!$I$9)-1,"")</f>
        <v>0.47182905670714992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0.60689386394145406</v>
      </c>
      <c r="Y296" s="19">
        <f ca="1">IF('Stock Price'!$I$11="OK",L296/INDEX(L$5:L$1258,'Stock Price'!$I$9)-1,"")</f>
        <v>0.35722738799661879</v>
      </c>
      <c r="Z296" s="19">
        <f ca="1">IF('Stock Price'!$I$11="OK",M296/INDEX(M$5:M$1258,'Stock Price'!$I$9)-1,"")</f>
        <v>0.11542799849605201</v>
      </c>
    </row>
    <row r="297" spans="1:26" x14ac:dyDescent="0.2">
      <c r="A297" s="16">
        <f>'Stock Price'!A297</f>
        <v>44896</v>
      </c>
      <c r="B297" s="17">
        <f>'Stock Price'!E297</f>
        <v>161.63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370.33</v>
      </c>
      <c r="L297" s="18">
        <v>80.88</v>
      </c>
      <c r="M297" s="18">
        <v>178.74</v>
      </c>
      <c r="O297" s="19">
        <f ca="1">IF('Stock Price'!$I$11="OK",B297/INDEX(B$5:B$1258,'Stock Price'!$I$9)-1,"")</f>
        <v>0.47593827047758186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0.60364612653184935</v>
      </c>
      <c r="Y297" s="19">
        <f ca="1">IF('Stock Price'!$I$11="OK",L297/INDEX(L$5:L$1258,'Stock Price'!$I$9)-1,"")</f>
        <v>0.36737109044801342</v>
      </c>
      <c r="Z297" s="19">
        <f ca="1">IF('Stock Price'!$I$11="OK",M297/INDEX(M$5:M$1258,'Stock Price'!$I$9)-1,"")</f>
        <v>0.12006517107406944</v>
      </c>
    </row>
    <row r="298" spans="1:26" x14ac:dyDescent="0.2">
      <c r="A298" s="16">
        <f>'Stock Price'!A298</f>
        <v>44897</v>
      </c>
      <c r="B298" s="17">
        <f>'Stock Price'!E298</f>
        <v>163.66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374.76</v>
      </c>
      <c r="L298" s="18">
        <v>81.13</v>
      </c>
      <c r="M298" s="18">
        <v>178.88</v>
      </c>
      <c r="O298" s="19">
        <f ca="1">IF('Stock Price'!$I$11="OK",B298/INDEX(B$5:B$1258,'Stock Price'!$I$9)-1,"")</f>
        <v>0.49447539037530808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0.62282942883124748</v>
      </c>
      <c r="Y298" s="19">
        <f ca="1">IF('Stock Price'!$I$11="OK",L298/INDEX(L$5:L$1258,'Stock Price'!$I$9)-1,"")</f>
        <v>0.37159763313609462</v>
      </c>
      <c r="Z298" s="19">
        <f ca="1">IF('Stock Price'!$I$11="OK",M298/INDEX(M$5:M$1258,'Stock Price'!$I$9)-1,"")</f>
        <v>0.12094247399423486</v>
      </c>
    </row>
    <row r="299" spans="1:26" x14ac:dyDescent="0.2">
      <c r="A299" s="16">
        <f>'Stock Price'!A299</f>
        <v>44900</v>
      </c>
      <c r="B299" s="17">
        <f>'Stock Price'!E299</f>
        <v>163.94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369.29</v>
      </c>
      <c r="L299" s="18">
        <v>80.7</v>
      </c>
      <c r="M299" s="18">
        <v>178.78</v>
      </c>
      <c r="O299" s="19">
        <f ca="1">IF('Stock Price'!$I$11="OK",B299/INDEX(B$5:B$1258,'Stock Price'!$I$9)-1,"")</f>
        <v>0.49703223449913247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0.59914259732386443</v>
      </c>
      <c r="Y299" s="19">
        <f ca="1">IF('Stock Price'!$I$11="OK",L299/INDEX(L$5:L$1258,'Stock Price'!$I$9)-1,"")</f>
        <v>0.36432797971259512</v>
      </c>
      <c r="Z299" s="19">
        <f ca="1">IF('Stock Price'!$I$11="OK",M299/INDEX(M$5:M$1258,'Stock Price'!$I$9)-1,"")</f>
        <v>0.12031582905125937</v>
      </c>
    </row>
    <row r="300" spans="1:26" x14ac:dyDescent="0.2">
      <c r="A300" s="16">
        <f>'Stock Price'!A300</f>
        <v>44901</v>
      </c>
      <c r="B300" s="17">
        <f>'Stock Price'!E300</f>
        <v>163.72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368.54</v>
      </c>
      <c r="L300" s="18">
        <v>79.92</v>
      </c>
      <c r="M300" s="18">
        <v>176.1</v>
      </c>
      <c r="O300" s="19">
        <f ca="1">IF('Stock Price'!$I$11="OK",B300/INDEX(B$5:B$1258,'Stock Price'!$I$9)-1,"")</f>
        <v>0.49502328554469899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0.59589485991425972</v>
      </c>
      <c r="Y300" s="19">
        <f ca="1">IF('Stock Price'!$I$11="OK",L300/INDEX(L$5:L$1258,'Stock Price'!$I$9)-1,"")</f>
        <v>0.35114116652578198</v>
      </c>
      <c r="Z300" s="19">
        <f ca="1">IF('Stock Price'!$I$11="OK",M300/INDEX(M$5:M$1258,'Stock Price'!$I$9)-1,"")</f>
        <v>0.10352174457952112</v>
      </c>
    </row>
    <row r="301" spans="1:26" x14ac:dyDescent="0.2">
      <c r="A301" s="16">
        <f>'Stock Price'!A301</f>
        <v>44902</v>
      </c>
      <c r="B301" s="17">
        <f>'Stock Price'!E301</f>
        <v>165.4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371.97</v>
      </c>
      <c r="L301" s="18">
        <v>79.930000000000007</v>
      </c>
      <c r="M301" s="18">
        <v>177.17</v>
      </c>
      <c r="O301" s="19">
        <f ca="1">IF('Stock Price'!$I$11="OK",B301/INDEX(B$5:B$1258,'Stock Price'!$I$9)-1,"")</f>
        <v>0.51036435028764493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0.61074784566751839</v>
      </c>
      <c r="Y301" s="19">
        <f ca="1">IF('Stock Price'!$I$11="OK",L301/INDEX(L$5:L$1258,'Stock Price'!$I$9)-1,"")</f>
        <v>0.35131022823330538</v>
      </c>
      <c r="Z301" s="19">
        <f ca="1">IF('Stock Price'!$I$11="OK",M301/INDEX(M$5:M$1258,'Stock Price'!$I$9)-1,"")</f>
        <v>0.1102268454693569</v>
      </c>
    </row>
    <row r="302" spans="1:26" x14ac:dyDescent="0.2">
      <c r="A302" s="16">
        <f>'Stock Price'!A302</f>
        <v>44903</v>
      </c>
      <c r="B302" s="17">
        <f>'Stock Price'!E302</f>
        <v>165.99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371.79</v>
      </c>
      <c r="L302" s="18">
        <v>79.88</v>
      </c>
      <c r="M302" s="18">
        <v>177.2</v>
      </c>
      <c r="O302" s="19">
        <f ca="1">IF('Stock Price'!$I$11="OK",B302/INDEX(B$5:B$1258,'Stock Price'!$I$9)-1,"")</f>
        <v>0.51575198611998907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0.60996838868921333</v>
      </c>
      <c r="Y302" s="19">
        <f ca="1">IF('Stock Price'!$I$11="OK",L302/INDEX(L$5:L$1258,'Stock Price'!$I$9)-1,"")</f>
        <v>0.35046491969568883</v>
      </c>
      <c r="Z302" s="19">
        <f ca="1">IF('Stock Price'!$I$11="OK",M302/INDEX(M$5:M$1258,'Stock Price'!$I$9)-1,"")</f>
        <v>0.11041483895224946</v>
      </c>
    </row>
    <row r="303" spans="1:26" x14ac:dyDescent="0.2">
      <c r="A303" s="16">
        <f>'Stock Price'!A303</f>
        <v>44904</v>
      </c>
      <c r="B303" s="17">
        <f>'Stock Price'!E303</f>
        <v>163.06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360.99</v>
      </c>
      <c r="L303" s="18">
        <v>78.83</v>
      </c>
      <c r="M303" s="18">
        <v>175.74</v>
      </c>
      <c r="O303" s="19">
        <f ca="1">IF('Stock Price'!$I$11="OK",B303/INDEX(B$5:B$1258,'Stock Price'!$I$9)-1,"")</f>
        <v>0.48899643868139897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0.56320096999090641</v>
      </c>
      <c r="Y303" s="19">
        <f ca="1">IF('Stock Price'!$I$11="OK",L303/INDEX(L$5:L$1258,'Stock Price'!$I$9)-1,"")</f>
        <v>0.33271344040574813</v>
      </c>
      <c r="Z303" s="19">
        <f ca="1">IF('Stock Price'!$I$11="OK",M303/INDEX(M$5:M$1258,'Stock Price'!$I$9)-1,"")</f>
        <v>0.10126582278481</v>
      </c>
    </row>
    <row r="304" spans="1:26" x14ac:dyDescent="0.2">
      <c r="A304" s="16">
        <f>'Stock Price'!A304</f>
        <v>44907</v>
      </c>
      <c r="B304" s="17">
        <f>'Stock Price'!E304</f>
        <v>165.32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367.25</v>
      </c>
      <c r="L304" s="18">
        <v>78.89</v>
      </c>
      <c r="M304" s="18">
        <v>177.84</v>
      </c>
      <c r="O304" s="19">
        <f ca="1">IF('Stock Price'!$I$11="OK",B304/INDEX(B$5:B$1258,'Stock Price'!$I$9)-1,"")</f>
        <v>0.50963382339512364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0.59030875156973961</v>
      </c>
      <c r="Y304" s="19">
        <f ca="1">IF('Stock Price'!$I$11="OK",L304/INDEX(L$5:L$1258,'Stock Price'!$I$9)-1,"")</f>
        <v>0.33372781065088764</v>
      </c>
      <c r="Z304" s="19">
        <f ca="1">IF('Stock Price'!$I$11="OK",M304/INDEX(M$5:M$1258,'Stock Price'!$I$9)-1,"")</f>
        <v>0.11442536658729163</v>
      </c>
    </row>
    <row r="305" spans="1:26" x14ac:dyDescent="0.2">
      <c r="A305" s="16">
        <f>'Stock Price'!A305</f>
        <v>44908</v>
      </c>
      <c r="B305" s="17">
        <f>'Stock Price'!E305</f>
        <v>164.79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358.66</v>
      </c>
      <c r="L305" s="18">
        <v>77.349999999999994</v>
      </c>
      <c r="M305" s="18">
        <v>179.21</v>
      </c>
      <c r="O305" s="19">
        <f ca="1">IF('Stock Price'!$I$11="OK",B305/INDEX(B$5:B$1258,'Stock Price'!$I$9)-1,"")</f>
        <v>0.50479408273217041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0.55311133243840138</v>
      </c>
      <c r="Y305" s="19">
        <f ca="1">IF('Stock Price'!$I$11="OK",L305/INDEX(L$5:L$1258,'Stock Price'!$I$9)-1,"")</f>
        <v>0.30769230769230771</v>
      </c>
      <c r="Z305" s="19">
        <f ca="1">IF('Stock Price'!$I$11="OK",M305/INDEX(M$5:M$1258,'Stock Price'!$I$9)-1,"")</f>
        <v>0.12301040230605342</v>
      </c>
    </row>
    <row r="306" spans="1:26" x14ac:dyDescent="0.2">
      <c r="A306" s="16">
        <f>'Stock Price'!A306</f>
        <v>44909</v>
      </c>
      <c r="B306" s="17">
        <f>'Stock Price'!E306</f>
        <v>164.86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363.5</v>
      </c>
      <c r="L306" s="18">
        <v>77.14</v>
      </c>
      <c r="M306" s="18">
        <v>179.76</v>
      </c>
      <c r="O306" s="19">
        <f ca="1">IF('Stock Price'!$I$11="OK",B306/INDEX(B$5:B$1258,'Stock Price'!$I$9)-1,"")</f>
        <v>0.50543329376312673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0.57407006452171649</v>
      </c>
      <c r="Y306" s="19">
        <f ca="1">IF('Stock Price'!$I$11="OK",L306/INDEX(L$5:L$1258,'Stock Price'!$I$9)-1,"")</f>
        <v>0.30414201183431966</v>
      </c>
      <c r="Z306" s="19">
        <f ca="1">IF('Stock Price'!$I$11="OK",M306/INDEX(M$5:M$1258,'Stock Price'!$I$9)-1,"")</f>
        <v>0.12645694949241748</v>
      </c>
    </row>
    <row r="307" spans="1:26" x14ac:dyDescent="0.2">
      <c r="A307" s="16">
        <f>'Stock Price'!A307</f>
        <v>44910</v>
      </c>
      <c r="B307" s="17">
        <f>'Stock Price'!E307</f>
        <v>163.1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360.01</v>
      </c>
      <c r="L307" s="18">
        <v>75</v>
      </c>
      <c r="M307" s="18">
        <v>177.49</v>
      </c>
      <c r="O307" s="19">
        <f ca="1">IF('Stock Price'!$I$11="OK",B307/INDEX(B$5:B$1258,'Stock Price'!$I$9)-1,"")</f>
        <v>0.4893617021276595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0.55895725977568955</v>
      </c>
      <c r="Y307" s="19">
        <f ca="1">IF('Stock Price'!$I$11="OK",L307/INDEX(L$5:L$1258,'Stock Price'!$I$9)-1,"")</f>
        <v>0.26796280642434489</v>
      </c>
      <c r="Z307" s="19">
        <f ca="1">IF('Stock Price'!$I$11="OK",M307/INDEX(M$5:M$1258,'Stock Price'!$I$9)-1,"")</f>
        <v>0.1122321092868781</v>
      </c>
    </row>
    <row r="308" spans="1:26" x14ac:dyDescent="0.2">
      <c r="A308" s="16">
        <f>'Stock Price'!A308</f>
        <v>44911</v>
      </c>
      <c r="B308" s="17">
        <f>'Stock Price'!E308</f>
        <v>160.47999999999999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359.87</v>
      </c>
      <c r="L308" s="18">
        <v>73.489999999999995</v>
      </c>
      <c r="M308" s="18">
        <v>175.67</v>
      </c>
      <c r="O308" s="19">
        <f ca="1">IF('Stock Price'!$I$11="OK",B308/INDEX(B$5:B$1258,'Stock Price'!$I$9)-1,"")</f>
        <v>0.46543694639758915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0.55835101545922994</v>
      </c>
      <c r="Y308" s="19">
        <f ca="1">IF('Stock Price'!$I$11="OK",L308/INDEX(L$5:L$1258,'Stock Price'!$I$9)-1,"")</f>
        <v>0.24243448858833472</v>
      </c>
      <c r="Z308" s="19">
        <f ca="1">IF('Stock Price'!$I$11="OK",M308/INDEX(M$5:M$1258,'Stock Price'!$I$9)-1,"")</f>
        <v>0.10082717132472729</v>
      </c>
    </row>
    <row r="309" spans="1:26" x14ac:dyDescent="0.2">
      <c r="A309" s="16">
        <f>'Stock Price'!A309</f>
        <v>44914</v>
      </c>
      <c r="B309" s="17">
        <f>'Stock Price'!E309</f>
        <v>161.49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357.78</v>
      </c>
      <c r="L309" s="18">
        <v>73.16</v>
      </c>
      <c r="M309" s="18">
        <v>175.48</v>
      </c>
      <c r="O309" s="19">
        <f ca="1">IF('Stock Price'!$I$11="OK",B309/INDEX(B$5:B$1258,'Stock Price'!$I$9)-1,"")</f>
        <v>0.47465984841566988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0.54930065387779825</v>
      </c>
      <c r="Y309" s="19">
        <f ca="1">IF('Stock Price'!$I$11="OK",L309/INDEX(L$5:L$1258,'Stock Price'!$I$9)-1,"")</f>
        <v>0.23685545224006765</v>
      </c>
      <c r="Z309" s="19">
        <f ca="1">IF('Stock Price'!$I$11="OK",M309/INDEX(M$5:M$1258,'Stock Price'!$I$9)-1,"")</f>
        <v>9.9636545933074139E-2</v>
      </c>
    </row>
    <row r="310" spans="1:26" x14ac:dyDescent="0.2">
      <c r="A310" s="16">
        <f>'Stock Price'!A310</f>
        <v>44915</v>
      </c>
      <c r="B310" s="17">
        <f>'Stock Price'!E310</f>
        <v>160.58000000000001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359.64</v>
      </c>
      <c r="L310" s="18">
        <v>72.650000000000006</v>
      </c>
      <c r="M310" s="18">
        <v>175.67</v>
      </c>
      <c r="O310" s="19">
        <f ca="1">IF('Stock Price'!$I$11="OK",B310/INDEX(B$5:B$1258,'Stock Price'!$I$9)-1,"")</f>
        <v>0.46635010501324081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0.55735504265361779</v>
      </c>
      <c r="Y310" s="19">
        <f ca="1">IF('Stock Price'!$I$11="OK",L310/INDEX(L$5:L$1258,'Stock Price'!$I$9)-1,"")</f>
        <v>0.22823330515638229</v>
      </c>
      <c r="Z310" s="19">
        <f ca="1">IF('Stock Price'!$I$11="OK",M310/INDEX(M$5:M$1258,'Stock Price'!$I$9)-1,"")</f>
        <v>0.10082717132472729</v>
      </c>
    </row>
    <row r="311" spans="1:26" x14ac:dyDescent="0.2">
      <c r="A311" s="16">
        <f>'Stock Price'!A311</f>
        <v>44916</v>
      </c>
      <c r="B311" s="17">
        <f>'Stock Price'!E311</f>
        <v>162.21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368.01</v>
      </c>
      <c r="L311" s="18">
        <v>73.33</v>
      </c>
      <c r="M311" s="18">
        <v>177.68</v>
      </c>
      <c r="O311" s="19">
        <f ca="1">IF('Stock Price'!$I$11="OK",B311/INDEX(B$5:B$1258,'Stock Price'!$I$9)-1,"")</f>
        <v>0.48123459044836081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0.59359979214480574</v>
      </c>
      <c r="Y311" s="19">
        <f ca="1">IF('Stock Price'!$I$11="OK",L311/INDEX(L$5:L$1258,'Stock Price'!$I$9)-1,"")</f>
        <v>0.23972950126796277</v>
      </c>
      <c r="Z311" s="19">
        <f ca="1">IF('Stock Price'!$I$11="OK",M311/INDEX(M$5:M$1258,'Stock Price'!$I$9)-1,"")</f>
        <v>0.11342273467853103</v>
      </c>
    </row>
    <row r="312" spans="1:26" x14ac:dyDescent="0.2">
      <c r="A312" s="16">
        <f>'Stock Price'!A312</f>
        <v>44917</v>
      </c>
      <c r="B312" s="17">
        <f>'Stock Price'!E312</f>
        <v>163.27000000000001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365.31</v>
      </c>
      <c r="L312" s="18">
        <v>73.83</v>
      </c>
      <c r="M312" s="18">
        <v>177.03</v>
      </c>
      <c r="O312" s="19">
        <f ca="1">IF('Stock Price'!$I$11="OK",B312/INDEX(B$5:B$1258,'Stock Price'!$I$9)-1,"")</f>
        <v>0.49091407177426727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0.58190793747022895</v>
      </c>
      <c r="Y312" s="19">
        <f ca="1">IF('Stock Price'!$I$11="OK",L312/INDEX(L$5:L$1258,'Stock Price'!$I$9)-1,"")</f>
        <v>0.24818258664412518</v>
      </c>
      <c r="Z312" s="19">
        <f ca="1">IF('Stock Price'!$I$11="OK",M312/INDEX(M$5:M$1258,'Stock Price'!$I$9)-1,"")</f>
        <v>0.10934954254919149</v>
      </c>
    </row>
    <row r="313" spans="1:26" x14ac:dyDescent="0.2">
      <c r="A313" s="16">
        <f>'Stock Price'!A313</f>
        <v>44918</v>
      </c>
      <c r="B313" s="17">
        <f>'Stock Price'!E313</f>
        <v>163.1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367.9</v>
      </c>
      <c r="L313" s="18">
        <v>72.89</v>
      </c>
      <c r="M313" s="18">
        <v>177.48</v>
      </c>
      <c r="O313" s="19">
        <f ca="1">IF('Stock Price'!$I$11="OK",B313/INDEX(B$5:B$1258,'Stock Price'!$I$9)-1,"")</f>
        <v>0.4893617021276595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0.59312345732473037</v>
      </c>
      <c r="Y313" s="19">
        <f ca="1">IF('Stock Price'!$I$11="OK",L313/INDEX(L$5:L$1258,'Stock Price'!$I$9)-1,"")</f>
        <v>0.2322907861369401</v>
      </c>
      <c r="Z313" s="19">
        <f ca="1">IF('Stock Price'!$I$11="OK",M313/INDEX(M$5:M$1258,'Stock Price'!$I$9)-1,"")</f>
        <v>0.11216944479258029</v>
      </c>
    </row>
    <row r="314" spans="1:26" x14ac:dyDescent="0.2">
      <c r="A314" s="16">
        <f>'Stock Price'!A314</f>
        <v>44922</v>
      </c>
      <c r="B314" s="17">
        <f>'Stock Price'!E314</f>
        <v>162.99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364.88</v>
      </c>
      <c r="L314" s="18">
        <v>72.61</v>
      </c>
      <c r="M314" s="18">
        <v>177.43</v>
      </c>
      <c r="O314" s="19">
        <f ca="1">IF('Stock Price'!$I$11="OK",B314/INDEX(B$5:B$1258,'Stock Price'!$I$9)-1,"")</f>
        <v>0.48835722765044287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0.58004590135538892</v>
      </c>
      <c r="Y314" s="19">
        <f ca="1">IF('Stock Price'!$I$11="OK",L314/INDEX(L$5:L$1258,'Stock Price'!$I$9)-1,"")</f>
        <v>0.22755705832628914</v>
      </c>
      <c r="Z314" s="19">
        <f ca="1">IF('Stock Price'!$I$11="OK",M314/INDEX(M$5:M$1258,'Stock Price'!$I$9)-1,"")</f>
        <v>0.11185612232109277</v>
      </c>
    </row>
    <row r="315" spans="1:26" x14ac:dyDescent="0.2">
      <c r="A315" s="16">
        <f>'Stock Price'!A315</f>
        <v>44923</v>
      </c>
      <c r="B315" s="17">
        <f>'Stock Price'!E315</f>
        <v>162.22999999999999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365.22</v>
      </c>
      <c r="L315" s="18">
        <v>71.989999999999995</v>
      </c>
      <c r="M315" s="18">
        <v>176.66</v>
      </c>
      <c r="O315" s="19">
        <f ca="1">IF('Stock Price'!$I$11="OK",B315/INDEX(B$5:B$1258,'Stock Price'!$I$9)-1,"")</f>
        <v>0.48141722217149097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0.58151820898107665</v>
      </c>
      <c r="Y315" s="19">
        <f ca="1">IF('Stock Price'!$I$11="OK",L315/INDEX(L$5:L$1258,'Stock Price'!$I$9)-1,"")</f>
        <v>0.21707523245984772</v>
      </c>
      <c r="Z315" s="19">
        <f ca="1">IF('Stock Price'!$I$11="OK",M315/INDEX(M$5:M$1258,'Stock Price'!$I$9)-1,"")</f>
        <v>0.10703095626018277</v>
      </c>
    </row>
    <row r="316" spans="1:26" x14ac:dyDescent="0.2">
      <c r="A316" s="16">
        <f>'Stock Price'!A316</f>
        <v>44924</v>
      </c>
      <c r="B316" s="17">
        <f>'Stock Price'!E316</f>
        <v>162.56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367.02</v>
      </c>
      <c r="L316" s="18">
        <v>72.099999999999994</v>
      </c>
      <c r="M316" s="18">
        <v>177.56</v>
      </c>
      <c r="O316" s="19">
        <f ca="1">IF('Stock Price'!$I$11="OK",B316/INDEX(B$5:B$1258,'Stock Price'!$I$9)-1,"")</f>
        <v>0.48443064560314131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0.58931277876412747</v>
      </c>
      <c r="Y316" s="19">
        <f ca="1">IF('Stock Price'!$I$11="OK",L316/INDEX(L$5:L$1258,'Stock Price'!$I$9)-1,"")</f>
        <v>0.21893491124260356</v>
      </c>
      <c r="Z316" s="19">
        <f ca="1">IF('Stock Price'!$I$11="OK",M316/INDEX(M$5:M$1258,'Stock Price'!$I$9)-1,"")</f>
        <v>0.11267076074696081</v>
      </c>
    </row>
    <row r="317" spans="1:26" x14ac:dyDescent="0.2">
      <c r="A317" s="16">
        <f>'Stock Price'!A317</f>
        <v>44925</v>
      </c>
      <c r="B317" s="17">
        <f>'Stock Price'!E317</f>
        <v>161.61000000000001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365.84</v>
      </c>
      <c r="L317" s="18">
        <v>71.95</v>
      </c>
      <c r="M317" s="18">
        <v>176.65</v>
      </c>
      <c r="O317" s="19">
        <f ca="1">IF('Stock Price'!$I$11="OK",B317/INDEX(B$5:B$1258,'Stock Price'!$I$9)-1,"")</f>
        <v>0.4757556387544517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0.58420300523968294</v>
      </c>
      <c r="Y317" s="19">
        <f ca="1">IF('Stock Price'!$I$11="OK",L317/INDEX(L$5:L$1258,'Stock Price'!$I$9)-1,"")</f>
        <v>0.21639898562975501</v>
      </c>
      <c r="Z317" s="19">
        <f ca="1">IF('Stock Price'!$I$11="OK",M317/INDEX(M$5:M$1258,'Stock Price'!$I$9)-1,"")</f>
        <v>0.1069682917658854</v>
      </c>
    </row>
    <row r="318" spans="1:26" x14ac:dyDescent="0.2">
      <c r="A318" s="16">
        <f>'Stock Price'!A318</f>
        <v>44929</v>
      </c>
      <c r="B318" s="17">
        <f>'Stock Price'!E318</f>
        <v>162.38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364.99</v>
      </c>
      <c r="L318" s="18">
        <v>72.260000000000005</v>
      </c>
      <c r="M318" s="18">
        <v>178.19</v>
      </c>
      <c r="O318" s="19">
        <f ca="1">IF('Stock Price'!$I$11="OK",B318/INDEX(B$5:B$1258,'Stock Price'!$I$9)-1,"")</f>
        <v>0.48278696009496835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0.5805222361754645</v>
      </c>
      <c r="Y318" s="19">
        <f ca="1">IF('Stock Price'!$I$11="OK",L318/INDEX(L$5:L$1258,'Stock Price'!$I$9)-1,"")</f>
        <v>0.2216398985629755</v>
      </c>
      <c r="Z318" s="19">
        <f ca="1">IF('Stock Price'!$I$11="OK",M318/INDEX(M$5:M$1258,'Stock Price'!$I$9)-1,"")</f>
        <v>0.11661862388770516</v>
      </c>
    </row>
    <row r="319" spans="1:26" x14ac:dyDescent="0.2">
      <c r="A319" s="16">
        <f>'Stock Price'!A319</f>
        <v>44930</v>
      </c>
      <c r="B319" s="17">
        <f>'Stock Price'!E319</f>
        <v>163.69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363.1</v>
      </c>
      <c r="L319" s="18">
        <v>72.62</v>
      </c>
      <c r="M319" s="18">
        <v>180.13</v>
      </c>
      <c r="O319" s="19">
        <f ca="1">IF('Stock Price'!$I$11="OK",B319/INDEX(B$5:B$1258,'Stock Price'!$I$9)-1,"")</f>
        <v>0.49474933796000364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0.57233793790326071</v>
      </c>
      <c r="Y319" s="19">
        <f ca="1">IF('Stock Price'!$I$11="OK",L319/INDEX(L$5:L$1258,'Stock Price'!$I$9)-1,"")</f>
        <v>0.22772612003381254</v>
      </c>
      <c r="Z319" s="19">
        <f ca="1">IF('Stock Price'!$I$11="OK",M319/INDEX(M$5:M$1258,'Stock Price'!$I$9)-1,"")</f>
        <v>0.1287755357814262</v>
      </c>
    </row>
    <row r="320" spans="1:26" x14ac:dyDescent="0.2">
      <c r="A320" s="16">
        <f>'Stock Price'!A320</f>
        <v>44931</v>
      </c>
      <c r="B320" s="17">
        <f>'Stock Price'!E320</f>
        <v>163.49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358.92</v>
      </c>
      <c r="L320" s="18">
        <v>71.92</v>
      </c>
      <c r="M320" s="18">
        <v>178.8</v>
      </c>
      <c r="O320" s="19">
        <f ca="1">IF('Stock Price'!$I$11="OK",B320/INDEX(B$5:B$1258,'Stock Price'!$I$9)-1,"")</f>
        <v>0.49292302072870053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0.55423721474039755</v>
      </c>
      <c r="Y320" s="19">
        <f ca="1">IF('Stock Price'!$I$11="OK",L320/INDEX(L$5:L$1258,'Stock Price'!$I$9)-1,"")</f>
        <v>0.21589180050718526</v>
      </c>
      <c r="Z320" s="19">
        <f ca="1">IF('Stock Price'!$I$11="OK",M320/INDEX(M$5:M$1258,'Stock Price'!$I$9)-1,"")</f>
        <v>0.12044115803985456</v>
      </c>
    </row>
    <row r="321" spans="1:26" x14ac:dyDescent="0.2">
      <c r="A321" s="16">
        <f>'Stock Price'!A321</f>
        <v>44932</v>
      </c>
      <c r="B321" s="17">
        <f>'Stock Price'!E321</f>
        <v>166.55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362.94</v>
      </c>
      <c r="L321" s="18">
        <v>73</v>
      </c>
      <c r="M321" s="18">
        <v>180.25</v>
      </c>
      <c r="O321" s="19">
        <f ca="1">IF('Stock Price'!$I$11="OK",B321/INDEX(B$5:B$1258,'Stock Price'!$I$9)-1,"")</f>
        <v>0.52086567436763764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0.57164508725587826</v>
      </c>
      <c r="Y321" s="19">
        <f ca="1">IF('Stock Price'!$I$11="OK",L321/INDEX(L$5:L$1258,'Stock Price'!$I$9)-1,"")</f>
        <v>0.23415046491969571</v>
      </c>
      <c r="Z321" s="19">
        <f ca="1">IF('Stock Price'!$I$11="OK",M321/INDEX(M$5:M$1258,'Stock Price'!$I$9)-1,"")</f>
        <v>0.12952750971299642</v>
      </c>
    </row>
    <row r="322" spans="1:26" x14ac:dyDescent="0.2">
      <c r="A322" s="16">
        <f>'Stock Price'!A322</f>
        <v>44935</v>
      </c>
      <c r="B322" s="17">
        <f>'Stock Price'!E322</f>
        <v>161.66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349.83</v>
      </c>
      <c r="L322" s="18">
        <v>71.010000000000005</v>
      </c>
      <c r="M322" s="18">
        <v>175.58</v>
      </c>
      <c r="O322" s="19">
        <f ca="1">IF('Stock Price'!$I$11="OK",B322/INDEX(B$5:B$1258,'Stock Price'!$I$9)-1,"")</f>
        <v>0.47621221806227743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0.51487463733598915</v>
      </c>
      <c r="Y322" s="19">
        <f ca="1">IF('Stock Price'!$I$11="OK",L322/INDEX(L$5:L$1258,'Stock Price'!$I$9)-1,"")</f>
        <v>0.20050718512256993</v>
      </c>
      <c r="Z322" s="19">
        <f ca="1">IF('Stock Price'!$I$11="OK",M322/INDEX(M$5:M$1258,'Stock Price'!$I$9)-1,"")</f>
        <v>0.10026319087604962</v>
      </c>
    </row>
    <row r="323" spans="1:26" x14ac:dyDescent="0.2">
      <c r="A323" s="16">
        <f>'Stock Price'!A323</f>
        <v>44936</v>
      </c>
      <c r="B323" s="17">
        <f>'Stock Price'!E323</f>
        <v>159.63999999999999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352.75</v>
      </c>
      <c r="L323" s="18">
        <v>71.650000000000006</v>
      </c>
      <c r="M323" s="18">
        <v>175.16</v>
      </c>
      <c r="O323" s="19">
        <f ca="1">IF('Stock Price'!$I$11="OK",B323/INDEX(B$5:B$1258,'Stock Price'!$I$9)-1,"")</f>
        <v>0.45776641402611618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0.52751916165071666</v>
      </c>
      <c r="Y323" s="19">
        <f ca="1">IF('Stock Price'!$I$11="OK",L323/INDEX(L$5:L$1258,'Stock Price'!$I$9)-1,"")</f>
        <v>0.2113271344040577</v>
      </c>
      <c r="Z323" s="19">
        <f ca="1">IF('Stock Price'!$I$11="OK",M323/INDEX(M$5:M$1258,'Stock Price'!$I$9)-1,"")</f>
        <v>9.7631282115553164E-2</v>
      </c>
    </row>
    <row r="324" spans="1:26" x14ac:dyDescent="0.2">
      <c r="A324" s="16">
        <f>'Stock Price'!A324</f>
        <v>44937</v>
      </c>
      <c r="B324" s="17">
        <f>'Stock Price'!E324</f>
        <v>157.16999999999999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360.41</v>
      </c>
      <c r="L324" s="18">
        <v>71.94</v>
      </c>
      <c r="M324" s="18">
        <v>174.88</v>
      </c>
      <c r="O324" s="19">
        <f ca="1">IF('Stock Price'!$I$11="OK",B324/INDEX(B$5:B$1258,'Stock Price'!$I$9)-1,"")</f>
        <v>0.43521139621952321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0.56068938639414556</v>
      </c>
      <c r="Y324" s="19">
        <f ca="1">IF('Stock Price'!$I$11="OK",L324/INDEX(L$5:L$1258,'Stock Price'!$I$9)-1,"")</f>
        <v>0.21622992392223161</v>
      </c>
      <c r="Z324" s="19">
        <f ca="1">IF('Stock Price'!$I$11="OK",M324/INDEX(M$5:M$1258,'Stock Price'!$I$9)-1,"")</f>
        <v>9.5876676275222339E-2</v>
      </c>
    </row>
    <row r="325" spans="1:26" x14ac:dyDescent="0.2">
      <c r="A325" s="16">
        <f>'Stock Price'!A325</f>
        <v>44938</v>
      </c>
      <c r="B325" s="17">
        <f>'Stock Price'!E325</f>
        <v>152.22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359.12</v>
      </c>
      <c r="L325" s="18">
        <v>71.599999999999994</v>
      </c>
      <c r="M325" s="18">
        <v>174</v>
      </c>
      <c r="O325" s="19">
        <f ca="1">IF('Stock Price'!$I$11="OK",B325/INDEX(B$5:B$1258,'Stock Price'!$I$9)-1,"")</f>
        <v>0.39001004474477208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0.55510327804962545</v>
      </c>
      <c r="Y325" s="19">
        <f ca="1">IF('Stock Price'!$I$11="OK",L325/INDEX(L$5:L$1258,'Stock Price'!$I$9)-1,"")</f>
        <v>0.21048182586644115</v>
      </c>
      <c r="Z325" s="19">
        <f ca="1">IF('Stock Price'!$I$11="OK",M325/INDEX(M$5:M$1258,'Stock Price'!$I$9)-1,"")</f>
        <v>9.0362200777039714E-2</v>
      </c>
    </row>
    <row r="326" spans="1:26" x14ac:dyDescent="0.2">
      <c r="A326" s="16">
        <f>'Stock Price'!A326</f>
        <v>44939</v>
      </c>
      <c r="B326" s="17">
        <f>'Stock Price'!E326</f>
        <v>153.6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361.62</v>
      </c>
      <c r="L326" s="18">
        <v>72.510000000000005</v>
      </c>
      <c r="M326" s="18">
        <v>173.43</v>
      </c>
      <c r="O326" s="19">
        <f ca="1">IF('Stock Price'!$I$11="OK",B326/INDEX(B$5:B$1258,'Stock Price'!$I$9)-1,"")</f>
        <v>0.40261163364076324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0.56592906941497412</v>
      </c>
      <c r="Y326" s="19">
        <f ca="1">IF('Stock Price'!$I$11="OK",L326/INDEX(L$5:L$1258,'Stock Price'!$I$9)-1,"")</f>
        <v>0.2258664412510567</v>
      </c>
      <c r="Z326" s="19">
        <f ca="1">IF('Stock Price'!$I$11="OK",M326/INDEX(M$5:M$1258,'Stock Price'!$I$9)-1,"")</f>
        <v>8.6790324602080471E-2</v>
      </c>
    </row>
    <row r="327" spans="1:26" x14ac:dyDescent="0.2">
      <c r="A327" s="16">
        <f>'Stock Price'!A327</f>
        <v>44943</v>
      </c>
      <c r="B327" s="17">
        <f>'Stock Price'!E327</f>
        <v>152.83000000000001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357.74</v>
      </c>
      <c r="L327" s="18">
        <v>72.31</v>
      </c>
      <c r="M327" s="18">
        <v>172.36</v>
      </c>
      <c r="O327" s="19">
        <f ca="1">IF('Stock Price'!$I$11="OK",B327/INDEX(B$5:B$1258,'Stock Price'!$I$9)-1,"")</f>
        <v>0.39558031230024659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0.54912744121595281</v>
      </c>
      <c r="Y327" s="19">
        <f ca="1">IF('Stock Price'!$I$11="OK",L327/INDEX(L$5:L$1258,'Stock Price'!$I$9)-1,"")</f>
        <v>0.22248520710059183</v>
      </c>
      <c r="Z327" s="19">
        <f ca="1">IF('Stock Price'!$I$11="OK",M327/INDEX(M$5:M$1258,'Stock Price'!$I$9)-1,"")</f>
        <v>8.0085223712244691E-2</v>
      </c>
    </row>
    <row r="328" spans="1:26" x14ac:dyDescent="0.2">
      <c r="A328" s="16">
        <f>'Stock Price'!A328</f>
        <v>44944</v>
      </c>
      <c r="B328" s="17">
        <f>'Stock Price'!E328</f>
        <v>149.19999999999999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352.01</v>
      </c>
      <c r="L328" s="18">
        <v>72.14</v>
      </c>
      <c r="M328" s="18">
        <v>169.76</v>
      </c>
      <c r="O328" s="19">
        <f ca="1">IF('Stock Price'!$I$11="OK",B328/INDEX(B$5:B$1258,'Stock Price'!$I$9)-1,"")</f>
        <v>0.3624326545520955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0.52431472740657337</v>
      </c>
      <c r="Y328" s="19">
        <f ca="1">IF('Stock Price'!$I$11="OK",L328/INDEX(L$5:L$1258,'Stock Price'!$I$9)-1,"")</f>
        <v>0.21961115807269649</v>
      </c>
      <c r="Z328" s="19">
        <f ca="1">IF('Stock Price'!$I$11="OK",M328/INDEX(M$5:M$1258,'Stock Price'!$I$9)-1,"")</f>
        <v>6.3792455194886521E-2</v>
      </c>
    </row>
    <row r="329" spans="1:26" x14ac:dyDescent="0.2">
      <c r="A329" s="16">
        <f>'Stock Price'!A329</f>
        <v>44945</v>
      </c>
      <c r="B329" s="17">
        <f>'Stock Price'!E329</f>
        <v>148.71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351.08</v>
      </c>
      <c r="L329" s="18">
        <v>73.75</v>
      </c>
      <c r="M329" s="18">
        <v>169.53</v>
      </c>
      <c r="O329" s="19">
        <f ca="1">IF('Stock Price'!$I$11="OK",B329/INDEX(B$5:B$1258,'Stock Price'!$I$9)-1,"")</f>
        <v>0.35795817733540325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0.52028753301866359</v>
      </c>
      <c r="Y329" s="19">
        <f ca="1">IF('Stock Price'!$I$11="OK",L329/INDEX(L$5:L$1258,'Stock Price'!$I$9)-1,"")</f>
        <v>0.2468300929839391</v>
      </c>
      <c r="Z329" s="19">
        <f ca="1">IF('Stock Price'!$I$11="OK",M329/INDEX(M$5:M$1258,'Stock Price'!$I$9)-1,"")</f>
        <v>6.2351171826043217E-2</v>
      </c>
    </row>
    <row r="330" spans="1:26" x14ac:dyDescent="0.2">
      <c r="A330" s="16">
        <f>'Stock Price'!A330</f>
        <v>44946</v>
      </c>
      <c r="B330" s="17">
        <f>'Stock Price'!E330</f>
        <v>149.59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346.07</v>
      </c>
      <c r="L330" s="18">
        <v>74.150000000000006</v>
      </c>
      <c r="M330" s="18">
        <v>168.74</v>
      </c>
      <c r="O330" s="19">
        <f ca="1">IF('Stock Price'!$I$11="OK",B330/INDEX(B$5:B$1258,'Stock Price'!$I$9)-1,"")</f>
        <v>0.36599397315313675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0.49859264712250462</v>
      </c>
      <c r="Y330" s="19">
        <f ca="1">IF('Stock Price'!$I$11="OK",L330/INDEX(L$5:L$1258,'Stock Price'!$I$9)-1,"")</f>
        <v>0.25359256128486907</v>
      </c>
      <c r="Z330" s="19">
        <f ca="1">IF('Stock Price'!$I$11="OK",M330/INDEX(M$5:M$1258,'Stock Price'!$I$9)-1,"")</f>
        <v>5.7400676776538484E-2</v>
      </c>
    </row>
    <row r="331" spans="1:26" x14ac:dyDescent="0.2">
      <c r="A331" s="16">
        <f>'Stock Price'!A331</f>
        <v>44949</v>
      </c>
      <c r="B331" s="17">
        <f>'Stock Price'!E331</f>
        <v>148.55000000000001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342.21</v>
      </c>
      <c r="L331" s="18">
        <v>73.260000000000005</v>
      </c>
      <c r="M331" s="18">
        <v>168.31</v>
      </c>
      <c r="O331" s="19">
        <f ca="1">IF('Stock Price'!$I$11="OK",B331/INDEX(B$5:B$1258,'Stock Price'!$I$9)-1,"")</f>
        <v>0.35649712355036067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0.48187762525440592</v>
      </c>
      <c r="Y331" s="19">
        <f ca="1">IF('Stock Price'!$I$11="OK",L331/INDEX(L$5:L$1258,'Stock Price'!$I$9)-1,"")</f>
        <v>0.23854606931530009</v>
      </c>
      <c r="Z331" s="19">
        <f ca="1">IF('Stock Price'!$I$11="OK",M331/INDEX(M$5:M$1258,'Stock Price'!$I$9)-1,"")</f>
        <v>5.4706103521744431E-2</v>
      </c>
    </row>
    <row r="332" spans="1:26" x14ac:dyDescent="0.2">
      <c r="A332" s="16">
        <f>'Stock Price'!A332</f>
        <v>44950</v>
      </c>
      <c r="B332" s="17">
        <f>'Stock Price'!E332</f>
        <v>147.69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346.39</v>
      </c>
      <c r="L332" s="18">
        <v>72.34</v>
      </c>
      <c r="M332" s="18">
        <v>168.31</v>
      </c>
      <c r="O332" s="19">
        <f ca="1">IF('Stock Price'!$I$11="OK",B332/INDEX(B$5:B$1258,'Stock Price'!$I$9)-1,"")</f>
        <v>0.34864395945575732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0.49997834841726929</v>
      </c>
      <c r="Y332" s="19">
        <f ca="1">IF('Stock Price'!$I$11="OK",L332/INDEX(L$5:L$1258,'Stock Price'!$I$9)-1,"")</f>
        <v>0.22299239222316158</v>
      </c>
      <c r="Z332" s="19">
        <f ca="1">IF('Stock Price'!$I$11="OK",M332/INDEX(M$5:M$1258,'Stock Price'!$I$9)-1,"")</f>
        <v>5.4706103521744431E-2</v>
      </c>
    </row>
    <row r="333" spans="1:26" x14ac:dyDescent="0.2">
      <c r="A333" s="16">
        <f>'Stock Price'!A333</f>
        <v>44951</v>
      </c>
      <c r="B333" s="17">
        <f>'Stock Price'!E333</f>
        <v>147.79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349.73</v>
      </c>
      <c r="L333" s="18">
        <v>73.17</v>
      </c>
      <c r="M333" s="18">
        <v>169.51</v>
      </c>
      <c r="O333" s="19">
        <f ca="1">IF('Stock Price'!$I$11="OK",B333/INDEX(B$5:B$1258,'Stock Price'!$I$9)-1,"")</f>
        <v>0.34955711807140877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0.51444160568137542</v>
      </c>
      <c r="Y333" s="19">
        <f ca="1">IF('Stock Price'!$I$11="OK",L333/INDEX(L$5:L$1258,'Stock Price'!$I$9)-1,"")</f>
        <v>0.23702451394759083</v>
      </c>
      <c r="Z333" s="19">
        <f ca="1">IF('Stock Price'!$I$11="OK",M333/INDEX(M$5:M$1258,'Stock Price'!$I$9)-1,"")</f>
        <v>6.2225842837448253E-2</v>
      </c>
    </row>
    <row r="334" spans="1:26" x14ac:dyDescent="0.2">
      <c r="A334" s="16">
        <f>'Stock Price'!A334</f>
        <v>44952</v>
      </c>
      <c r="B334" s="17">
        <f>'Stock Price'!E334</f>
        <v>147.4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348.01</v>
      </c>
      <c r="L334" s="18">
        <v>72.989999999999995</v>
      </c>
      <c r="M334" s="18">
        <v>168.89</v>
      </c>
      <c r="O334" s="19">
        <f ca="1">IF('Stock Price'!$I$11="OK",B334/INDEX(B$5:B$1258,'Stock Price'!$I$9)-1,"")</f>
        <v>0.34599579947036796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0.50699346122201527</v>
      </c>
      <c r="Y334" s="19">
        <f ca="1">IF('Stock Price'!$I$11="OK",L334/INDEX(L$5:L$1258,'Stock Price'!$I$9)-1,"")</f>
        <v>0.23398140321217231</v>
      </c>
      <c r="Z334" s="19">
        <f ca="1">IF('Stock Price'!$I$11="OK",M334/INDEX(M$5:M$1258,'Stock Price'!$I$9)-1,"")</f>
        <v>5.8340644191001267E-2</v>
      </c>
    </row>
    <row r="335" spans="1:26" x14ac:dyDescent="0.2">
      <c r="A335" s="16">
        <f>'Stock Price'!A335</f>
        <v>44953</v>
      </c>
      <c r="B335" s="17">
        <f>'Stock Price'!E335</f>
        <v>146.28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342.1</v>
      </c>
      <c r="L335" s="18">
        <v>72.45</v>
      </c>
      <c r="M335" s="18">
        <v>168.23</v>
      </c>
      <c r="O335" s="19">
        <f ca="1">IF('Stock Price'!$I$11="OK",B335/INDEX(B$5:B$1258,'Stock Price'!$I$9)-1,"")</f>
        <v>0.33576842297507081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0.48140129043433078</v>
      </c>
      <c r="Y335" s="19">
        <f ca="1">IF('Stock Price'!$I$11="OK",L335/INDEX(L$5:L$1258,'Stock Price'!$I$9)-1,"")</f>
        <v>0.2248520710059172</v>
      </c>
      <c r="Z335" s="19">
        <f ca="1">IF('Stock Price'!$I$11="OK",M335/INDEX(M$5:M$1258,'Stock Price'!$I$9)-1,"")</f>
        <v>5.4204787567364132E-2</v>
      </c>
    </row>
    <row r="336" spans="1:26" x14ac:dyDescent="0.2">
      <c r="A336" s="16">
        <f>'Stock Price'!A336</f>
        <v>44956</v>
      </c>
      <c r="B336" s="17">
        <f>'Stock Price'!E336</f>
        <v>145.65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340.5</v>
      </c>
      <c r="L336" s="18">
        <v>72.03</v>
      </c>
      <c r="M336" s="18">
        <v>162</v>
      </c>
      <c r="O336" s="19">
        <f ca="1">IF('Stock Price'!$I$11="OK",B336/INDEX(B$5:B$1258,'Stock Price'!$I$9)-1,"")</f>
        <v>0.33001552369646614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0.4744727839605074</v>
      </c>
      <c r="Y336" s="19">
        <f ca="1">IF('Stock Price'!$I$11="OK",L336/INDEX(L$5:L$1258,'Stock Price'!$I$9)-1,"")</f>
        <v>0.21775147928994087</v>
      </c>
      <c r="Z336" s="19">
        <f ca="1">IF('Stock Price'!$I$11="OK",M336/INDEX(M$5:M$1258,'Stock Price'!$I$9)-1,"")</f>
        <v>1.5164807620002385E-2</v>
      </c>
    </row>
    <row r="337" spans="1:26" x14ac:dyDescent="0.2">
      <c r="A337" s="16">
        <f>'Stock Price'!A337</f>
        <v>44957</v>
      </c>
      <c r="B337" s="17">
        <f>'Stock Price'!E337</f>
        <v>147.75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344.15</v>
      </c>
      <c r="L337" s="18">
        <v>72.650000000000006</v>
      </c>
      <c r="M337" s="18">
        <v>163.41999999999999</v>
      </c>
      <c r="O337" s="19">
        <f ca="1">IF('Stock Price'!$I$11="OK",B337/INDEX(B$5:B$1258,'Stock Price'!$I$9)-1,"")</f>
        <v>0.34919185462514823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0.49027843935391657</v>
      </c>
      <c r="Y337" s="19">
        <f ca="1">IF('Stock Price'!$I$11="OK",L337/INDEX(L$5:L$1258,'Stock Price'!$I$9)-1,"")</f>
        <v>0.22823330515638229</v>
      </c>
      <c r="Z337" s="19">
        <f ca="1">IF('Stock Price'!$I$11="OK",M337/INDEX(M$5:M$1258,'Stock Price'!$I$9)-1,"")</f>
        <v>2.4063165810251697E-2</v>
      </c>
    </row>
    <row r="338" spans="1:26" x14ac:dyDescent="0.2">
      <c r="A338" s="16">
        <f>'Stock Price'!A338</f>
        <v>44958</v>
      </c>
      <c r="B338" s="17">
        <f>'Stock Price'!E338</f>
        <v>146.6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342.57</v>
      </c>
      <c r="L338" s="18">
        <v>71.23</v>
      </c>
      <c r="M338" s="18">
        <v>164.92</v>
      </c>
      <c r="O338" s="19">
        <f ca="1">IF('Stock Price'!$I$11="OK",B338/INDEX(B$5:B$1258,'Stock Price'!$I$9)-1,"")</f>
        <v>0.33869053054515552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0.48343653921101626</v>
      </c>
      <c r="Y338" s="19">
        <f ca="1">IF('Stock Price'!$I$11="OK",L338/INDEX(L$5:L$1258,'Stock Price'!$I$9)-1,"")</f>
        <v>0.20422654268808116</v>
      </c>
      <c r="Z338" s="19">
        <f ca="1">IF('Stock Price'!$I$11="OK",M338/INDEX(M$5:M$1258,'Stock Price'!$I$9)-1,"")</f>
        <v>3.3462839954881307E-2</v>
      </c>
    </row>
    <row r="339" spans="1:26" x14ac:dyDescent="0.2">
      <c r="A339" s="16">
        <f>'Stock Price'!A339</f>
        <v>44959</v>
      </c>
      <c r="B339" s="17">
        <f>'Stock Price'!E339</f>
        <v>144.84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330.7</v>
      </c>
      <c r="L339" s="18">
        <v>72.77</v>
      </c>
      <c r="M339" s="18">
        <v>165.54</v>
      </c>
      <c r="O339" s="19">
        <f ca="1">IF('Stock Price'!$I$11="OK",B339/INDEX(B$5:B$1258,'Stock Price'!$I$9)-1,"")</f>
        <v>0.32261893890968851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0.43203568180834018</v>
      </c>
      <c r="Y339" s="19">
        <f ca="1">IF('Stock Price'!$I$11="OK",L339/INDEX(L$5:L$1258,'Stock Price'!$I$9)-1,"")</f>
        <v>0.23026204564666108</v>
      </c>
      <c r="Z339" s="19">
        <f ca="1">IF('Stock Price'!$I$11="OK",M339/INDEX(M$5:M$1258,'Stock Price'!$I$9)-1,"")</f>
        <v>3.7348038601328293E-2</v>
      </c>
    </row>
    <row r="340" spans="1:26" x14ac:dyDescent="0.2">
      <c r="A340" s="16">
        <f>'Stock Price'!A340</f>
        <v>44960</v>
      </c>
      <c r="B340" s="17">
        <f>'Stock Price'!E340</f>
        <v>145.19999999999999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339.08</v>
      </c>
      <c r="L340" s="18">
        <v>74.45</v>
      </c>
      <c r="M340" s="18">
        <v>164.61</v>
      </c>
      <c r="O340" s="19">
        <f ca="1">IF('Stock Price'!$I$11="OK",B340/INDEX(B$5:B$1258,'Stock Price'!$I$9)-1,"")</f>
        <v>0.32590630992603398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0.46832373446498932</v>
      </c>
      <c r="Y340" s="19">
        <f ca="1">IF('Stock Price'!$I$11="OK",L340/INDEX(L$5:L$1258,'Stock Price'!$I$9)-1,"")</f>
        <v>0.25866441251056638</v>
      </c>
      <c r="Z340" s="19">
        <f ca="1">IF('Stock Price'!$I$11="OK",M340/INDEX(M$5:M$1258,'Stock Price'!$I$9)-1,"")</f>
        <v>3.1520240631658147E-2</v>
      </c>
    </row>
    <row r="341" spans="1:26" x14ac:dyDescent="0.2">
      <c r="A341" s="16">
        <f>'Stock Price'!A341</f>
        <v>44963</v>
      </c>
      <c r="B341" s="17">
        <f>'Stock Price'!E341</f>
        <v>145.02000000000001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337.66</v>
      </c>
      <c r="L341" s="18">
        <v>74.53</v>
      </c>
      <c r="M341" s="18">
        <v>163.36000000000001</v>
      </c>
      <c r="O341" s="19">
        <f ca="1">IF('Stock Price'!$I$11="OK",B341/INDEX(B$5:B$1258,'Stock Price'!$I$9)-1,"")</f>
        <v>0.32426262441786147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0.46217468496947123</v>
      </c>
      <c r="Y341" s="19">
        <f ca="1">IF('Stock Price'!$I$11="OK",L341/INDEX(L$5:L$1258,'Stock Price'!$I$9)-1,"")</f>
        <v>0.26001690617075246</v>
      </c>
      <c r="Z341" s="19">
        <f ca="1">IF('Stock Price'!$I$11="OK",M341/INDEX(M$5:M$1258,'Stock Price'!$I$9)-1,"")</f>
        <v>2.3687178844466805E-2</v>
      </c>
    </row>
    <row r="342" spans="1:26" x14ac:dyDescent="0.2">
      <c r="A342" s="16">
        <f>'Stock Price'!A342</f>
        <v>44964</v>
      </c>
      <c r="B342" s="17">
        <f>'Stock Price'!E342</f>
        <v>145.13999999999999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339.68</v>
      </c>
      <c r="L342" s="18">
        <v>74.52</v>
      </c>
      <c r="M342" s="18">
        <v>163.4</v>
      </c>
      <c r="O342" s="19">
        <f ca="1">IF('Stock Price'!$I$11="OK",B342/INDEX(B$5:B$1258,'Stock Price'!$I$9)-1,"")</f>
        <v>0.32535841475664307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0.470921924392673</v>
      </c>
      <c r="Y342" s="19">
        <f ca="1">IF('Stock Price'!$I$11="OK",L342/INDEX(L$5:L$1258,'Stock Price'!$I$9)-1,"")</f>
        <v>0.25984784446322906</v>
      </c>
      <c r="Z342" s="19">
        <f ca="1">IF('Stock Price'!$I$11="OK",M342/INDEX(M$5:M$1258,'Stock Price'!$I$9)-1,"")</f>
        <v>2.3937836821656733E-2</v>
      </c>
    </row>
    <row r="343" spans="1:26" x14ac:dyDescent="0.2">
      <c r="A343" s="16">
        <f>'Stock Price'!A343</f>
        <v>44965</v>
      </c>
      <c r="B343" s="17">
        <f>'Stock Price'!E343</f>
        <v>144.61000000000001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340.73</v>
      </c>
      <c r="L343" s="18">
        <v>73.650000000000006</v>
      </c>
      <c r="M343" s="18">
        <v>163.61000000000001</v>
      </c>
      <c r="O343" s="19">
        <f ca="1">IF('Stock Price'!$I$11="OK",B343/INDEX(B$5:B$1258,'Stock Price'!$I$9)-1,"")</f>
        <v>0.32051867409369006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0.47546875676611955</v>
      </c>
      <c r="Y343" s="19">
        <f ca="1">IF('Stock Price'!$I$11="OK",L343/INDEX(L$5:L$1258,'Stock Price'!$I$9)-1,"")</f>
        <v>0.24513947590870688</v>
      </c>
      <c r="Z343" s="19">
        <f ca="1">IF('Stock Price'!$I$11="OK",M343/INDEX(M$5:M$1258,'Stock Price'!$I$9)-1,"")</f>
        <v>2.5253791201905074E-2</v>
      </c>
    </row>
    <row r="344" spans="1:26" x14ac:dyDescent="0.2">
      <c r="A344" s="16">
        <f>'Stock Price'!A344</f>
        <v>44966</v>
      </c>
      <c r="B344" s="17">
        <f>'Stock Price'!E344</f>
        <v>148.69999999999999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341.79</v>
      </c>
      <c r="L344" s="18">
        <v>71.489999999999995</v>
      </c>
      <c r="M344" s="18">
        <v>161.4</v>
      </c>
      <c r="O344" s="19">
        <f ca="1">IF('Stock Price'!$I$11="OK",B344/INDEX(B$5:B$1258,'Stock Price'!$I$9)-1,"")</f>
        <v>0.35786686147383784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0.48005889230502752</v>
      </c>
      <c r="Y344" s="19">
        <f ca="1">IF('Stock Price'!$I$11="OK",L344/INDEX(L$5:L$1258,'Stock Price'!$I$9)-1,"")</f>
        <v>0.20862214708368554</v>
      </c>
      <c r="Z344" s="19">
        <f ca="1">IF('Stock Price'!$I$11="OK",M344/INDEX(M$5:M$1258,'Stock Price'!$I$9)-1,"")</f>
        <v>1.1404937962150585E-2</v>
      </c>
    </row>
    <row r="345" spans="1:26" x14ac:dyDescent="0.2">
      <c r="A345" s="16">
        <f>'Stock Price'!A345</f>
        <v>44967</v>
      </c>
      <c r="B345" s="17">
        <f>'Stock Price'!E345</f>
        <v>152.05000000000001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345.12</v>
      </c>
      <c r="L345" s="18">
        <v>72.2</v>
      </c>
      <c r="M345" s="18">
        <v>162.15</v>
      </c>
      <c r="O345" s="19">
        <f ca="1">IF('Stock Price'!$I$11="OK",B345/INDEX(B$5:B$1258,'Stock Price'!$I$9)-1,"")</f>
        <v>0.38845767509816453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0.49447884640367201</v>
      </c>
      <c r="Y345" s="19">
        <f ca="1">IF('Stock Price'!$I$11="OK",L345/INDEX(L$5:L$1258,'Stock Price'!$I$9)-1,"")</f>
        <v>0.22062552831783599</v>
      </c>
      <c r="Z345" s="19">
        <f ca="1">IF('Stock Price'!$I$11="OK",M345/INDEX(M$5:M$1258,'Stock Price'!$I$9)-1,"")</f>
        <v>1.6104775034465391E-2</v>
      </c>
    </row>
    <row r="346" spans="1:26" x14ac:dyDescent="0.2">
      <c r="A346" s="16">
        <f>'Stock Price'!A346</f>
        <v>44970</v>
      </c>
      <c r="B346" s="17">
        <f>'Stock Price'!E346</f>
        <v>153.72999999999999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350.4</v>
      </c>
      <c r="L346" s="18">
        <v>73.17</v>
      </c>
      <c r="M346" s="18">
        <v>162.75</v>
      </c>
      <c r="O346" s="19">
        <f ca="1">IF('Stock Price'!$I$11="OK",B346/INDEX(B$5:B$1258,'Stock Price'!$I$9)-1,"")</f>
        <v>0.40379873984111025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0.51734291776728858</v>
      </c>
      <c r="Y346" s="19">
        <f ca="1">IF('Stock Price'!$I$11="OK",L346/INDEX(L$5:L$1258,'Stock Price'!$I$9)-1,"")</f>
        <v>0.23702451394759083</v>
      </c>
      <c r="Z346" s="19">
        <f ca="1">IF('Stock Price'!$I$11="OK",M346/INDEX(M$5:M$1258,'Stock Price'!$I$9)-1,"")</f>
        <v>1.986464469231719E-2</v>
      </c>
    </row>
    <row r="347" spans="1:26" x14ac:dyDescent="0.2">
      <c r="A347" s="16">
        <f>'Stock Price'!A347</f>
        <v>44971</v>
      </c>
      <c r="B347" s="17">
        <f>'Stock Price'!E347</f>
        <v>152.59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347.56</v>
      </c>
      <c r="L347" s="18">
        <v>72.25</v>
      </c>
      <c r="M347" s="18">
        <v>162.04</v>
      </c>
      <c r="O347" s="19">
        <f ca="1">IF('Stock Price'!$I$11="OK",B347/INDEX(B$5:B$1258,'Stock Price'!$I$9)-1,"")</f>
        <v>0.39338873162268273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0.5050448187762524</v>
      </c>
      <c r="Y347" s="19">
        <f ca="1">IF('Stock Price'!$I$11="OK",L347/INDEX(L$5:L$1258,'Stock Price'!$I$9)-1,"")</f>
        <v>0.22147083685545232</v>
      </c>
      <c r="Z347" s="19">
        <f ca="1">IF('Stock Price'!$I$11="OK",M347/INDEX(M$5:M$1258,'Stock Price'!$I$9)-1,"")</f>
        <v>1.5415465597192535E-2</v>
      </c>
    </row>
    <row r="348" spans="1:26" x14ac:dyDescent="0.2">
      <c r="A348" s="16">
        <f>'Stock Price'!A348</f>
        <v>44972</v>
      </c>
      <c r="B348" s="17">
        <f>'Stock Price'!E348</f>
        <v>151.06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335.01</v>
      </c>
      <c r="L348" s="18">
        <v>71.47</v>
      </c>
      <c r="M348" s="18">
        <v>159.37</v>
      </c>
      <c r="O348" s="19">
        <f ca="1">IF('Stock Price'!$I$11="OK",B348/INDEX(B$5:B$1258,'Stock Price'!$I$9)-1,"")</f>
        <v>0.37941740480321418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0.45069934612220153</v>
      </c>
      <c r="Y348" s="19">
        <f ca="1">IF('Stock Price'!$I$11="OK",L348/INDEX(L$5:L$1258,'Stock Price'!$I$9)-1,"")</f>
        <v>0.20828402366863896</v>
      </c>
      <c r="Z348" s="19">
        <f ca="1">IF('Stock Price'!$I$11="OK",M348/INDEX(M$5:M$1258,'Stock Price'!$I$9)-1,"")</f>
        <v>-1.3159543802482299E-3</v>
      </c>
    </row>
    <row r="349" spans="1:26" x14ac:dyDescent="0.2">
      <c r="A349" s="16">
        <f>'Stock Price'!A349</f>
        <v>44973</v>
      </c>
      <c r="B349" s="17">
        <f>'Stock Price'!E349</f>
        <v>149.53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326.07</v>
      </c>
      <c r="L349" s="18">
        <v>70.849999999999994</v>
      </c>
      <c r="M349" s="18">
        <v>158.24</v>
      </c>
      <c r="O349" s="19">
        <f ca="1">IF('Stock Price'!$I$11="OK",B349/INDEX(B$5:B$1258,'Stock Price'!$I$9)-1,"")</f>
        <v>0.36544607798374562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0.41198631619971415</v>
      </c>
      <c r="Y349" s="19">
        <f ca="1">IF('Stock Price'!$I$11="OK",L349/INDEX(L$5:L$1258,'Stock Price'!$I$9)-1,"")</f>
        <v>0.19780219780219777</v>
      </c>
      <c r="Z349" s="19">
        <f ca="1">IF('Stock Price'!$I$11="OK",M349/INDEX(M$5:M$1258,'Stock Price'!$I$9)-1,"")</f>
        <v>-8.3970422358691232E-3</v>
      </c>
    </row>
    <row r="350" spans="1:26" x14ac:dyDescent="0.2">
      <c r="A350" s="16">
        <f>'Stock Price'!A350</f>
        <v>44974</v>
      </c>
      <c r="B350" s="17">
        <f>'Stock Price'!E350</f>
        <v>151.31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328.4</v>
      </c>
      <c r="L350" s="18">
        <v>71.11</v>
      </c>
      <c r="M350" s="18">
        <v>160.38999999999999</v>
      </c>
      <c r="O350" s="19">
        <f ca="1">IF('Stock Price'!$I$11="OK",B350/INDEX(B$5:B$1258,'Stock Price'!$I$9)-1,"")</f>
        <v>0.38170030134234323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0.42207595375221918</v>
      </c>
      <c r="Y350" s="19">
        <f ca="1">IF('Stock Price'!$I$11="OK",L350/INDEX(L$5:L$1258,'Stock Price'!$I$9)-1,"")</f>
        <v>0.20219780219780215</v>
      </c>
      <c r="Z350" s="19">
        <f ca="1">IF('Stock Price'!$I$11="OK",M350/INDEX(M$5:M$1258,'Stock Price'!$I$9)-1,"")</f>
        <v>5.0758240380999187E-3</v>
      </c>
    </row>
    <row r="351" spans="1:26" x14ac:dyDescent="0.2">
      <c r="A351" s="16">
        <f>'Stock Price'!A351</f>
        <v>44978</v>
      </c>
      <c r="B351" s="17">
        <f>'Stock Price'!E351</f>
        <v>152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327.51</v>
      </c>
      <c r="L351" s="18">
        <v>71.22</v>
      </c>
      <c r="M351" s="18">
        <v>158</v>
      </c>
      <c r="O351" s="19">
        <f ca="1">IF('Stock Price'!$I$11="OK",B351/INDEX(B$5:B$1258,'Stock Price'!$I$9)-1,"")</f>
        <v>0.38800109579033881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0.41822197202615508</v>
      </c>
      <c r="Y351" s="19">
        <f ca="1">IF('Stock Price'!$I$11="OK",L351/INDEX(L$5:L$1258,'Stock Price'!$I$9)-1,"")</f>
        <v>0.20405748098055798</v>
      </c>
      <c r="Z351" s="19">
        <f ca="1">IF('Stock Price'!$I$11="OK",M351/INDEX(M$5:M$1258,'Stock Price'!$I$9)-1,"")</f>
        <v>-9.9009900990100208E-3</v>
      </c>
    </row>
    <row r="352" spans="1:26" x14ac:dyDescent="0.2">
      <c r="A352" s="16">
        <f>'Stock Price'!A352</f>
        <v>44979</v>
      </c>
      <c r="B352" s="17">
        <f>'Stock Price'!E352</f>
        <v>150.66999999999999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329.07</v>
      </c>
      <c r="L352" s="18">
        <v>71.31</v>
      </c>
      <c r="M352" s="18">
        <v>157.78</v>
      </c>
      <c r="O352" s="19">
        <f ca="1">IF('Stock Price'!$I$11="OK",B352/INDEX(B$5:B$1258,'Stock Price'!$I$9)-1,"")</f>
        <v>0.37585608620217315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0.42497726583813278</v>
      </c>
      <c r="Y352" s="19">
        <f ca="1">IF('Stock Price'!$I$11="OK",L352/INDEX(L$5:L$1258,'Stock Price'!$I$9)-1,"")</f>
        <v>0.20557903634826724</v>
      </c>
      <c r="Z352" s="19">
        <f ca="1">IF('Stock Price'!$I$11="OK",M352/INDEX(M$5:M$1258,'Stock Price'!$I$9)-1,"")</f>
        <v>-1.1279608973555622E-2</v>
      </c>
    </row>
    <row r="353" spans="1:26" x14ac:dyDescent="0.2">
      <c r="A353" s="16">
        <f>'Stock Price'!A353</f>
        <v>44980</v>
      </c>
      <c r="B353" s="17">
        <f>'Stock Price'!E353</f>
        <v>152.07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327.52</v>
      </c>
      <c r="L353" s="18">
        <v>71.400000000000006</v>
      </c>
      <c r="M353" s="18">
        <v>157.72999999999999</v>
      </c>
      <c r="O353" s="19">
        <f ca="1">IF('Stock Price'!$I$11="OK",B353/INDEX(B$5:B$1258,'Stock Price'!$I$9)-1,"")</f>
        <v>0.38864030682129469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0.41826527519161649</v>
      </c>
      <c r="Y353" s="19">
        <f ca="1">IF('Stock Price'!$I$11="OK",L353/INDEX(L$5:L$1258,'Stock Price'!$I$9)-1,"")</f>
        <v>0.2071005917159765</v>
      </c>
      <c r="Z353" s="19">
        <f ca="1">IF('Stock Price'!$I$11="OK",M353/INDEX(M$5:M$1258,'Stock Price'!$I$9)-1,"")</f>
        <v>-1.1592931445043364E-2</v>
      </c>
    </row>
    <row r="354" spans="1:26" x14ac:dyDescent="0.2">
      <c r="A354" s="16">
        <f>'Stock Price'!A354</f>
        <v>44981</v>
      </c>
      <c r="B354" s="17">
        <f>'Stock Price'!E354</f>
        <v>152.71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321.64</v>
      </c>
      <c r="L354" s="18">
        <v>70.180000000000007</v>
      </c>
      <c r="M354" s="18">
        <v>155.97</v>
      </c>
      <c r="O354" s="19">
        <f ca="1">IF('Stock Price'!$I$11="OK",B354/INDEX(B$5:B$1258,'Stock Price'!$I$9)-1,"")</f>
        <v>0.39448452196146477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0.39280301390031602</v>
      </c>
      <c r="Y354" s="19">
        <f ca="1">IF('Stock Price'!$I$11="OK",L354/INDEX(L$5:L$1258,'Stock Price'!$I$9)-1,"")</f>
        <v>0.18647506339814046</v>
      </c>
      <c r="Z354" s="19">
        <f ca="1">IF('Stock Price'!$I$11="OK",M354/INDEX(M$5:M$1258,'Stock Price'!$I$9)-1,"")</f>
        <v>-2.2621882441408836E-2</v>
      </c>
    </row>
    <row r="355" spans="1:26" x14ac:dyDescent="0.2">
      <c r="A355" s="16">
        <f>'Stock Price'!A355</f>
        <v>44984</v>
      </c>
      <c r="B355" s="17">
        <f>'Stock Price'!E355</f>
        <v>154.28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316.62</v>
      </c>
      <c r="L355" s="18">
        <v>69.989999999999995</v>
      </c>
      <c r="M355" s="18">
        <v>155.63</v>
      </c>
      <c r="O355" s="19">
        <f ca="1">IF('Stock Price'!$I$11="OK",B355/INDEX(B$5:B$1258,'Stock Price'!$I$9)-1,"")</f>
        <v>0.40882111222719386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0.37106482483869563</v>
      </c>
      <c r="Y355" s="19">
        <f ca="1">IF('Stock Price'!$I$11="OK",L355/INDEX(L$5:L$1258,'Stock Price'!$I$9)-1,"")</f>
        <v>0.18326289095519854</v>
      </c>
      <c r="Z355" s="19">
        <f ca="1">IF('Stock Price'!$I$11="OK",M355/INDEX(M$5:M$1258,'Stock Price'!$I$9)-1,"")</f>
        <v>-2.4752475247524885E-2</v>
      </c>
    </row>
    <row r="356" spans="1:26" x14ac:dyDescent="0.2">
      <c r="A356" s="16">
        <f>'Stock Price'!A356</f>
        <v>44985</v>
      </c>
      <c r="B356" s="17">
        <f>'Stock Price'!E356</f>
        <v>153.9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311.22000000000003</v>
      </c>
      <c r="L356" s="18">
        <v>68.959999999999994</v>
      </c>
      <c r="M356" s="18">
        <v>153.26</v>
      </c>
      <c r="O356" s="19">
        <f ca="1">IF('Stock Price'!$I$11="OK",B356/INDEX(B$5:B$1258,'Stock Price'!$I$9)-1,"")</f>
        <v>0.40535110948771802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0.34768111548954228</v>
      </c>
      <c r="Y356" s="19">
        <f ca="1">IF('Stock Price'!$I$11="OK",L356/INDEX(L$5:L$1258,'Stock Price'!$I$9)-1,"")</f>
        <v>0.1658495350803042</v>
      </c>
      <c r="Z356" s="19">
        <f ca="1">IF('Stock Price'!$I$11="OK",M356/INDEX(M$5:M$1258,'Stock Price'!$I$9)-1,"")</f>
        <v>-3.960396039603975E-2</v>
      </c>
    </row>
    <row r="357" spans="1:26" x14ac:dyDescent="0.2">
      <c r="A357" s="16">
        <f>'Stock Price'!A357</f>
        <v>44986</v>
      </c>
      <c r="B357" s="17">
        <f>'Stock Price'!E357</f>
        <v>155.27000000000001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314.17</v>
      </c>
      <c r="L357" s="18">
        <v>69.36</v>
      </c>
      <c r="M357" s="18">
        <v>152.57</v>
      </c>
      <c r="O357" s="19">
        <f ca="1">IF('Stock Price'!$I$11="OK",B357/INDEX(B$5:B$1258,'Stock Price'!$I$9)-1,"")</f>
        <v>0.41786138252214422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0.36045554930065382</v>
      </c>
      <c r="Y357" s="19">
        <f ca="1">IF('Stock Price'!$I$11="OK",L357/INDEX(L$5:L$1258,'Stock Price'!$I$9)-1,"")</f>
        <v>0.17261200338123417</v>
      </c>
      <c r="Z357" s="19">
        <f ca="1">IF('Stock Price'!$I$11="OK",M357/INDEX(M$5:M$1258,'Stock Price'!$I$9)-1,"")</f>
        <v>-4.3927810502569331E-2</v>
      </c>
    </row>
    <row r="358" spans="1:26" x14ac:dyDescent="0.2">
      <c r="A358" s="16">
        <f>'Stock Price'!A358</f>
        <v>44987</v>
      </c>
      <c r="B358" s="17">
        <f>'Stock Price'!E358</f>
        <v>154.38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315.05</v>
      </c>
      <c r="L358" s="18">
        <v>69.19</v>
      </c>
      <c r="M358" s="18">
        <v>152.44999999999999</v>
      </c>
      <c r="O358" s="19">
        <f ca="1">IF('Stock Price'!$I$11="OK",B358/INDEX(B$5:B$1258,'Stock Price'!$I$9)-1,"")</f>
        <v>0.40973427084284531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0.36426622786125673</v>
      </c>
      <c r="Y358" s="19">
        <f ca="1">IF('Stock Price'!$I$11="OK",L358/INDEX(L$5:L$1258,'Stock Price'!$I$9)-1,"")</f>
        <v>0.16973795435333905</v>
      </c>
      <c r="Z358" s="19">
        <f ca="1">IF('Stock Price'!$I$11="OK",M358/INDEX(M$5:M$1258,'Stock Price'!$I$9)-1,"")</f>
        <v>-4.467978443413978E-2</v>
      </c>
    </row>
    <row r="359" spans="1:26" x14ac:dyDescent="0.2">
      <c r="A359" s="16">
        <f>'Stock Price'!A359</f>
        <v>44988</v>
      </c>
      <c r="B359" s="17">
        <f>'Stock Price'!E359</f>
        <v>156.06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318.43</v>
      </c>
      <c r="L359" s="18">
        <v>69.3</v>
      </c>
      <c r="M359" s="18">
        <v>154.02000000000001</v>
      </c>
      <c r="O359" s="19">
        <f ca="1">IF('Stock Price'!$I$11="OK",B359/INDEX(B$5:B$1258,'Stock Price'!$I$9)-1,"")</f>
        <v>0.42507533558579125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0.37890269778720831</v>
      </c>
      <c r="Y359" s="19">
        <f ca="1">IF('Stock Price'!$I$11="OK",L359/INDEX(L$5:L$1258,'Stock Price'!$I$9)-1,"")</f>
        <v>0.17159763313609466</v>
      </c>
      <c r="Z359" s="19">
        <f ca="1">IF('Stock Price'!$I$11="OK",M359/INDEX(M$5:M$1258,'Stock Price'!$I$9)-1,"")</f>
        <v>-3.4841458829427241E-2</v>
      </c>
    </row>
    <row r="360" spans="1:26" x14ac:dyDescent="0.2">
      <c r="A360" s="16">
        <f>'Stock Price'!A360</f>
        <v>44991</v>
      </c>
      <c r="B360" s="17">
        <f>'Stock Price'!E360</f>
        <v>155.28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318.95999999999998</v>
      </c>
      <c r="L360" s="18">
        <v>68.900000000000006</v>
      </c>
      <c r="M360" s="18">
        <v>155.56</v>
      </c>
      <c r="O360" s="19">
        <f ca="1">IF('Stock Price'!$I$11="OK",B360/INDEX(B$5:B$1258,'Stock Price'!$I$9)-1,"")</f>
        <v>0.41795269838370919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0.38119776555666207</v>
      </c>
      <c r="Y360" s="19">
        <f ca="1">IF('Stock Price'!$I$11="OK",L360/INDEX(L$5:L$1258,'Stock Price'!$I$9)-1,"")</f>
        <v>0.16483516483516492</v>
      </c>
      <c r="Z360" s="19">
        <f ca="1">IF('Stock Price'!$I$11="OK",M360/INDEX(M$5:M$1258,'Stock Price'!$I$9)-1,"")</f>
        <v>-2.5191126707607481E-2</v>
      </c>
    </row>
    <row r="361" spans="1:26" x14ac:dyDescent="0.2">
      <c r="A361" s="16">
        <f>'Stock Price'!A361</f>
        <v>44992</v>
      </c>
      <c r="B361" s="17">
        <f>'Stock Price'!E361</f>
        <v>152.93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310.63</v>
      </c>
      <c r="L361" s="18">
        <v>68</v>
      </c>
      <c r="M361" s="18">
        <v>154.09</v>
      </c>
      <c r="O361" s="19">
        <f ca="1">IF('Stock Price'!$I$11="OK",B361/INDEX(B$5:B$1258,'Stock Price'!$I$9)-1,"")</f>
        <v>0.39649347091589804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0.34512622872732002</v>
      </c>
      <c r="Y361" s="19">
        <f ca="1">IF('Stock Price'!$I$11="OK",L361/INDEX(L$5:L$1258,'Stock Price'!$I$9)-1,"")</f>
        <v>0.14961961115807276</v>
      </c>
      <c r="Z361" s="19">
        <f ca="1">IF('Stock Price'!$I$11="OK",M361/INDEX(M$5:M$1258,'Stock Price'!$I$9)-1,"")</f>
        <v>-3.4402807369344535E-2</v>
      </c>
    </row>
    <row r="362" spans="1:26" x14ac:dyDescent="0.2">
      <c r="A362" s="16">
        <f>'Stock Price'!A362</f>
        <v>44993</v>
      </c>
      <c r="B362" s="17">
        <f>'Stock Price'!E362</f>
        <v>149.6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312.54000000000002</v>
      </c>
      <c r="L362" s="18">
        <v>67.290000000000006</v>
      </c>
      <c r="M362" s="18">
        <v>152.96</v>
      </c>
      <c r="O362" s="19">
        <f ca="1">IF('Stock Price'!$I$11="OK",B362/INDEX(B$5:B$1258,'Stock Price'!$I$9)-1,"")</f>
        <v>0.36608528901470172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0.35339713333044642</v>
      </c>
      <c r="Y362" s="19">
        <f ca="1">IF('Stock Price'!$I$11="OK",L362/INDEX(L$5:L$1258,'Stock Price'!$I$9)-1,"")</f>
        <v>0.13761622992392231</v>
      </c>
      <c r="Z362" s="19">
        <f ca="1">IF('Stock Price'!$I$11="OK",M362/INDEX(M$5:M$1258,'Stock Price'!$I$9)-1,"")</f>
        <v>-4.1483895224965539E-2</v>
      </c>
    </row>
    <row r="363" spans="1:26" x14ac:dyDescent="0.2">
      <c r="A363" s="16">
        <f>'Stock Price'!A363</f>
        <v>44994</v>
      </c>
      <c r="B363" s="17">
        <f>'Stock Price'!E363</f>
        <v>147.35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316.85000000000002</v>
      </c>
      <c r="L363" s="18">
        <v>66.510000000000005</v>
      </c>
      <c r="M363" s="18">
        <v>151.24</v>
      </c>
      <c r="O363" s="19">
        <f ca="1">IF('Stock Price'!$I$11="OK",B363/INDEX(B$5:B$1258,'Stock Price'!$I$9)-1,"")</f>
        <v>0.34553922016254202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0.37206079764430777</v>
      </c>
      <c r="Y363" s="19">
        <f ca="1">IF('Stock Price'!$I$11="OK",L363/INDEX(L$5:L$1258,'Stock Price'!$I$9)-1,"")</f>
        <v>0.12442941673710917</v>
      </c>
      <c r="Z363" s="19">
        <f ca="1">IF('Stock Price'!$I$11="OK",M363/INDEX(M$5:M$1258,'Stock Price'!$I$9)-1,"")</f>
        <v>-5.2262188244140861E-2</v>
      </c>
    </row>
    <row r="364" spans="1:26" x14ac:dyDescent="0.2">
      <c r="A364" s="16">
        <f>'Stock Price'!A364</f>
        <v>44995</v>
      </c>
      <c r="B364" s="17">
        <f>'Stock Price'!E364</f>
        <v>149.71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315.02</v>
      </c>
      <c r="L364" s="18">
        <v>65.709999999999994</v>
      </c>
      <c r="M364" s="18">
        <v>151.61000000000001</v>
      </c>
      <c r="O364" s="19">
        <f ca="1">IF('Stock Price'!$I$11="OK",B364/INDEX(B$5:B$1258,'Stock Price'!$I$9)-1,"")</f>
        <v>0.36708976349191857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0.36413631836487226</v>
      </c>
      <c r="Y364" s="19">
        <f ca="1">IF('Stock Price'!$I$11="OK",L364/INDEX(L$5:L$1258,'Stock Price'!$I$9)-1,"")</f>
        <v>0.11090448013524923</v>
      </c>
      <c r="Z364" s="19">
        <f ca="1">IF('Stock Price'!$I$11="OK",M364/INDEX(M$5:M$1258,'Stock Price'!$I$9)-1,"")</f>
        <v>-4.9943601955132255E-2</v>
      </c>
    </row>
    <row r="365" spans="1:26" x14ac:dyDescent="0.2">
      <c r="A365" s="16">
        <f>'Stock Price'!A365</f>
        <v>44998</v>
      </c>
      <c r="B365" s="17">
        <f>'Stock Price'!E365</f>
        <v>151.94999999999999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324.49</v>
      </c>
      <c r="L365" s="18">
        <v>66</v>
      </c>
      <c r="M365" s="18">
        <v>153.06</v>
      </c>
      <c r="O365" s="19">
        <f ca="1">IF('Stock Price'!$I$11="OK",B365/INDEX(B$5:B$1258,'Stock Price'!$I$9)-1,"")</f>
        <v>0.38754451648251287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0.40514441605681384</v>
      </c>
      <c r="Y365" s="19">
        <f ca="1">IF('Stock Price'!$I$11="OK",L365/INDEX(L$5:L$1258,'Stock Price'!$I$9)-1,"")</f>
        <v>0.11580726965342358</v>
      </c>
      <c r="Z365" s="19">
        <f ca="1">IF('Stock Price'!$I$11="OK",M365/INDEX(M$5:M$1258,'Stock Price'!$I$9)-1,"")</f>
        <v>-4.0857250281990276E-2</v>
      </c>
    </row>
    <row r="366" spans="1:26" x14ac:dyDescent="0.2">
      <c r="A366" s="16">
        <f>'Stock Price'!A366</f>
        <v>44999</v>
      </c>
      <c r="B366" s="17">
        <f>'Stock Price'!E366</f>
        <v>153.85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327.07</v>
      </c>
      <c r="L366" s="18">
        <v>66.47</v>
      </c>
      <c r="M366" s="18">
        <v>153.91999999999999</v>
      </c>
      <c r="O366" s="19">
        <f ca="1">IF('Stock Price'!$I$11="OK",B366/INDEX(B$5:B$1258,'Stock Price'!$I$9)-1,"")</f>
        <v>0.40489453017989208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0.41631663274585362</v>
      </c>
      <c r="Y366" s="19">
        <f ca="1">IF('Stock Price'!$I$11="OK",L366/INDEX(L$5:L$1258,'Stock Price'!$I$9)-1,"")</f>
        <v>0.12375316990701601</v>
      </c>
      <c r="Z366" s="19">
        <f ca="1">IF('Stock Price'!$I$11="OK",M366/INDEX(M$5:M$1258,'Stock Price'!$I$9)-1,"")</f>
        <v>-3.5468103772402726E-2</v>
      </c>
    </row>
    <row r="367" spans="1:26" x14ac:dyDescent="0.2">
      <c r="A367" s="16">
        <f>'Stock Price'!A367</f>
        <v>45000</v>
      </c>
      <c r="B367" s="17">
        <f>'Stock Price'!E367</f>
        <v>154.06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329.47</v>
      </c>
      <c r="L367" s="18">
        <v>67.48</v>
      </c>
      <c r="M367" s="18">
        <v>154.35</v>
      </c>
      <c r="O367" s="19">
        <f ca="1">IF('Stock Price'!$I$11="OK",B367/INDEX(B$5:B$1258,'Stock Price'!$I$9)-1,"")</f>
        <v>0.40681216327276037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0.42670939245658857</v>
      </c>
      <c r="Y367" s="19">
        <f ca="1">IF('Stock Price'!$I$11="OK",L367/INDEX(L$5:L$1258,'Stock Price'!$I$9)-1,"")</f>
        <v>0.140828402366864</v>
      </c>
      <c r="Z367" s="19">
        <f ca="1">IF('Stock Price'!$I$11="OK",M367/INDEX(M$5:M$1258,'Stock Price'!$I$9)-1,"")</f>
        <v>-3.2773530517608784E-2</v>
      </c>
    </row>
    <row r="368" spans="1:26" x14ac:dyDescent="0.2">
      <c r="A368" s="16">
        <f>'Stock Price'!A368</f>
        <v>45001</v>
      </c>
      <c r="B368" s="17">
        <f>'Stock Price'!E368</f>
        <v>155.30000000000001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329.53</v>
      </c>
      <c r="L368" s="18">
        <v>67.099999999999994</v>
      </c>
      <c r="M368" s="18">
        <v>154.03</v>
      </c>
      <c r="O368" s="19">
        <f ca="1">IF('Stock Price'!$I$11="OK",B368/INDEX(B$5:B$1258,'Stock Price'!$I$9)-1,"")</f>
        <v>0.41813533010683956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0.42696921144935684</v>
      </c>
      <c r="Y368" s="19">
        <f ca="1">IF('Stock Price'!$I$11="OK",L368/INDEX(L$5:L$1258,'Stock Price'!$I$9)-1,"")</f>
        <v>0.13440405748098039</v>
      </c>
      <c r="Z368" s="19">
        <f ca="1">IF('Stock Price'!$I$11="OK",M368/INDEX(M$5:M$1258,'Stock Price'!$I$9)-1,"")</f>
        <v>-3.4778794335129759E-2</v>
      </c>
    </row>
    <row r="369" spans="1:26" x14ac:dyDescent="0.2">
      <c r="A369" s="16">
        <f>'Stock Price'!A369</f>
        <v>45002</v>
      </c>
      <c r="B369" s="17">
        <f>'Stock Price'!E369</f>
        <v>154.22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329.18</v>
      </c>
      <c r="L369" s="18">
        <v>66.53</v>
      </c>
      <c r="M369" s="18">
        <v>152.38</v>
      </c>
      <c r="O369" s="19">
        <f ca="1">IF('Stock Price'!$I$11="OK",B369/INDEX(B$5:B$1258,'Stock Price'!$I$9)-1,"")</f>
        <v>0.40827321705780295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0.42545360065820814</v>
      </c>
      <c r="Y369" s="19">
        <f ca="1">IF('Stock Price'!$I$11="OK",L369/INDEX(L$5:L$1258,'Stock Price'!$I$9)-1,"")</f>
        <v>0.12476754015215552</v>
      </c>
      <c r="Z369" s="19">
        <f ca="1">IF('Stock Price'!$I$11="OK",M369/INDEX(M$5:M$1258,'Stock Price'!$I$9)-1,"")</f>
        <v>-4.5118435894222486E-2</v>
      </c>
    </row>
    <row r="370" spans="1:26" x14ac:dyDescent="0.2">
      <c r="A370" s="16">
        <f>'Stock Price'!A370</f>
        <v>45005</v>
      </c>
      <c r="B370" s="17">
        <f>'Stock Price'!E370</f>
        <v>156.12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333.6</v>
      </c>
      <c r="L370" s="18">
        <v>67.239999999999995</v>
      </c>
      <c r="M370" s="18">
        <v>153.88999999999999</v>
      </c>
      <c r="O370" s="19">
        <f ca="1">IF('Stock Price'!$I$11="OK",B370/INDEX(B$5:B$1258,'Stock Price'!$I$9)-1,"")</f>
        <v>0.42562323075518216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0.44459359979214486</v>
      </c>
      <c r="Y370" s="19">
        <f ca="1">IF('Stock Price'!$I$11="OK",L370/INDEX(L$5:L$1258,'Stock Price'!$I$9)-1,"")</f>
        <v>0.13677092138630598</v>
      </c>
      <c r="Z370" s="19">
        <f ca="1">IF('Stock Price'!$I$11="OK",M370/INDEX(M$5:M$1258,'Stock Price'!$I$9)-1,"")</f>
        <v>-3.5656097255295283E-2</v>
      </c>
    </row>
    <row r="371" spans="1:26" x14ac:dyDescent="0.2">
      <c r="A371" s="16">
        <f>'Stock Price'!A371</f>
        <v>45006</v>
      </c>
      <c r="B371" s="17">
        <f>'Stock Price'!E371</f>
        <v>156.77000000000001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331.08</v>
      </c>
      <c r="L371" s="18">
        <v>67.510000000000005</v>
      </c>
      <c r="M371" s="18">
        <v>153.88999999999999</v>
      </c>
      <c r="O371" s="19">
        <f ca="1">IF('Stock Price'!$I$11="OK",B371/INDEX(B$5:B$1258,'Stock Price'!$I$9)-1,"")</f>
        <v>0.43155876175691721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0.43368120209587313</v>
      </c>
      <c r="Y371" s="19">
        <f ca="1">IF('Stock Price'!$I$11="OK",L371/INDEX(L$5:L$1258,'Stock Price'!$I$9)-1,"")</f>
        <v>0.14133558748943376</v>
      </c>
      <c r="Z371" s="19">
        <f ca="1">IF('Stock Price'!$I$11="OK",M371/INDEX(M$5:M$1258,'Stock Price'!$I$9)-1,"")</f>
        <v>-3.5656097255295283E-2</v>
      </c>
    </row>
    <row r="372" spans="1:26" x14ac:dyDescent="0.2">
      <c r="A372" s="16">
        <f>'Stock Price'!A372</f>
        <v>45007</v>
      </c>
      <c r="B372" s="17">
        <f>'Stock Price'!E372</f>
        <v>153.66999999999999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330.97</v>
      </c>
      <c r="L372" s="18">
        <v>67.239999999999995</v>
      </c>
      <c r="M372" s="18">
        <v>151.05000000000001</v>
      </c>
      <c r="O372" s="19">
        <f ca="1">IF('Stock Price'!$I$11="OK",B372/INDEX(B$5:B$1258,'Stock Price'!$I$9)-1,"")</f>
        <v>0.40325084467171934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0.43320486727579799</v>
      </c>
      <c r="Y372" s="19">
        <f ca="1">IF('Stock Price'!$I$11="OK",L372/INDEX(L$5:L$1258,'Stock Price'!$I$9)-1,"")</f>
        <v>0.13677092138630598</v>
      </c>
      <c r="Z372" s="19">
        <f ca="1">IF('Stock Price'!$I$11="OK",M372/INDEX(M$5:M$1258,'Stock Price'!$I$9)-1,"")</f>
        <v>-5.3452813635794016E-2</v>
      </c>
    </row>
    <row r="373" spans="1:26" x14ac:dyDescent="0.2">
      <c r="A373" s="16">
        <f>'Stock Price'!A373</f>
        <v>45008</v>
      </c>
      <c r="B373" s="17">
        <f>'Stock Price'!E373</f>
        <v>155.30000000000001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332.64</v>
      </c>
      <c r="L373" s="18">
        <v>66.98</v>
      </c>
      <c r="M373" s="18">
        <v>151.13</v>
      </c>
      <c r="O373" s="19">
        <f ca="1">IF('Stock Price'!$I$11="OK",B373/INDEX(B$5:B$1258,'Stock Price'!$I$9)-1,"")</f>
        <v>0.41813533010683956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0.44043649590785083</v>
      </c>
      <c r="Y373" s="19">
        <f ca="1">IF('Stock Price'!$I$11="OK",L373/INDEX(L$5:L$1258,'Stock Price'!$I$9)-1,"")</f>
        <v>0.1323753169907016</v>
      </c>
      <c r="Z373" s="19">
        <f ca="1">IF('Stock Price'!$I$11="OK",M373/INDEX(M$5:M$1258,'Stock Price'!$I$9)-1,"")</f>
        <v>-5.2951497681413828E-2</v>
      </c>
    </row>
    <row r="374" spans="1:26" x14ac:dyDescent="0.2">
      <c r="A374" s="16">
        <f>'Stock Price'!A374</f>
        <v>45009</v>
      </c>
      <c r="B374" s="17">
        <f>'Stock Price'!E374</f>
        <v>158.02000000000001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336.13</v>
      </c>
      <c r="L374" s="18">
        <v>67.680000000000007</v>
      </c>
      <c r="M374" s="18">
        <v>152.65</v>
      </c>
      <c r="O374" s="19">
        <f ca="1">IF('Stock Price'!$I$11="OK",B374/INDEX(B$5:B$1258,'Stock Price'!$I$9)-1,"")</f>
        <v>0.44297324445256137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0.45554930065387778</v>
      </c>
      <c r="Y374" s="19">
        <f ca="1">IF('Stock Price'!$I$11="OK",L374/INDEX(L$5:L$1258,'Stock Price'!$I$9)-1,"")</f>
        <v>0.14420963651732888</v>
      </c>
      <c r="Z374" s="19">
        <f ca="1">IF('Stock Price'!$I$11="OK",M374/INDEX(M$5:M$1258,'Stock Price'!$I$9)-1,"")</f>
        <v>-4.3426494548189032E-2</v>
      </c>
    </row>
    <row r="375" spans="1:26" x14ac:dyDescent="0.2">
      <c r="A375" s="16">
        <f>'Stock Price'!A375</f>
        <v>45012</v>
      </c>
      <c r="B375" s="17">
        <f>'Stock Price'!E375</f>
        <v>157.54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334.6</v>
      </c>
      <c r="L375" s="18">
        <v>68.069999999999993</v>
      </c>
      <c r="M375" s="18">
        <v>153.30000000000001</v>
      </c>
      <c r="O375" s="19">
        <f ca="1">IF('Stock Price'!$I$11="OK",B375/INDEX(B$5:B$1258,'Stock Price'!$I$9)-1,"")</f>
        <v>0.43859008309743386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0.44892391633828432</v>
      </c>
      <c r="Y375" s="19">
        <f ca="1">IF('Stock Price'!$I$11="OK",L375/INDEX(L$5:L$1258,'Stock Price'!$I$9)-1,"")</f>
        <v>0.15080304311073522</v>
      </c>
      <c r="Z375" s="19">
        <f ca="1">IF('Stock Price'!$I$11="OK",M375/INDEX(M$5:M$1258,'Stock Price'!$I$9)-1,"")</f>
        <v>-3.935330241884949E-2</v>
      </c>
    </row>
    <row r="376" spans="1:26" x14ac:dyDescent="0.2">
      <c r="A376" s="16">
        <f>'Stock Price'!A376</f>
        <v>45013</v>
      </c>
      <c r="B376" s="17">
        <f>'Stock Price'!E376</f>
        <v>158.25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337.65</v>
      </c>
      <c r="L376" s="18">
        <v>68.2</v>
      </c>
      <c r="M376" s="18">
        <v>151.82</v>
      </c>
      <c r="O376" s="19">
        <f ca="1">IF('Stock Price'!$I$11="OK",B376/INDEX(B$5:B$1258,'Stock Price'!$I$9)-1,"")</f>
        <v>0.44507350926855982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0.46213138180400981</v>
      </c>
      <c r="Y376" s="19">
        <f ca="1">IF('Stock Price'!$I$11="OK",L376/INDEX(L$5:L$1258,'Stock Price'!$I$9)-1,"")</f>
        <v>0.15300084530853764</v>
      </c>
      <c r="Z376" s="19">
        <f ca="1">IF('Stock Price'!$I$11="OK",M376/INDEX(M$5:M$1258,'Stock Price'!$I$9)-1,"")</f>
        <v>-4.8627647574884136E-2</v>
      </c>
    </row>
    <row r="377" spans="1:26" x14ac:dyDescent="0.2">
      <c r="A377" s="16">
        <f>'Stock Price'!A377</f>
        <v>45014</v>
      </c>
      <c r="B377" s="17">
        <f>'Stock Price'!E377</f>
        <v>158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335.87</v>
      </c>
      <c r="L377" s="18">
        <v>68.180000000000007</v>
      </c>
      <c r="M377" s="18">
        <v>153.31</v>
      </c>
      <c r="O377" s="19">
        <f ca="1">IF('Stock Price'!$I$11="OK",B377/INDEX(B$5:B$1258,'Stock Price'!$I$9)-1,"")</f>
        <v>0.44279061272943099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0.4544234183518816</v>
      </c>
      <c r="Y377" s="19">
        <f ca="1">IF('Stock Price'!$I$11="OK",L377/INDEX(L$5:L$1258,'Stock Price'!$I$9)-1,"")</f>
        <v>0.15266272189349128</v>
      </c>
      <c r="Z377" s="19">
        <f ca="1">IF('Stock Price'!$I$11="OK",M377/INDEX(M$5:M$1258,'Stock Price'!$I$9)-1,"")</f>
        <v>-3.9290637924552008E-2</v>
      </c>
    </row>
    <row r="378" spans="1:26" x14ac:dyDescent="0.2">
      <c r="A378" s="16">
        <f>'Stock Price'!A378</f>
        <v>45015</v>
      </c>
      <c r="B378" s="17">
        <f>'Stock Price'!E378</f>
        <v>157.91999999999999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340.69</v>
      </c>
      <c r="L378" s="18">
        <v>68.2</v>
      </c>
      <c r="M378" s="18">
        <v>153.43</v>
      </c>
      <c r="O378" s="19">
        <f ca="1">IF('Stock Price'!$I$11="OK",B378/INDEX(B$5:B$1258,'Stock Price'!$I$9)-1,"")</f>
        <v>0.4420600858369097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0.47529554410427388</v>
      </c>
      <c r="Y378" s="19">
        <f ca="1">IF('Stock Price'!$I$11="OK",L378/INDEX(L$5:L$1258,'Stock Price'!$I$9)-1,"")</f>
        <v>0.15300084530853764</v>
      </c>
      <c r="Z378" s="19">
        <f ca="1">IF('Stock Price'!$I$11="OK",M378/INDEX(M$5:M$1258,'Stock Price'!$I$9)-1,"")</f>
        <v>-3.8538663992981559E-2</v>
      </c>
    </row>
    <row r="379" spans="1:26" x14ac:dyDescent="0.2">
      <c r="A379" s="16">
        <f>'Stock Price'!A379</f>
        <v>45016</v>
      </c>
      <c r="B379" s="17">
        <f>'Stock Price'!E379</f>
        <v>159.37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343.42</v>
      </c>
      <c r="L379" s="18">
        <v>69.31</v>
      </c>
      <c r="M379" s="18">
        <v>155</v>
      </c>
      <c r="O379" s="19">
        <f ca="1">IF('Stock Price'!$I$11="OK",B379/INDEX(B$5:B$1258,'Stock Price'!$I$9)-1,"")</f>
        <v>0.45530088576385719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0.48711730827523492</v>
      </c>
      <c r="Y379" s="19">
        <f ca="1">IF('Stock Price'!$I$11="OK",L379/INDEX(L$5:L$1258,'Stock Price'!$I$9)-1,"")</f>
        <v>0.17176669484361806</v>
      </c>
      <c r="Z379" s="19">
        <f ca="1">IF('Stock Price'!$I$11="OK",M379/INDEX(M$5:M$1258,'Stock Price'!$I$9)-1,"")</f>
        <v>-2.8700338388269242E-2</v>
      </c>
    </row>
    <row r="380" spans="1:26" x14ac:dyDescent="0.2">
      <c r="A380" s="16">
        <f>'Stock Price'!A380</f>
        <v>45019</v>
      </c>
      <c r="B380" s="17">
        <f>'Stock Price'!E380</f>
        <v>160.41999999999999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350.74</v>
      </c>
      <c r="L380" s="18">
        <v>69.69</v>
      </c>
      <c r="M380" s="18">
        <v>156.85</v>
      </c>
      <c r="O380" s="19">
        <f ca="1">IF('Stock Price'!$I$11="OK",B380/INDEX(B$5:B$1258,'Stock Price'!$I$9)-1,"")</f>
        <v>0.46488905122819824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0.51881522539297631</v>
      </c>
      <c r="Y380" s="19">
        <f ca="1">IF('Stock Price'!$I$11="OK",L380/INDEX(L$5:L$1258,'Stock Price'!$I$9)-1,"")</f>
        <v>0.17819103972950123</v>
      </c>
      <c r="Z380" s="19">
        <f ca="1">IF('Stock Price'!$I$11="OK",M380/INDEX(M$5:M$1258,'Stock Price'!$I$9)-1,"")</f>
        <v>-1.71074069432261E-2</v>
      </c>
    </row>
    <row r="381" spans="1:26" x14ac:dyDescent="0.2">
      <c r="A381" s="16">
        <f>'Stock Price'!A381</f>
        <v>45020</v>
      </c>
      <c r="B381" s="17">
        <f>'Stock Price'!E381</f>
        <v>159.78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354.62</v>
      </c>
      <c r="L381" s="18">
        <v>68.91</v>
      </c>
      <c r="M381" s="18">
        <v>158.49</v>
      </c>
      <c r="O381" s="19">
        <f ca="1">IF('Stock Price'!$I$11="OK",B381/INDEX(B$5:B$1258,'Stock Price'!$I$9)-1,"")</f>
        <v>0.45904483608802837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0.53561685359199762</v>
      </c>
      <c r="Y381" s="19">
        <f ca="1">IF('Stock Price'!$I$11="OK",L381/INDEX(L$5:L$1258,'Stock Price'!$I$9)-1,"")</f>
        <v>0.16500422654268809</v>
      </c>
      <c r="Z381" s="19">
        <f ca="1">IF('Stock Price'!$I$11="OK",M381/INDEX(M$5:M$1258,'Stock Price'!$I$9)-1,"")</f>
        <v>-6.8304298784308548E-3</v>
      </c>
    </row>
    <row r="382" spans="1:26" x14ac:dyDescent="0.2">
      <c r="A382" s="16">
        <f>'Stock Price'!A382</f>
        <v>45021</v>
      </c>
      <c r="B382" s="17">
        <f>'Stock Price'!E382</f>
        <v>160.80000000000001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362.24</v>
      </c>
      <c r="L382" s="18">
        <v>69.819999999999993</v>
      </c>
      <c r="M382" s="18">
        <v>165.61</v>
      </c>
      <c r="O382" s="19">
        <f ca="1">IF('Stock Price'!$I$11="OK",B382/INDEX(B$5:B$1258,'Stock Price'!$I$9)-1,"")</f>
        <v>0.4683590539676743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0.56861386567358063</v>
      </c>
      <c r="Y382" s="19">
        <f ca="1">IF('Stock Price'!$I$11="OK",L382/INDEX(L$5:L$1258,'Stock Price'!$I$9)-1,"")</f>
        <v>0.18038884192730342</v>
      </c>
      <c r="Z382" s="19">
        <f ca="1">IF('Stock Price'!$I$11="OK",M382/INDEX(M$5:M$1258,'Stock Price'!$I$9)-1,"")</f>
        <v>3.7786690061411221E-2</v>
      </c>
    </row>
    <row r="383" spans="1:26" x14ac:dyDescent="0.2">
      <c r="A383" s="16">
        <f>'Stock Price'!A383</f>
        <v>45022</v>
      </c>
      <c r="B383" s="17">
        <f>'Stock Price'!E383</f>
        <v>161.55000000000001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368.29</v>
      </c>
      <c r="L383" s="18">
        <v>70.739999999999995</v>
      </c>
      <c r="M383" s="18">
        <v>165.15</v>
      </c>
      <c r="O383" s="19">
        <f ca="1">IF('Stock Price'!$I$11="OK",B383/INDEX(B$5:B$1258,'Stock Price'!$I$9)-1,"")</f>
        <v>0.47520774358506079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0.59481228077772497</v>
      </c>
      <c r="Y383" s="19">
        <f ca="1">IF('Stock Price'!$I$11="OK",L383/INDEX(L$5:L$1258,'Stock Price'!$I$9)-1,"")</f>
        <v>0.19594251901944193</v>
      </c>
      <c r="Z383" s="19">
        <f ca="1">IF('Stock Price'!$I$11="OK",M383/INDEX(M$5:M$1258,'Stock Price'!$I$9)-1,"")</f>
        <v>3.4904123323724834E-2</v>
      </c>
    </row>
    <row r="384" spans="1:26" x14ac:dyDescent="0.2">
      <c r="A384" s="16">
        <f>'Stock Price'!A384</f>
        <v>45026</v>
      </c>
      <c r="B384" s="17">
        <f>'Stock Price'!E384</f>
        <v>161.28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367</v>
      </c>
      <c r="L384" s="18">
        <v>70.28</v>
      </c>
      <c r="M384" s="18">
        <v>164.32</v>
      </c>
      <c r="O384" s="19">
        <f ca="1">IF('Stock Price'!$I$11="OK",B384/INDEX(B$5:B$1258,'Stock Price'!$I$9)-1,"")</f>
        <v>0.47274221532280158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0.58922617243320485</v>
      </c>
      <c r="Y384" s="19">
        <f ca="1">IF('Stock Price'!$I$11="OK",L384/INDEX(L$5:L$1258,'Stock Price'!$I$9)-1,"")</f>
        <v>0.1881656804733729</v>
      </c>
      <c r="Z384" s="19">
        <f ca="1">IF('Stock Price'!$I$11="OK",M384/INDEX(M$5:M$1258,'Stock Price'!$I$9)-1,"")</f>
        <v>2.9702970297029507E-2</v>
      </c>
    </row>
    <row r="385" spans="1:26" x14ac:dyDescent="0.2">
      <c r="A385" s="16">
        <f>'Stock Price'!A385</f>
        <v>45027</v>
      </c>
      <c r="B385" s="17">
        <f>'Stock Price'!E385</f>
        <v>161.38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364.04</v>
      </c>
      <c r="L385" s="18">
        <v>70.03</v>
      </c>
      <c r="M385" s="18">
        <v>164.27</v>
      </c>
      <c r="O385" s="19">
        <f ca="1">IF('Stock Price'!$I$11="OK",B385/INDEX(B$5:B$1258,'Stock Price'!$I$9)-1,"")</f>
        <v>0.47365537393845303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0.5764084354566319</v>
      </c>
      <c r="Y385" s="19">
        <f ca="1">IF('Stock Price'!$I$11="OK",L385/INDEX(L$5:L$1258,'Stock Price'!$I$9)-1,"")</f>
        <v>0.1839391377852917</v>
      </c>
      <c r="Z385" s="19">
        <f ca="1">IF('Stock Price'!$I$11="OK",M385/INDEX(M$5:M$1258,'Stock Price'!$I$9)-1,"")</f>
        <v>2.9389647825541987E-2</v>
      </c>
    </row>
    <row r="386" spans="1:26" x14ac:dyDescent="0.2">
      <c r="A386" s="16">
        <f>'Stock Price'!A386</f>
        <v>45028</v>
      </c>
      <c r="B386" s="17">
        <f>'Stock Price'!E386</f>
        <v>162.36000000000001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369.05</v>
      </c>
      <c r="L386" s="18">
        <v>70.209999999999994</v>
      </c>
      <c r="M386" s="18">
        <v>163.92</v>
      </c>
      <c r="O386" s="19">
        <f ca="1">IF('Stock Price'!$I$11="OK",B386/INDEX(B$5:B$1258,'Stock Price'!$I$9)-1,"")</f>
        <v>0.4826043283718382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0.59810332135279087</v>
      </c>
      <c r="Y386" s="19">
        <f ca="1">IF('Stock Price'!$I$11="OK",L386/INDEX(L$5:L$1258,'Stock Price'!$I$9)-1,"")</f>
        <v>0.18698224852070999</v>
      </c>
      <c r="Z386" s="19">
        <f ca="1">IF('Stock Price'!$I$11="OK",M386/INDEX(M$5:M$1258,'Stock Price'!$I$9)-1,"")</f>
        <v>2.7196390525128233E-2</v>
      </c>
    </row>
    <row r="387" spans="1:26" x14ac:dyDescent="0.2">
      <c r="A387" s="16">
        <f>'Stock Price'!A387</f>
        <v>45029</v>
      </c>
      <c r="B387" s="17">
        <f>'Stock Price'!E387</f>
        <v>162.69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375.15</v>
      </c>
      <c r="L387" s="18">
        <v>70.69</v>
      </c>
      <c r="M387" s="18">
        <v>166.11</v>
      </c>
      <c r="O387" s="19">
        <f ca="1">IF('Stock Price'!$I$11="OK",B387/INDEX(B$5:B$1258,'Stock Price'!$I$9)-1,"")</f>
        <v>0.4856177518034881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0.62451825228424185</v>
      </c>
      <c r="Y387" s="19">
        <f ca="1">IF('Stock Price'!$I$11="OK",L387/INDEX(L$5:L$1258,'Stock Price'!$I$9)-1,"")</f>
        <v>0.19509721048182582</v>
      </c>
      <c r="Z387" s="19">
        <f ca="1">IF('Stock Price'!$I$11="OK",M387/INDEX(M$5:M$1258,'Stock Price'!$I$9)-1,"")</f>
        <v>4.0919914776287758E-2</v>
      </c>
    </row>
    <row r="388" spans="1:26" x14ac:dyDescent="0.2">
      <c r="A388" s="16">
        <f>'Stock Price'!A388</f>
        <v>45030</v>
      </c>
      <c r="B388" s="17">
        <f>'Stock Price'!E388</f>
        <v>161.59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374.73</v>
      </c>
      <c r="L388" s="18">
        <v>70.45</v>
      </c>
      <c r="M388" s="18">
        <v>165.84</v>
      </c>
      <c r="O388" s="19">
        <f ca="1">IF('Stock Price'!$I$11="OK",B388/INDEX(B$5:B$1258,'Stock Price'!$I$9)-1,"")</f>
        <v>0.47557300703132133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0.62269951933486345</v>
      </c>
      <c r="Y388" s="19">
        <f ca="1">IF('Stock Price'!$I$11="OK",L388/INDEX(L$5:L$1258,'Stock Price'!$I$9)-1,"")</f>
        <v>0.19103972950126802</v>
      </c>
      <c r="Z388" s="19">
        <f ca="1">IF('Stock Price'!$I$11="OK",M388/INDEX(M$5:M$1258,'Stock Price'!$I$9)-1,"")</f>
        <v>3.9227973430254304E-2</v>
      </c>
    </row>
    <row r="389" spans="1:26" x14ac:dyDescent="0.2">
      <c r="A389" s="16">
        <f>'Stock Price'!A389</f>
        <v>45033</v>
      </c>
      <c r="B389" s="17">
        <f>'Stock Price'!E389</f>
        <v>161.18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372.35</v>
      </c>
      <c r="L389" s="18">
        <v>70.599999999999994</v>
      </c>
      <c r="M389" s="18">
        <v>165.67</v>
      </c>
      <c r="O389" s="19">
        <f ca="1">IF('Stock Price'!$I$11="OK",B389/INDEX(B$5:B$1258,'Stock Price'!$I$9)-1,"")</f>
        <v>0.47182905670714992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0.61239336595505134</v>
      </c>
      <c r="Y389" s="19">
        <f ca="1">IF('Stock Price'!$I$11="OK",L389/INDEX(L$5:L$1258,'Stock Price'!$I$9)-1,"")</f>
        <v>0.19357565511411656</v>
      </c>
      <c r="Z389" s="19">
        <f ca="1">IF('Stock Price'!$I$11="OK",M389/INDEX(M$5:M$1258,'Stock Price'!$I$9)-1,"")</f>
        <v>3.8162677027196334E-2</v>
      </c>
    </row>
    <row r="390" spans="1:26" x14ac:dyDescent="0.2">
      <c r="A390" s="16">
        <f>'Stock Price'!A390</f>
        <v>45034</v>
      </c>
      <c r="B390" s="17">
        <f>'Stock Price'!E390</f>
        <v>159.59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369.91</v>
      </c>
      <c r="L390" s="18">
        <v>70.23</v>
      </c>
      <c r="M390" s="18">
        <v>161.01</v>
      </c>
      <c r="O390" s="19">
        <f ca="1">IF('Stock Price'!$I$11="OK",B390/INDEX(B$5:B$1258,'Stock Price'!$I$9)-1,"")</f>
        <v>0.45730983471829045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0.60182739358247095</v>
      </c>
      <c r="Y390" s="19">
        <f ca="1">IF('Stock Price'!$I$11="OK",L390/INDEX(L$5:L$1258,'Stock Price'!$I$9)-1,"")</f>
        <v>0.18732037193575657</v>
      </c>
      <c r="Z390" s="19">
        <f ca="1">IF('Stock Price'!$I$11="OK",M390/INDEX(M$5:M$1258,'Stock Price'!$I$9)-1,"")</f>
        <v>8.9610226845469043E-3</v>
      </c>
    </row>
    <row r="391" spans="1:26" x14ac:dyDescent="0.2">
      <c r="A391" s="16">
        <f>'Stock Price'!A391</f>
        <v>45035</v>
      </c>
      <c r="B391" s="17">
        <f>'Stock Price'!E391</f>
        <v>161.21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370.47</v>
      </c>
      <c r="L391" s="18">
        <v>69.86</v>
      </c>
      <c r="M391" s="18">
        <v>162.53</v>
      </c>
      <c r="O391" s="19">
        <f ca="1">IF('Stock Price'!$I$11="OK",B391/INDEX(B$5:B$1258,'Stock Price'!$I$9)-1,"")</f>
        <v>0.47210300429184548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0.60425237084830918</v>
      </c>
      <c r="Y391" s="19">
        <f ca="1">IF('Stock Price'!$I$11="OK",L391/INDEX(L$5:L$1258,'Stock Price'!$I$9)-1,"")</f>
        <v>0.18106508875739658</v>
      </c>
      <c r="Z391" s="19">
        <f ca="1">IF('Stock Price'!$I$11="OK",M391/INDEX(M$5:M$1258,'Stock Price'!$I$9)-1,"")</f>
        <v>1.8486025817771479E-2</v>
      </c>
    </row>
    <row r="392" spans="1:26" x14ac:dyDescent="0.2">
      <c r="A392" s="16">
        <f>'Stock Price'!A392</f>
        <v>45036</v>
      </c>
      <c r="B392" s="17">
        <f>'Stock Price'!E392</f>
        <v>161.74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374.81</v>
      </c>
      <c r="L392" s="18">
        <v>69.53</v>
      </c>
      <c r="M392" s="18">
        <v>163.58000000000001</v>
      </c>
      <c r="O392" s="19">
        <f ca="1">IF('Stock Price'!$I$11="OK",B392/INDEX(B$5:B$1258,'Stock Price'!$I$9)-1,"")</f>
        <v>0.47694274495479871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0.62304594465855456</v>
      </c>
      <c r="Y392" s="19">
        <f ca="1">IF('Stock Price'!$I$11="OK",L392/INDEX(L$5:L$1258,'Stock Price'!$I$9)-1,"")</f>
        <v>0.17548605240912929</v>
      </c>
      <c r="Z392" s="19">
        <f ca="1">IF('Stock Price'!$I$11="OK",M392/INDEX(M$5:M$1258,'Stock Price'!$I$9)-1,"")</f>
        <v>2.5065797719012295E-2</v>
      </c>
    </row>
    <row r="393" spans="1:26" x14ac:dyDescent="0.2">
      <c r="A393" s="16">
        <f>'Stock Price'!A393</f>
        <v>45037</v>
      </c>
      <c r="B393" s="17">
        <f>'Stock Price'!E393</f>
        <v>162.41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385.24</v>
      </c>
      <c r="L393" s="18">
        <v>70.489999999999995</v>
      </c>
      <c r="M393" s="18">
        <v>162.69</v>
      </c>
      <c r="O393" s="19">
        <f ca="1">IF('Stock Price'!$I$11="OK",B393/INDEX(B$5:B$1258,'Stock Price'!$I$9)-1,"")</f>
        <v>0.48306090767966392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0.66821114623478972</v>
      </c>
      <c r="Y393" s="19">
        <f ca="1">IF('Stock Price'!$I$11="OK",L393/INDEX(L$5:L$1258,'Stock Price'!$I$9)-1,"")</f>
        <v>0.19171597633136095</v>
      </c>
      <c r="Z393" s="19">
        <f ca="1">IF('Stock Price'!$I$11="OK",M393/INDEX(M$5:M$1258,'Stock Price'!$I$9)-1,"")</f>
        <v>1.9488657726532077E-2</v>
      </c>
    </row>
    <row r="394" spans="1:26" x14ac:dyDescent="0.2">
      <c r="A394" s="16">
        <f>'Stock Price'!A394</f>
        <v>45040</v>
      </c>
      <c r="B394" s="17">
        <f>'Stock Price'!E394</f>
        <v>164.08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383.35</v>
      </c>
      <c r="L394" s="18">
        <v>70.540000000000006</v>
      </c>
      <c r="M394" s="18">
        <v>163.68</v>
      </c>
      <c r="O394" s="19">
        <f ca="1">IF('Stock Price'!$I$11="OK",B394/INDEX(B$5:B$1258,'Stock Price'!$I$9)-1,"")</f>
        <v>0.49831065656104467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0.66002684796258615</v>
      </c>
      <c r="Y394" s="19">
        <f ca="1">IF('Stock Price'!$I$11="OK",L394/INDEX(L$5:L$1258,'Stock Price'!$I$9)-1,"")</f>
        <v>0.19256128486897728</v>
      </c>
      <c r="Z394" s="19">
        <f ca="1">IF('Stock Price'!$I$11="OK",M394/INDEX(M$5:M$1258,'Stock Price'!$I$9)-1,"")</f>
        <v>2.569244266198778E-2</v>
      </c>
    </row>
    <row r="395" spans="1:26" x14ac:dyDescent="0.2">
      <c r="A395" s="16">
        <f>'Stock Price'!A395</f>
        <v>45041</v>
      </c>
      <c r="B395" s="17">
        <f>'Stock Price'!E395</f>
        <v>164.9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384.84</v>
      </c>
      <c r="L395" s="18">
        <v>70.239999999999995</v>
      </c>
      <c r="M395" s="18">
        <v>165.18</v>
      </c>
      <c r="O395" s="19">
        <f ca="1">IF('Stock Price'!$I$11="OK",B395/INDEX(B$5:B$1258,'Stock Price'!$I$9)-1,"")</f>
        <v>0.50579855720938727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0.66647901961633371</v>
      </c>
      <c r="Y395" s="19">
        <f ca="1">IF('Stock Price'!$I$11="OK",L395/INDEX(L$5:L$1258,'Stock Price'!$I$9)-1,"")</f>
        <v>0.18748943364327975</v>
      </c>
      <c r="Z395" s="19">
        <f ca="1">IF('Stock Price'!$I$11="OK",M395/INDEX(M$5:M$1258,'Stock Price'!$I$9)-1,"")</f>
        <v>3.5092116806617391E-2</v>
      </c>
    </row>
    <row r="396" spans="1:26" x14ac:dyDescent="0.2">
      <c r="A396" s="16">
        <f>'Stock Price'!A396</f>
        <v>45042</v>
      </c>
      <c r="B396" s="17">
        <f>'Stock Price'!E396</f>
        <v>161.80000000000001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376.27</v>
      </c>
      <c r="L396" s="18">
        <v>68.02</v>
      </c>
      <c r="M396" s="18">
        <v>162.62</v>
      </c>
      <c r="O396" s="19">
        <f ca="1">IF('Stock Price'!$I$11="OK",B396/INDEX(B$5:B$1258,'Stock Price'!$I$9)-1,"")</f>
        <v>0.47749064012418962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0.6293682068159181</v>
      </c>
      <c r="Y396" s="19">
        <f ca="1">IF('Stock Price'!$I$11="OK",L396/INDEX(L$5:L$1258,'Stock Price'!$I$9)-1,"")</f>
        <v>0.14995773457311912</v>
      </c>
      <c r="Z396" s="19">
        <f ca="1">IF('Stock Price'!$I$11="OK",M396/INDEX(M$5:M$1258,'Stock Price'!$I$9)-1,"")</f>
        <v>1.9050006266449371E-2</v>
      </c>
    </row>
    <row r="397" spans="1:26" x14ac:dyDescent="0.2">
      <c r="A397" s="16">
        <f>'Stock Price'!A397</f>
        <v>45043</v>
      </c>
      <c r="B397" s="17">
        <f>'Stock Price'!E397</f>
        <v>148.87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390.35</v>
      </c>
      <c r="L397" s="18">
        <v>67.61</v>
      </c>
      <c r="M397" s="18">
        <v>163</v>
      </c>
      <c r="O397" s="19">
        <f ca="1">IF('Stock Price'!$I$11="OK",B397/INDEX(B$5:B$1258,'Stock Price'!$I$9)-1,"")</f>
        <v>0.3594192311204456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0.69033906378556287</v>
      </c>
      <c r="Y397" s="19">
        <f ca="1">IF('Stock Price'!$I$11="OK",L397/INDEX(L$5:L$1258,'Stock Price'!$I$9)-1,"")</f>
        <v>0.14302620456466619</v>
      </c>
      <c r="Z397" s="19">
        <f ca="1">IF('Stock Price'!$I$11="OK",M397/INDEX(M$5:M$1258,'Stock Price'!$I$9)-1,"")</f>
        <v>2.1431257049755459E-2</v>
      </c>
    </row>
    <row r="398" spans="1:26" x14ac:dyDescent="0.2">
      <c r="A398" s="16">
        <f>'Stock Price'!A398</f>
        <v>45044</v>
      </c>
      <c r="B398" s="17">
        <f>'Stock Price'!E398</f>
        <v>151.12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395.86</v>
      </c>
      <c r="L398" s="18">
        <v>66.77</v>
      </c>
      <c r="M398" s="18">
        <v>163.69999999999999</v>
      </c>
      <c r="O398" s="19">
        <f ca="1">IF('Stock Price'!$I$11="OK",B398/INDEX(B$5:B$1258,'Stock Price'!$I$9)-1,"")</f>
        <v>0.37996529997260531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0.71419910795479158</v>
      </c>
      <c r="Y398" s="19">
        <f ca="1">IF('Stock Price'!$I$11="OK",L398/INDEX(L$5:L$1258,'Stock Price'!$I$9)-1,"")</f>
        <v>0.12882502113271332</v>
      </c>
      <c r="Z398" s="19">
        <f ca="1">IF('Stock Price'!$I$11="OK",M398/INDEX(M$5:M$1258,'Stock Price'!$I$9)-1,"")</f>
        <v>2.5817771650582522E-2</v>
      </c>
    </row>
    <row r="399" spans="1:26" x14ac:dyDescent="0.2">
      <c r="A399" s="16">
        <f>'Stock Price'!A399</f>
        <v>45047</v>
      </c>
      <c r="B399" s="17">
        <f>'Stock Price'!E399</f>
        <v>153.71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405.81</v>
      </c>
      <c r="L399" s="18">
        <v>68.400000000000006</v>
      </c>
      <c r="M399" s="18">
        <v>163.6</v>
      </c>
      <c r="O399" s="19">
        <f ca="1">IF('Stock Price'!$I$11="OK",B399/INDEX(B$5:B$1258,'Stock Price'!$I$9)-1,"")</f>
        <v>0.4036161081179801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0.75728575758887962</v>
      </c>
      <c r="Y399" s="19">
        <f ca="1">IF('Stock Price'!$I$11="OK",L399/INDEX(L$5:L$1258,'Stock Price'!$I$9)-1,"")</f>
        <v>0.15638207945900273</v>
      </c>
      <c r="Z399" s="19">
        <f ca="1">IF('Stock Price'!$I$11="OK",M399/INDEX(M$5:M$1258,'Stock Price'!$I$9)-1,"")</f>
        <v>2.5191126707607259E-2</v>
      </c>
    </row>
    <row r="400" spans="1:26" x14ac:dyDescent="0.2">
      <c r="A400" s="16">
        <f>'Stock Price'!A400</f>
        <v>45048</v>
      </c>
      <c r="B400" s="17">
        <f>'Stock Price'!E400</f>
        <v>151.62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404.2</v>
      </c>
      <c r="L400" s="18">
        <v>68.099999999999994</v>
      </c>
      <c r="M400" s="18">
        <v>165.03</v>
      </c>
      <c r="O400" s="19">
        <f ca="1">IF('Stock Price'!$I$11="OK",B400/INDEX(B$5:B$1258,'Stock Price'!$I$9)-1,"")</f>
        <v>0.38453109305086297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0.75031394794959505</v>
      </c>
      <c r="Y400" s="19">
        <f ca="1">IF('Stock Price'!$I$11="OK",L400/INDEX(L$5:L$1258,'Stock Price'!$I$9)-1,"")</f>
        <v>0.15131022823330498</v>
      </c>
      <c r="Z400" s="19">
        <f ca="1">IF('Stock Price'!$I$11="OK",M400/INDEX(M$5:M$1258,'Stock Price'!$I$9)-1,"")</f>
        <v>3.4152149392154385E-2</v>
      </c>
    </row>
    <row r="401" spans="1:26" x14ac:dyDescent="0.2">
      <c r="A401" s="16">
        <f>'Stock Price'!A401</f>
        <v>45049</v>
      </c>
      <c r="B401" s="17">
        <f>'Stock Price'!E401</f>
        <v>149.25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431.19</v>
      </c>
      <c r="L401" s="18">
        <v>66.64</v>
      </c>
      <c r="M401" s="18">
        <v>162.87</v>
      </c>
      <c r="O401" s="19">
        <f ca="1">IF('Stock Price'!$I$11="OK",B401/INDEX(B$5:B$1258,'Stock Price'!$I$9)-1,"")</f>
        <v>0.36288923385992145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0.86718919152990082</v>
      </c>
      <c r="Y401" s="19">
        <f ca="1">IF('Stock Price'!$I$11="OK",L401/INDEX(L$5:L$1258,'Stock Price'!$I$9)-1,"")</f>
        <v>0.12662721893491136</v>
      </c>
      <c r="Z401" s="19">
        <f ca="1">IF('Stock Price'!$I$11="OK",M401/INDEX(M$5:M$1258,'Stock Price'!$I$9)-1,"")</f>
        <v>2.0616618623887639E-2</v>
      </c>
    </row>
    <row r="402" spans="1:26" x14ac:dyDescent="0.2">
      <c r="A402" s="16">
        <f>'Stock Price'!A402</f>
        <v>45050</v>
      </c>
      <c r="B402" s="17">
        <f>'Stock Price'!E402</f>
        <v>147.36000000000001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428.44</v>
      </c>
      <c r="L402" s="18">
        <v>66.819999999999993</v>
      </c>
      <c r="M402" s="18">
        <v>162.13</v>
      </c>
      <c r="O402" s="19">
        <f ca="1">IF('Stock Price'!$I$11="OK",B402/INDEX(B$5:B$1258,'Stock Price'!$I$9)-1,"")</f>
        <v>0.34563053602410743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0.85528082102801717</v>
      </c>
      <c r="Y402" s="19">
        <f ca="1">IF('Stock Price'!$I$11="OK",L402/INDEX(L$5:L$1258,'Stock Price'!$I$9)-1,"")</f>
        <v>0.12967032967032965</v>
      </c>
      <c r="Z402" s="19">
        <f ca="1">IF('Stock Price'!$I$11="OK",M402/INDEX(M$5:M$1258,'Stock Price'!$I$9)-1,"")</f>
        <v>1.5979446045870205E-2</v>
      </c>
    </row>
    <row r="403" spans="1:26" x14ac:dyDescent="0.2">
      <c r="A403" s="16">
        <f>'Stock Price'!A403</f>
        <v>45051</v>
      </c>
      <c r="B403" s="17">
        <f>'Stock Price'!E403</f>
        <v>148.03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427.81</v>
      </c>
      <c r="L403" s="18">
        <v>68.14</v>
      </c>
      <c r="M403" s="18">
        <v>162.68</v>
      </c>
      <c r="O403" s="19">
        <f ca="1">IF('Stock Price'!$I$11="OK",B403/INDEX(B$5:B$1258,'Stock Price'!$I$9)-1,"")</f>
        <v>0.35174869874897263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0.85255272160394924</v>
      </c>
      <c r="Y403" s="19">
        <f ca="1">IF('Stock Price'!$I$11="OK",L403/INDEX(L$5:L$1258,'Stock Price'!$I$9)-1,"")</f>
        <v>0.15198647506339813</v>
      </c>
      <c r="Z403" s="19">
        <f ca="1">IF('Stock Price'!$I$11="OK",M403/INDEX(M$5:M$1258,'Stock Price'!$I$9)-1,"")</f>
        <v>1.9425993232234484E-2</v>
      </c>
    </row>
    <row r="404" spans="1:26" x14ac:dyDescent="0.2">
      <c r="A404" s="16">
        <f>'Stock Price'!A404</f>
        <v>45054</v>
      </c>
      <c r="B404" s="17">
        <f>'Stock Price'!E404</f>
        <v>147.44999999999999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432.72</v>
      </c>
      <c r="L404" s="18">
        <v>68.41</v>
      </c>
      <c r="M404" s="18">
        <v>162.31</v>
      </c>
      <c r="O404" s="19">
        <f ca="1">IF('Stock Price'!$I$11="OK",B404/INDEX(B$5:B$1258,'Stock Price'!$I$9)-1,"")</f>
        <v>0.34645237877819368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0.87381457584549427</v>
      </c>
      <c r="Y404" s="19">
        <f ca="1">IF('Stock Price'!$I$11="OK",L404/INDEX(L$5:L$1258,'Stock Price'!$I$9)-1,"")</f>
        <v>0.15655114116652569</v>
      </c>
      <c r="Z404" s="19">
        <f ca="1">IF('Stock Price'!$I$11="OK",M404/INDEX(M$5:M$1258,'Stock Price'!$I$9)-1,"")</f>
        <v>1.7107406943225989E-2</v>
      </c>
    </row>
    <row r="405" spans="1:26" x14ac:dyDescent="0.2">
      <c r="A405" s="16">
        <f>'Stock Price'!A405</f>
        <v>45055</v>
      </c>
      <c r="B405" s="17">
        <f>'Stock Price'!E405</f>
        <v>146.83000000000001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428.38</v>
      </c>
      <c r="L405" s="18">
        <v>68</v>
      </c>
      <c r="M405" s="18">
        <v>161.05000000000001</v>
      </c>
      <c r="O405" s="19">
        <f ca="1">IF('Stock Price'!$I$11="OK",B405/INDEX(B$5:B$1258,'Stock Price'!$I$9)-1,"")</f>
        <v>0.3407907953611542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0.85502100203524867</v>
      </c>
      <c r="Y405" s="19">
        <f ca="1">IF('Stock Price'!$I$11="OK",L405/INDEX(L$5:L$1258,'Stock Price'!$I$9)-1,"")</f>
        <v>0.14961961115807276</v>
      </c>
      <c r="Z405" s="19">
        <f ca="1">IF('Stock Price'!$I$11="OK",M405/INDEX(M$5:M$1258,'Stock Price'!$I$9)-1,"")</f>
        <v>9.2116806617370539E-3</v>
      </c>
    </row>
    <row r="406" spans="1:26" x14ac:dyDescent="0.2">
      <c r="A406" s="16">
        <f>'Stock Price'!A406</f>
        <v>45056</v>
      </c>
      <c r="B406" s="17">
        <f>'Stock Price'!E406</f>
        <v>146.41999999999999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435.92</v>
      </c>
      <c r="L406" s="18">
        <v>68.489999999999995</v>
      </c>
      <c r="M406" s="18">
        <v>161.65</v>
      </c>
      <c r="O406" s="19">
        <f ca="1">IF('Stock Price'!$I$11="OK",B406/INDEX(B$5:B$1258,'Stock Price'!$I$9)-1,"")</f>
        <v>0.33704684503698279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0.88767158879314079</v>
      </c>
      <c r="Y406" s="19">
        <f ca="1">IF('Stock Price'!$I$11="OK",L406/INDEX(L$5:L$1258,'Stock Price'!$I$9)-1,"")</f>
        <v>0.15790363482671177</v>
      </c>
      <c r="Z406" s="19">
        <f ca="1">IF('Stock Price'!$I$11="OK",M406/INDEX(M$5:M$1258,'Stock Price'!$I$9)-1,"")</f>
        <v>1.2971550319588854E-2</v>
      </c>
    </row>
    <row r="407" spans="1:26" x14ac:dyDescent="0.2">
      <c r="A407" s="16">
        <f>'Stock Price'!A407</f>
        <v>45057</v>
      </c>
      <c r="B407" s="17">
        <f>'Stock Price'!E407</f>
        <v>146.59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435.55</v>
      </c>
      <c r="L407" s="18">
        <v>69.08</v>
      </c>
      <c r="M407" s="18">
        <v>160.99</v>
      </c>
      <c r="O407" s="19">
        <f ca="1">IF('Stock Price'!$I$11="OK",B407/INDEX(B$5:B$1258,'Stock Price'!$I$9)-1,"")</f>
        <v>0.33859921468359055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0.88606937167106925</v>
      </c>
      <c r="Y407" s="19">
        <f ca="1">IF('Stock Price'!$I$11="OK",L407/INDEX(L$5:L$1258,'Stock Price'!$I$9)-1,"")</f>
        <v>0.16787827557058321</v>
      </c>
      <c r="Z407" s="19">
        <f ca="1">IF('Stock Price'!$I$11="OK",M407/INDEX(M$5:M$1258,'Stock Price'!$I$9)-1,"")</f>
        <v>8.8356936959519405E-3</v>
      </c>
    </row>
    <row r="408" spans="1:26" x14ac:dyDescent="0.2">
      <c r="A408" s="16">
        <f>'Stock Price'!A408</f>
        <v>45058</v>
      </c>
      <c r="B408" s="17">
        <f>'Stock Price'!E408</f>
        <v>147.15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434.43</v>
      </c>
      <c r="L408" s="18">
        <v>68.06</v>
      </c>
      <c r="M408" s="18">
        <v>160.78</v>
      </c>
      <c r="O408" s="19">
        <f ca="1">IF('Stock Price'!$I$11="OK",B408/INDEX(B$5:B$1258,'Stock Price'!$I$9)-1,"")</f>
        <v>0.34371290293123913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0.88121941713939278</v>
      </c>
      <c r="Y408" s="19">
        <f ca="1">IF('Stock Price'!$I$11="OK",L408/INDEX(L$5:L$1258,'Stock Price'!$I$9)-1,"")</f>
        <v>0.15063398140321227</v>
      </c>
      <c r="Z408" s="19">
        <f ca="1">IF('Stock Price'!$I$11="OK",M408/INDEX(M$5:M$1258,'Stock Price'!$I$9)-1,"")</f>
        <v>7.5197393157035997E-3</v>
      </c>
    </row>
    <row r="409" spans="1:26" x14ac:dyDescent="0.2">
      <c r="A409" s="16">
        <f>'Stock Price'!A409</f>
        <v>45061</v>
      </c>
      <c r="B409" s="17">
        <f>'Stock Price'!E409</f>
        <v>146.59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434.51</v>
      </c>
      <c r="L409" s="18">
        <v>68.17</v>
      </c>
      <c r="M409" s="18">
        <v>159.55000000000001</v>
      </c>
      <c r="O409" s="19">
        <f ca="1">IF('Stock Price'!$I$11="OK",B409/INDEX(B$5:B$1258,'Stock Price'!$I$9)-1,"")</f>
        <v>0.33859921468359055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0.88156584246308389</v>
      </c>
      <c r="Y409" s="19">
        <f ca="1">IF('Stock Price'!$I$11="OK",L409/INDEX(L$5:L$1258,'Stock Price'!$I$9)-1,"")</f>
        <v>0.15249366018596788</v>
      </c>
      <c r="Z409" s="19">
        <f ca="1">IF('Stock Price'!$I$11="OK",M409/INDEX(M$5:M$1258,'Stock Price'!$I$9)-1,"")</f>
        <v>-1.8799348289255668E-4</v>
      </c>
    </row>
    <row r="410" spans="1:26" x14ac:dyDescent="0.2">
      <c r="A410" s="16">
        <f>'Stock Price'!A410</f>
        <v>45062</v>
      </c>
      <c r="B410" s="17">
        <f>'Stock Price'!E410</f>
        <v>143.29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436.65</v>
      </c>
      <c r="L410" s="18">
        <v>67.02</v>
      </c>
      <c r="M410" s="18">
        <v>159.34</v>
      </c>
      <c r="O410" s="19">
        <f ca="1">IF('Stock Price'!$I$11="OK",B410/INDEX(B$5:B$1258,'Stock Price'!$I$9)-1,"")</f>
        <v>0.30846498036708958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0.89083271987182244</v>
      </c>
      <c r="Y410" s="19">
        <f ca="1">IF('Stock Price'!$I$11="OK",L410/INDEX(L$5:L$1258,'Stock Price'!$I$9)-1,"")</f>
        <v>0.13305156382079453</v>
      </c>
      <c r="Z410" s="19">
        <f ca="1">IF('Stock Price'!$I$11="OK",M410/INDEX(M$5:M$1258,'Stock Price'!$I$9)-1,"")</f>
        <v>-1.5039478631407865E-3</v>
      </c>
    </row>
    <row r="411" spans="1:26" x14ac:dyDescent="0.2">
      <c r="A411" s="16">
        <f>'Stock Price'!A411</f>
        <v>45063</v>
      </c>
      <c r="B411" s="17">
        <f>'Stock Price'!E411</f>
        <v>143.35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437.47</v>
      </c>
      <c r="L411" s="18">
        <v>66.53</v>
      </c>
      <c r="M411" s="18">
        <v>158.99</v>
      </c>
      <c r="O411" s="19">
        <f ca="1">IF('Stock Price'!$I$11="OK",B411/INDEX(B$5:B$1258,'Stock Price'!$I$9)-1,"")</f>
        <v>0.30901287553648049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0.89438357943965707</v>
      </c>
      <c r="Y411" s="19">
        <f ca="1">IF('Stock Price'!$I$11="OK",L411/INDEX(L$5:L$1258,'Stock Price'!$I$9)-1,"")</f>
        <v>0.12476754015215552</v>
      </c>
      <c r="Z411" s="19">
        <f ca="1">IF('Stock Price'!$I$11="OK",M411/INDEX(M$5:M$1258,'Stock Price'!$I$9)-1,"")</f>
        <v>-3.6972051635543179E-3</v>
      </c>
    </row>
    <row r="412" spans="1:26" x14ac:dyDescent="0.2">
      <c r="A412" s="16">
        <f>'Stock Price'!A412</f>
        <v>45064</v>
      </c>
      <c r="B412" s="17">
        <f>'Stock Price'!E412</f>
        <v>143.44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437.89</v>
      </c>
      <c r="L412" s="18">
        <v>65.7</v>
      </c>
      <c r="M412" s="18">
        <v>158.47999999999999</v>
      </c>
      <c r="O412" s="19">
        <f ca="1">IF('Stock Price'!$I$11="OK",B412/INDEX(B$5:B$1258,'Stock Price'!$I$9)-1,"")</f>
        <v>0.30983471829056697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0.89620231238903547</v>
      </c>
      <c r="Y412" s="19">
        <f ca="1">IF('Stock Price'!$I$11="OK",L412/INDEX(L$5:L$1258,'Stock Price'!$I$9)-1,"")</f>
        <v>0.11073541842772627</v>
      </c>
      <c r="Z412" s="19">
        <f ca="1">IF('Stock Price'!$I$11="OK",M412/INDEX(M$5:M$1258,'Stock Price'!$I$9)-1,"")</f>
        <v>-6.8930943727285587E-3</v>
      </c>
    </row>
    <row r="413" spans="1:26" x14ac:dyDescent="0.2">
      <c r="A413" s="16">
        <f>'Stock Price'!A413</f>
        <v>45065</v>
      </c>
      <c r="B413" s="17">
        <f>'Stock Price'!E413</f>
        <v>145.11000000000001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442.38</v>
      </c>
      <c r="L413" s="18">
        <v>65.84</v>
      </c>
      <c r="M413" s="18">
        <v>158.91</v>
      </c>
      <c r="O413" s="19">
        <f ca="1">IF('Stock Price'!$I$11="OK",B413/INDEX(B$5:B$1258,'Stock Price'!$I$9)-1,"")</f>
        <v>0.32508446717194772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0.9156454336812021</v>
      </c>
      <c r="Y413" s="19">
        <f ca="1">IF('Stock Price'!$I$11="OK",L413/INDEX(L$5:L$1258,'Stock Price'!$I$9)-1,"")</f>
        <v>0.11310228233305164</v>
      </c>
      <c r="Z413" s="19">
        <f ca="1">IF('Stock Price'!$I$11="OK",M413/INDEX(M$5:M$1258,'Stock Price'!$I$9)-1,"")</f>
        <v>-4.1985211179347282E-3</v>
      </c>
    </row>
    <row r="414" spans="1:26" x14ac:dyDescent="0.2">
      <c r="A414" s="16">
        <f>'Stock Price'!A414</f>
        <v>45068</v>
      </c>
      <c r="B414" s="17">
        <f>'Stock Price'!E414</f>
        <v>144.9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433.99</v>
      </c>
      <c r="L414" s="18">
        <v>65.81</v>
      </c>
      <c r="M414" s="18">
        <v>156.87</v>
      </c>
      <c r="O414" s="19">
        <f ca="1">IF('Stock Price'!$I$11="OK",B414/INDEX(B$5:B$1258,'Stock Price'!$I$9)-1,"")</f>
        <v>0.32316683407907942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0.87931407785909155</v>
      </c>
      <c r="Y414" s="19">
        <f ca="1">IF('Stock Price'!$I$11="OK",L414/INDEX(L$5:L$1258,'Stock Price'!$I$9)-1,"")</f>
        <v>0.11259509721048189</v>
      </c>
      <c r="Z414" s="19">
        <f ca="1">IF('Stock Price'!$I$11="OK",M414/INDEX(M$5:M$1258,'Stock Price'!$I$9)-1,"")</f>
        <v>-1.6982077954630914E-2</v>
      </c>
    </row>
    <row r="415" spans="1:26" x14ac:dyDescent="0.2">
      <c r="A415" s="16">
        <f>'Stock Price'!A415</f>
        <v>45069</v>
      </c>
      <c r="B415" s="17">
        <f>'Stock Price'!E415</f>
        <v>142.52000000000001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423.21</v>
      </c>
      <c r="L415" s="18">
        <v>66.53</v>
      </c>
      <c r="M415" s="18">
        <v>156.81</v>
      </c>
      <c r="O415" s="19">
        <f ca="1">IF('Stock Price'!$I$11="OK",B415/INDEX(B$5:B$1258,'Stock Price'!$I$9)-1,"")</f>
        <v>0.30143365902657293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0.83263326549170724</v>
      </c>
      <c r="Y415" s="19">
        <f ca="1">IF('Stock Price'!$I$11="OK",L415/INDEX(L$5:L$1258,'Stock Price'!$I$9)-1,"")</f>
        <v>0.12476754015215552</v>
      </c>
      <c r="Z415" s="19">
        <f ca="1">IF('Stock Price'!$I$11="OK",M415/INDEX(M$5:M$1258,'Stock Price'!$I$9)-1,"")</f>
        <v>-1.7358064920416139E-2</v>
      </c>
    </row>
    <row r="416" spans="1:26" x14ac:dyDescent="0.2">
      <c r="A416" s="16">
        <f>'Stock Price'!A416</f>
        <v>45070</v>
      </c>
      <c r="B416" s="17">
        <f>'Stock Price'!E416</f>
        <v>141.15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425.77</v>
      </c>
      <c r="L416" s="18">
        <v>65.47</v>
      </c>
      <c r="M416" s="18">
        <v>156.66</v>
      </c>
      <c r="O416" s="19">
        <f ca="1">IF('Stock Price'!$I$11="OK",B416/INDEX(B$5:B$1258,'Stock Price'!$I$9)-1,"")</f>
        <v>0.28892338599214673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0.84371887584982441</v>
      </c>
      <c r="Y416" s="19">
        <f ca="1">IF('Stock Price'!$I$11="OK",L416/INDEX(L$5:L$1258,'Stock Price'!$I$9)-1,"")</f>
        <v>0.10684699915469142</v>
      </c>
      <c r="Z416" s="19">
        <f ca="1">IF('Stock Price'!$I$11="OK",M416/INDEX(M$5:M$1258,'Stock Price'!$I$9)-1,"")</f>
        <v>-1.8298032334879144E-2</v>
      </c>
    </row>
    <row r="417" spans="1:26" x14ac:dyDescent="0.2">
      <c r="A417" s="16">
        <f>'Stock Price'!A417</f>
        <v>45071</v>
      </c>
      <c r="B417" s="17">
        <f>'Stock Price'!E417</f>
        <v>138.62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427.31</v>
      </c>
      <c r="L417" s="18">
        <v>64.56</v>
      </c>
      <c r="M417" s="18">
        <v>154.41</v>
      </c>
      <c r="O417" s="19">
        <f ca="1">IF('Stock Price'!$I$11="OK",B417/INDEX(B$5:B$1258,'Stock Price'!$I$9)-1,"")</f>
        <v>0.26582047301616285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0.8503875633308795</v>
      </c>
      <c r="Y417" s="19">
        <f ca="1">IF('Stock Price'!$I$11="OK",L417/INDEX(L$5:L$1258,'Stock Price'!$I$9)-1,"")</f>
        <v>9.1462383770076094E-2</v>
      </c>
      <c r="Z417" s="19">
        <f ca="1">IF('Stock Price'!$I$11="OK",M417/INDEX(M$5:M$1258,'Stock Price'!$I$9)-1,"")</f>
        <v>-3.2397543551823671E-2</v>
      </c>
    </row>
    <row r="418" spans="1:26" x14ac:dyDescent="0.2">
      <c r="A418" s="16">
        <f>'Stock Price'!A418</f>
        <v>45072</v>
      </c>
      <c r="B418" s="17">
        <f>'Stock Price'!E418</f>
        <v>137.56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425.79</v>
      </c>
      <c r="L418" s="18">
        <v>63.82</v>
      </c>
      <c r="M418" s="18">
        <v>154.35</v>
      </c>
      <c r="O418" s="19">
        <f ca="1">IF('Stock Price'!$I$11="OK",B418/INDEX(B$5:B$1258,'Stock Price'!$I$9)-1,"")</f>
        <v>0.25614099169025661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0.84380548218074747</v>
      </c>
      <c r="Y418" s="19">
        <f ca="1">IF('Stock Price'!$I$11="OK",L418/INDEX(L$5:L$1258,'Stock Price'!$I$9)-1,"")</f>
        <v>7.8951817413355885E-2</v>
      </c>
      <c r="Z418" s="19">
        <f ca="1">IF('Stock Price'!$I$11="OK",M418/INDEX(M$5:M$1258,'Stock Price'!$I$9)-1,"")</f>
        <v>-3.2773530517608784E-2</v>
      </c>
    </row>
    <row r="419" spans="1:26" x14ac:dyDescent="0.2">
      <c r="A419" s="16">
        <f>'Stock Price'!A419</f>
        <v>45076</v>
      </c>
      <c r="B419" s="17">
        <f>'Stock Price'!E419</f>
        <v>136.44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427.24</v>
      </c>
      <c r="L419" s="18">
        <v>63.71</v>
      </c>
      <c r="M419" s="18">
        <v>154.37</v>
      </c>
      <c r="O419" s="19">
        <f ca="1">IF('Stock Price'!$I$11="OK",B419/INDEX(B$5:B$1258,'Stock Price'!$I$9)-1,"")</f>
        <v>0.24591361519495925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0.85008444117264981</v>
      </c>
      <c r="Y419" s="19">
        <f ca="1">IF('Stock Price'!$I$11="OK",L419/INDEX(L$5:L$1258,'Stock Price'!$I$9)-1,"")</f>
        <v>7.7092138630600271E-2</v>
      </c>
      <c r="Z419" s="19">
        <f ca="1">IF('Stock Price'!$I$11="OK",M419/INDEX(M$5:M$1258,'Stock Price'!$I$9)-1,"")</f>
        <v>-3.264820152901371E-2</v>
      </c>
    </row>
    <row r="420" spans="1:26" x14ac:dyDescent="0.2">
      <c r="A420" s="16">
        <f>'Stock Price'!A420</f>
        <v>45077</v>
      </c>
      <c r="B420" s="17">
        <f>'Stock Price'!E420</f>
        <v>137.96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429.46</v>
      </c>
      <c r="L420" s="18">
        <v>64.44</v>
      </c>
      <c r="M420" s="18">
        <v>155.06</v>
      </c>
      <c r="O420" s="19">
        <f ca="1">IF('Stock Price'!$I$11="OK",B420/INDEX(B$5:B$1258,'Stock Price'!$I$9)-1,"")</f>
        <v>0.25979362615286283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0.85969774390507925</v>
      </c>
      <c r="Y420" s="19">
        <f ca="1">IF('Stock Price'!$I$11="OK",L420/INDEX(L$5:L$1258,'Stock Price'!$I$9)-1,"")</f>
        <v>8.9433643279797082E-2</v>
      </c>
      <c r="Z420" s="19">
        <f ca="1">IF('Stock Price'!$I$11="OK",M420/INDEX(M$5:M$1258,'Stock Price'!$I$9)-1,"")</f>
        <v>-2.8324351422484129E-2</v>
      </c>
    </row>
    <row r="421" spans="1:26" x14ac:dyDescent="0.2">
      <c r="A421" s="16">
        <f>'Stock Price'!A421</f>
        <v>45078</v>
      </c>
      <c r="B421" s="17">
        <f>'Stock Price'!E421</f>
        <v>133.44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436.49</v>
      </c>
      <c r="L421" s="18">
        <v>64.680000000000007</v>
      </c>
      <c r="M421" s="18">
        <v>154.54</v>
      </c>
      <c r="O421" s="19">
        <f ca="1">IF('Stock Price'!$I$11="OK",B421/INDEX(B$5:B$1258,'Stock Price'!$I$9)-1,"")</f>
        <v>0.21851885672541305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0.89013986922444022</v>
      </c>
      <c r="Y421" s="19">
        <f ca="1">IF('Stock Price'!$I$11="OK",L421/INDEX(L$5:L$1258,'Stock Price'!$I$9)-1,"")</f>
        <v>9.3491124260355107E-2</v>
      </c>
      <c r="Z421" s="19">
        <f ca="1">IF('Stock Price'!$I$11="OK",M421/INDEX(M$5:M$1258,'Stock Price'!$I$9)-1,"")</f>
        <v>-3.158290512595574E-2</v>
      </c>
    </row>
    <row r="422" spans="1:26" x14ac:dyDescent="0.2">
      <c r="A422" s="16">
        <f>'Stock Price'!A422</f>
        <v>45079</v>
      </c>
      <c r="B422" s="17">
        <f>'Stock Price'!E422</f>
        <v>136.87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442.33</v>
      </c>
      <c r="L422" s="18">
        <v>65.66</v>
      </c>
      <c r="M422" s="18">
        <v>156.97</v>
      </c>
      <c r="O422" s="19">
        <f ca="1">IF('Stock Price'!$I$11="OK",B422/INDEX(B$5:B$1258,'Stock Price'!$I$9)-1,"")</f>
        <v>0.24984019724226103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0.91542891785389502</v>
      </c>
      <c r="Y422" s="19">
        <f ca="1">IF('Stock Price'!$I$11="OK",L422/INDEX(L$5:L$1258,'Stock Price'!$I$9)-1,"")</f>
        <v>0.11005917159763312</v>
      </c>
      <c r="Z422" s="19">
        <f ca="1">IF('Stock Price'!$I$11="OK",M422/INDEX(M$5:M$1258,'Stock Price'!$I$9)-1,"")</f>
        <v>-1.6355433011655651E-2</v>
      </c>
    </row>
    <row r="423" spans="1:26" x14ac:dyDescent="0.2">
      <c r="A423" s="16">
        <f>'Stock Price'!A423</f>
        <v>45082</v>
      </c>
      <c r="B423" s="17">
        <f>'Stock Price'!E423</f>
        <v>136.86000000000001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444.26</v>
      </c>
      <c r="L423" s="18">
        <v>65.98</v>
      </c>
      <c r="M423" s="18">
        <v>158.32</v>
      </c>
      <c r="O423" s="19">
        <f ca="1">IF('Stock Price'!$I$11="OK",B423/INDEX(B$5:B$1258,'Stock Price'!$I$9)-1,"")</f>
        <v>0.24974888138069584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0.92378642878794426</v>
      </c>
      <c r="Y423" s="19">
        <f ca="1">IF('Stock Price'!$I$11="OK",L423/INDEX(L$5:L$1258,'Stock Price'!$I$9)-1,"")</f>
        <v>0.11546914623837701</v>
      </c>
      <c r="Z423" s="19">
        <f ca="1">IF('Stock Price'!$I$11="OK",M423/INDEX(M$5:M$1258,'Stock Price'!$I$9)-1,"")</f>
        <v>-7.8957262814890461E-3</v>
      </c>
    </row>
    <row r="424" spans="1:26" x14ac:dyDescent="0.2">
      <c r="A424" s="16">
        <f>'Stock Price'!A424</f>
        <v>45083</v>
      </c>
      <c r="B424" s="17">
        <f>'Stock Price'!E424</f>
        <v>135.43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443.07</v>
      </c>
      <c r="L424" s="18">
        <v>65.48</v>
      </c>
      <c r="M424" s="18">
        <v>158.18</v>
      </c>
      <c r="O424" s="19">
        <f ca="1">IF('Stock Price'!$I$11="OK",B424/INDEX(B$5:B$1258,'Stock Price'!$I$9)-1,"")</f>
        <v>0.23669071317687873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0.91863335209803831</v>
      </c>
      <c r="Y424" s="19">
        <f ca="1">IF('Stock Price'!$I$11="OK",L424/INDEX(L$5:L$1258,'Stock Price'!$I$9)-1,"")</f>
        <v>0.10701606086221482</v>
      </c>
      <c r="Z424" s="19">
        <f ca="1">IF('Stock Price'!$I$11="OK",M424/INDEX(M$5:M$1258,'Stock Price'!$I$9)-1,"")</f>
        <v>-8.7730292016543476E-3</v>
      </c>
    </row>
    <row r="425" spans="1:26" x14ac:dyDescent="0.2">
      <c r="A425" s="16">
        <f>'Stock Price'!A425</f>
        <v>45084</v>
      </c>
      <c r="B425" s="17">
        <f>'Stock Price'!E425</f>
        <v>136.5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436.37</v>
      </c>
      <c r="L425" s="18">
        <v>65.16</v>
      </c>
      <c r="M425" s="18">
        <v>158.52000000000001</v>
      </c>
      <c r="O425" s="19">
        <f ca="1">IF('Stock Price'!$I$11="OK",B425/INDEX(B$5:B$1258,'Stock Price'!$I$9)-1,"")</f>
        <v>0.24646151036435016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0.88962023123890344</v>
      </c>
      <c r="Y425" s="19">
        <f ca="1">IF('Stock Price'!$I$11="OK",L425/INDEX(L$5:L$1258,'Stock Price'!$I$9)-1,"")</f>
        <v>0.10160608622147072</v>
      </c>
      <c r="Z425" s="19">
        <f ca="1">IF('Stock Price'!$I$11="OK",M425/INDEX(M$5:M$1258,'Stock Price'!$I$9)-1,"")</f>
        <v>-6.6424363955382981E-3</v>
      </c>
    </row>
    <row r="426" spans="1:26" x14ac:dyDescent="0.2">
      <c r="A426" s="16">
        <f>'Stock Price'!A426</f>
        <v>45085</v>
      </c>
      <c r="B426" s="17">
        <f>'Stock Price'!E426</f>
        <v>137.63999999999999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445.66</v>
      </c>
      <c r="L426" s="18">
        <v>65.31</v>
      </c>
      <c r="M426" s="18">
        <v>160.26</v>
      </c>
      <c r="O426" s="19">
        <f ca="1">IF('Stock Price'!$I$11="OK",B426/INDEX(B$5:B$1258,'Stock Price'!$I$9)-1,"")</f>
        <v>0.25687151858277768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0.92984887195253974</v>
      </c>
      <c r="Y426" s="19">
        <f ca="1">IF('Stock Price'!$I$11="OK",L426/INDEX(L$5:L$1258,'Stock Price'!$I$9)-1,"")</f>
        <v>0.10414201183431948</v>
      </c>
      <c r="Z426" s="19">
        <f ca="1">IF('Stock Price'!$I$11="OK",M426/INDEX(M$5:M$1258,'Stock Price'!$I$9)-1,"")</f>
        <v>4.261185612231877E-3</v>
      </c>
    </row>
    <row r="427" spans="1:26" x14ac:dyDescent="0.2">
      <c r="A427" s="16">
        <f>'Stock Price'!A427</f>
        <v>45086</v>
      </c>
      <c r="B427" s="17">
        <f>'Stock Price'!E427</f>
        <v>138.18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446.04</v>
      </c>
      <c r="L427" s="18">
        <v>64.8</v>
      </c>
      <c r="M427" s="18">
        <v>160.01</v>
      </c>
      <c r="O427" s="19">
        <f ca="1">IF('Stock Price'!$I$11="OK",B427/INDEX(B$5:B$1258,'Stock Price'!$I$9)-1,"")</f>
        <v>0.2618025751072961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0.93149439224007269</v>
      </c>
      <c r="Y427" s="19">
        <f ca="1">IF('Stock Price'!$I$11="OK",L427/INDEX(L$5:L$1258,'Stock Price'!$I$9)-1,"")</f>
        <v>9.5519864750633898E-2</v>
      </c>
      <c r="Z427" s="19">
        <f ca="1">IF('Stock Price'!$I$11="OK",M427/INDEX(M$5:M$1258,'Stock Price'!$I$9)-1,"")</f>
        <v>2.6945732547936085E-3</v>
      </c>
    </row>
    <row r="428" spans="1:26" x14ac:dyDescent="0.2">
      <c r="A428" s="16">
        <f>'Stock Price'!A428</f>
        <v>45089</v>
      </c>
      <c r="B428" s="17">
        <f>'Stock Price'!E428</f>
        <v>137.72999999999999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445.31</v>
      </c>
      <c r="L428" s="18">
        <v>64.760000000000005</v>
      </c>
      <c r="M428" s="18">
        <v>159.9</v>
      </c>
      <c r="O428" s="19">
        <f ca="1">IF('Stock Price'!$I$11="OK",B428/INDEX(B$5:B$1258,'Stock Price'!$I$9)-1,"")</f>
        <v>0.25769336133686416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0.92833326116139081</v>
      </c>
      <c r="Y428" s="19">
        <f ca="1">IF('Stock Price'!$I$11="OK",L428/INDEX(L$5:L$1258,'Stock Price'!$I$9)-1,"")</f>
        <v>9.484361792054119E-2</v>
      </c>
      <c r="Z428" s="19">
        <f ca="1">IF('Stock Price'!$I$11="OK",M428/INDEX(M$5:M$1258,'Stock Price'!$I$9)-1,"")</f>
        <v>2.0052638175209747E-3</v>
      </c>
    </row>
    <row r="429" spans="1:26" x14ac:dyDescent="0.2">
      <c r="A429" s="16">
        <f>'Stock Price'!A429</f>
        <v>45090</v>
      </c>
      <c r="B429" s="17">
        <f>'Stock Price'!E429</f>
        <v>138.31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445.72</v>
      </c>
      <c r="L429" s="18">
        <v>64.760000000000005</v>
      </c>
      <c r="M429" s="18">
        <v>160.74</v>
      </c>
      <c r="O429" s="19">
        <f ca="1">IF('Stock Price'!$I$11="OK",B429/INDEX(B$5:B$1258,'Stock Price'!$I$9)-1,"")</f>
        <v>0.26298968130764311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0.93010869094530824</v>
      </c>
      <c r="Y429" s="19">
        <f ca="1">IF('Stock Price'!$I$11="OK",L429/INDEX(L$5:L$1258,'Stock Price'!$I$9)-1,"")</f>
        <v>9.484361792054119E-2</v>
      </c>
      <c r="Z429" s="19">
        <f ca="1">IF('Stock Price'!$I$11="OK",M429/INDEX(M$5:M$1258,'Stock Price'!$I$9)-1,"")</f>
        <v>7.2690813385136721E-3</v>
      </c>
    </row>
    <row r="430" spans="1:26" x14ac:dyDescent="0.2">
      <c r="A430" s="16">
        <f>'Stock Price'!A430</f>
        <v>45091</v>
      </c>
      <c r="B430" s="17">
        <f>'Stock Price'!E430</f>
        <v>136.22999999999999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447.72</v>
      </c>
      <c r="L430" s="18">
        <v>64.16</v>
      </c>
      <c r="M430" s="18">
        <v>161.56</v>
      </c>
      <c r="O430" s="19">
        <f ca="1">IF('Stock Price'!$I$11="OK",B430/INDEX(B$5:B$1258,'Stock Price'!$I$9)-1,"")</f>
        <v>0.24399598210209095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0.93876932403758717</v>
      </c>
      <c r="Y430" s="19">
        <f ca="1">IF('Stock Price'!$I$11="OK",L430/INDEX(L$5:L$1258,'Stock Price'!$I$9)-1,"")</f>
        <v>8.4699915469146125E-2</v>
      </c>
      <c r="Z430" s="19">
        <f ca="1">IF('Stock Price'!$I$11="OK",M430/INDEX(M$5:M$1258,'Stock Price'!$I$9)-1,"")</f>
        <v>1.2407569870911184E-2</v>
      </c>
    </row>
    <row r="431" spans="1:26" x14ac:dyDescent="0.2">
      <c r="A431" s="16">
        <f>'Stock Price'!A431</f>
        <v>45092</v>
      </c>
      <c r="B431" s="17">
        <f>'Stock Price'!E431</f>
        <v>135.88999999999999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453.93</v>
      </c>
      <c r="L431" s="18">
        <v>64.67</v>
      </c>
      <c r="M431" s="18">
        <v>163.72999999999999</v>
      </c>
      <c r="O431" s="19">
        <f ca="1">IF('Stock Price'!$I$11="OK",B431/INDEX(B$5:B$1258,'Stock Price'!$I$9)-1,"")</f>
        <v>0.24089124280887564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0.96566058978911351</v>
      </c>
      <c r="Y431" s="19">
        <f ca="1">IF('Stock Price'!$I$11="OK",L431/INDEX(L$5:L$1258,'Stock Price'!$I$9)-1,"")</f>
        <v>9.332206255283193E-2</v>
      </c>
      <c r="Z431" s="19">
        <f ca="1">IF('Stock Price'!$I$11="OK",M431/INDEX(M$5:M$1258,'Stock Price'!$I$9)-1,"")</f>
        <v>2.60057651334753E-2</v>
      </c>
    </row>
    <row r="432" spans="1:26" x14ac:dyDescent="0.2">
      <c r="A432" s="16">
        <f>'Stock Price'!A432</f>
        <v>45093</v>
      </c>
      <c r="B432" s="17">
        <f>'Stock Price'!E432</f>
        <v>138.63999999999999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447.71</v>
      </c>
      <c r="L432" s="18">
        <v>66.16</v>
      </c>
      <c r="M432" s="18">
        <v>164.23</v>
      </c>
      <c r="O432" s="19">
        <f ca="1">IF('Stock Price'!$I$11="OK",B432/INDEX(B$5:B$1258,'Stock Price'!$I$9)-1,"")</f>
        <v>0.26600310473929301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0.93872602087212553</v>
      </c>
      <c r="Y432" s="19">
        <f ca="1">IF('Stock Price'!$I$11="OK",L432/INDEX(L$5:L$1258,'Stock Price'!$I$9)-1,"")</f>
        <v>0.1185122569737953</v>
      </c>
      <c r="Z432" s="19">
        <f ca="1">IF('Stock Price'!$I$11="OK",M432/INDEX(M$5:M$1258,'Stock Price'!$I$9)-1,"")</f>
        <v>2.9138989848351837E-2</v>
      </c>
    </row>
    <row r="433" spans="1:26" x14ac:dyDescent="0.2">
      <c r="A433" s="16">
        <f>'Stock Price'!A433</f>
        <v>45097</v>
      </c>
      <c r="B433" s="17">
        <f>'Stock Price'!E433</f>
        <v>137.82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451.95</v>
      </c>
      <c r="L433" s="18">
        <v>66.03</v>
      </c>
      <c r="M433" s="18">
        <v>164.13</v>
      </c>
      <c r="O433" s="19">
        <f ca="1">IF('Stock Price'!$I$11="OK",B433/INDEX(B$5:B$1258,'Stock Price'!$I$9)-1,"")</f>
        <v>0.25851520409095041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0.95708656302775719</v>
      </c>
      <c r="Y433" s="19">
        <f ca="1">IF('Stock Price'!$I$11="OK",L433/INDEX(L$5:L$1258,'Stock Price'!$I$9)-1,"")</f>
        <v>0.11631445477599334</v>
      </c>
      <c r="Z433" s="19">
        <f ca="1">IF('Stock Price'!$I$11="OK",M433/INDEX(M$5:M$1258,'Stock Price'!$I$9)-1,"")</f>
        <v>2.8512344905376574E-2</v>
      </c>
    </row>
    <row r="434" spans="1:26" x14ac:dyDescent="0.2">
      <c r="A434" s="16">
        <f>'Stock Price'!A434</f>
        <v>45098</v>
      </c>
      <c r="B434" s="17">
        <f>'Stock Price'!E434</f>
        <v>136.86000000000001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453</v>
      </c>
      <c r="L434" s="18">
        <v>65.5</v>
      </c>
      <c r="M434" s="18">
        <v>163.88</v>
      </c>
      <c r="O434" s="19">
        <f ca="1">IF('Stock Price'!$I$11="OK",B434/INDEX(B$5:B$1258,'Stock Price'!$I$9)-1,"")</f>
        <v>0.24974888138069584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0.96163339540120374</v>
      </c>
      <c r="Y434" s="19">
        <f ca="1">IF('Stock Price'!$I$11="OK",L434/INDEX(L$5:L$1258,'Stock Price'!$I$9)-1,"")</f>
        <v>0.10735418427726118</v>
      </c>
      <c r="Z434" s="19">
        <f ca="1">IF('Stock Price'!$I$11="OK",M434/INDEX(M$5:M$1258,'Stock Price'!$I$9)-1,"")</f>
        <v>2.6945732547938306E-2</v>
      </c>
    </row>
    <row r="435" spans="1:26" x14ac:dyDescent="0.2">
      <c r="A435" s="16">
        <f>'Stock Price'!A435</f>
        <v>45099</v>
      </c>
      <c r="B435" s="17">
        <f>'Stock Price'!E435</f>
        <v>137.41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457.68</v>
      </c>
      <c r="L435" s="18">
        <v>65.3</v>
      </c>
      <c r="M435" s="18">
        <v>165.62</v>
      </c>
      <c r="O435" s="19">
        <f ca="1">IF('Stock Price'!$I$11="OK",B435/INDEX(B$5:B$1258,'Stock Price'!$I$9)-1,"")</f>
        <v>0.25477125376677923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0.98189927683713685</v>
      </c>
      <c r="Y435" s="19">
        <f ca="1">IF('Stock Price'!$I$11="OK",L435/INDEX(L$5:L$1258,'Stock Price'!$I$9)-1,"")</f>
        <v>0.1039729501267963</v>
      </c>
      <c r="Z435" s="19">
        <f ca="1">IF('Stock Price'!$I$11="OK",M435/INDEX(M$5:M$1258,'Stock Price'!$I$9)-1,"")</f>
        <v>3.7849354555708592E-2</v>
      </c>
    </row>
    <row r="436" spans="1:26" x14ac:dyDescent="0.2">
      <c r="A436" s="16">
        <f>'Stock Price'!A436</f>
        <v>45100</v>
      </c>
      <c r="B436" s="17">
        <f>'Stock Price'!E436</f>
        <v>135.91999999999999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458.84</v>
      </c>
      <c r="L436" s="18">
        <v>65.040000000000006</v>
      </c>
      <c r="M436" s="18">
        <v>165.48</v>
      </c>
      <c r="O436" s="19">
        <f ca="1">IF('Stock Price'!$I$11="OK",B436/INDEX(B$5:B$1258,'Stock Price'!$I$9)-1,"")</f>
        <v>0.2411651903935712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0.98692244403065854</v>
      </c>
      <c r="Y436" s="19">
        <f ca="1">IF('Stock Price'!$I$11="OK",L436/INDEX(L$5:L$1258,'Stock Price'!$I$9)-1,"")</f>
        <v>9.9577345731191924E-2</v>
      </c>
      <c r="Z436" s="19">
        <f ca="1">IF('Stock Price'!$I$11="OK",M436/INDEX(M$5:M$1258,'Stock Price'!$I$9)-1,"")</f>
        <v>3.6972051635543179E-2</v>
      </c>
    </row>
    <row r="437" spans="1:26" x14ac:dyDescent="0.2">
      <c r="A437" s="16">
        <f>'Stock Price'!A437</f>
        <v>45103</v>
      </c>
      <c r="B437" s="17">
        <f>'Stock Price'!E437</f>
        <v>134.94999999999999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452.76</v>
      </c>
      <c r="L437" s="18">
        <v>64.790000000000006</v>
      </c>
      <c r="M437" s="18">
        <v>163.63</v>
      </c>
      <c r="O437" s="19">
        <f ca="1">IF('Stock Price'!$I$11="OK",B437/INDEX(B$5:B$1258,'Stock Price'!$I$9)-1,"")</f>
        <v>0.23230755182175122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0.96059411943013018</v>
      </c>
      <c r="Y437" s="19">
        <f ca="1">IF('Stock Price'!$I$11="OK",L437/INDEX(L$5:L$1258,'Stock Price'!$I$9)-1,"")</f>
        <v>9.5350803043110943E-2</v>
      </c>
      <c r="Z437" s="19">
        <f ca="1">IF('Stock Price'!$I$11="OK",M437/INDEX(M$5:M$1258,'Stock Price'!$I$9)-1,"")</f>
        <v>2.5379120190500037E-2</v>
      </c>
    </row>
    <row r="438" spans="1:26" x14ac:dyDescent="0.2">
      <c r="A438" s="16">
        <f>'Stock Price'!A438</f>
        <v>45104</v>
      </c>
      <c r="B438" s="17">
        <f>'Stock Price'!E438</f>
        <v>132.6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464.5</v>
      </c>
      <c r="L438" s="18">
        <v>64.75</v>
      </c>
      <c r="M438" s="18">
        <v>163.29</v>
      </c>
      <c r="O438" s="19">
        <f ca="1">IF('Stock Price'!$I$11="OK",B438/INDEX(B$5:B$1258,'Stock Price'!$I$9)-1,"")</f>
        <v>0.21084832435394008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1.0114320356818083</v>
      </c>
      <c r="Y438" s="19">
        <f ca="1">IF('Stock Price'!$I$11="OK",L438/INDEX(L$5:L$1258,'Stock Price'!$I$9)-1,"")</f>
        <v>9.4674556213017791E-2</v>
      </c>
      <c r="Z438" s="19">
        <f ca="1">IF('Stock Price'!$I$11="OK",M438/INDEX(M$5:M$1258,'Stock Price'!$I$9)-1,"")</f>
        <v>2.3248527384383877E-2</v>
      </c>
    </row>
    <row r="439" spans="1:26" x14ac:dyDescent="0.2">
      <c r="A439" s="16">
        <f>'Stock Price'!A439</f>
        <v>45105</v>
      </c>
      <c r="B439" s="17">
        <f>'Stock Price'!E439</f>
        <v>132.51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458.7</v>
      </c>
      <c r="L439" s="18">
        <v>64.09</v>
      </c>
      <c r="M439" s="18">
        <v>162.96</v>
      </c>
      <c r="O439" s="19">
        <f ca="1">IF('Stock Price'!$I$11="OK",B439/INDEX(B$5:B$1258,'Stock Price'!$I$9)-1,"")</f>
        <v>0.21002648159985382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0.98631619971419893</v>
      </c>
      <c r="Y439" s="19">
        <f ca="1">IF('Stock Price'!$I$11="OK",L439/INDEX(L$5:L$1258,'Stock Price'!$I$9)-1,"")</f>
        <v>8.3516483516483664E-2</v>
      </c>
      <c r="Z439" s="19">
        <f ca="1">IF('Stock Price'!$I$11="OK",M439/INDEX(M$5:M$1258,'Stock Price'!$I$9)-1,"")</f>
        <v>2.1180599072565531E-2</v>
      </c>
    </row>
    <row r="440" spans="1:26" x14ac:dyDescent="0.2">
      <c r="A440" s="16">
        <f>'Stock Price'!A440</f>
        <v>45106</v>
      </c>
      <c r="B440" s="17">
        <f>'Stock Price'!E440</f>
        <v>133.22999999999999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464.49</v>
      </c>
      <c r="L440" s="18">
        <v>64</v>
      </c>
      <c r="M440" s="18">
        <v>164.1</v>
      </c>
      <c r="O440" s="19">
        <f ca="1">IF('Stock Price'!$I$11="OK",B440/INDEX(B$5:B$1258,'Stock Price'!$I$9)-1,"")</f>
        <v>0.21660122363254475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1.0113887325163469</v>
      </c>
      <c r="Y440" s="19">
        <f ca="1">IF('Stock Price'!$I$11="OK",L440/INDEX(L$5:L$1258,'Stock Price'!$I$9)-1,"")</f>
        <v>8.1994928148774404E-2</v>
      </c>
      <c r="Z440" s="19">
        <f ca="1">IF('Stock Price'!$I$11="OK",M440/INDEX(M$5:M$1258,'Stock Price'!$I$9)-1,"")</f>
        <v>2.8324351422483796E-2</v>
      </c>
    </row>
    <row r="441" spans="1:26" x14ac:dyDescent="0.2">
      <c r="A441" s="16">
        <f>'Stock Price'!A441</f>
        <v>45107</v>
      </c>
      <c r="B441" s="17">
        <f>'Stock Price'!E441</f>
        <v>134.72999999999999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468.98</v>
      </c>
      <c r="L441" s="18">
        <v>63.95</v>
      </c>
      <c r="M441" s="18">
        <v>165.52</v>
      </c>
      <c r="O441" s="19">
        <f ca="1">IF('Stock Price'!$I$11="OK",B441/INDEX(B$5:B$1258,'Stock Price'!$I$9)-1,"")</f>
        <v>0.23029860286731796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1.0308318538085133</v>
      </c>
      <c r="Y441" s="19">
        <f ca="1">IF('Stock Price'!$I$11="OK",L441/INDEX(L$5:L$1258,'Stock Price'!$I$9)-1,"")</f>
        <v>8.1149619611158075E-2</v>
      </c>
      <c r="Z441" s="19">
        <f ca="1">IF('Stock Price'!$I$11="OK",M441/INDEX(M$5:M$1258,'Stock Price'!$I$9)-1,"")</f>
        <v>3.7222709612733329E-2</v>
      </c>
    </row>
    <row r="442" spans="1:26" x14ac:dyDescent="0.2">
      <c r="A442" s="16">
        <f>'Stock Price'!A442</f>
        <v>45110</v>
      </c>
      <c r="B442" s="17">
        <f>'Stock Price'!E442</f>
        <v>135.01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461.42</v>
      </c>
      <c r="L442" s="18">
        <v>64.430000000000007</v>
      </c>
      <c r="M442" s="18">
        <v>163.35</v>
      </c>
      <c r="O442" s="19">
        <f ca="1">IF('Stock Price'!$I$11="OK",B442/INDEX(B$5:B$1258,'Stock Price'!$I$9)-1,"")</f>
        <v>0.23285544699114213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0.99809466071969855</v>
      </c>
      <c r="Y442" s="19">
        <f ca="1">IF('Stock Price'!$I$11="OK",L442/INDEX(L$5:L$1258,'Stock Price'!$I$9)-1,"")</f>
        <v>8.9264581572274126E-2</v>
      </c>
      <c r="Z442" s="19">
        <f ca="1">IF('Stock Price'!$I$11="OK",M442/INDEX(M$5:M$1258,'Stock Price'!$I$9)-1,"")</f>
        <v>2.362451435016899E-2</v>
      </c>
    </row>
    <row r="443" spans="1:26" x14ac:dyDescent="0.2">
      <c r="A443" s="16">
        <f>'Stock Price'!A443</f>
        <v>45112</v>
      </c>
      <c r="B443" s="17">
        <f>'Stock Price'!E443</f>
        <v>137.62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465.7</v>
      </c>
      <c r="L443" s="18">
        <v>64.73</v>
      </c>
      <c r="M443" s="18">
        <v>162.81</v>
      </c>
      <c r="O443" s="19">
        <f ca="1">IF('Stock Price'!$I$11="OK",B443/INDEX(B$5:B$1258,'Stock Price'!$I$9)-1,"")</f>
        <v>0.25668888685964752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1.0166284155371756</v>
      </c>
      <c r="Y443" s="19">
        <f ca="1">IF('Stock Price'!$I$11="OK",L443/INDEX(L$5:L$1258,'Stock Price'!$I$9)-1,"")</f>
        <v>9.4336432797971437E-2</v>
      </c>
      <c r="Z443" s="19">
        <f ca="1">IF('Stock Price'!$I$11="OK",M443/INDEX(M$5:M$1258,'Stock Price'!$I$9)-1,"")</f>
        <v>2.0240631658102526E-2</v>
      </c>
    </row>
    <row r="444" spans="1:26" x14ac:dyDescent="0.2">
      <c r="A444" s="16">
        <f>'Stock Price'!A444</f>
        <v>45113</v>
      </c>
      <c r="B444" s="17">
        <f>'Stock Price'!E444</f>
        <v>137.25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463.21</v>
      </c>
      <c r="L444" s="18">
        <v>63.44</v>
      </c>
      <c r="M444" s="18">
        <v>161.6</v>
      </c>
      <c r="O444" s="19">
        <f ca="1">IF('Stock Price'!$I$11="OK",B444/INDEX(B$5:B$1258,'Stock Price'!$I$9)-1,"")</f>
        <v>0.25331019998173687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1.0058459273372882</v>
      </c>
      <c r="Y444" s="19">
        <f ca="1">IF('Stock Price'!$I$11="OK",L444/INDEX(L$5:L$1258,'Stock Price'!$I$9)-1,"")</f>
        <v>7.2527472527472492E-2</v>
      </c>
      <c r="Z444" s="19">
        <f ca="1">IF('Stock Price'!$I$11="OK",M444/INDEX(M$5:M$1258,'Stock Price'!$I$9)-1,"")</f>
        <v>1.2658227848101111E-2</v>
      </c>
    </row>
    <row r="445" spans="1:26" x14ac:dyDescent="0.2">
      <c r="A445" s="16">
        <f>'Stock Price'!A445</f>
        <v>45114</v>
      </c>
      <c r="B445" s="17">
        <f>'Stock Price'!E445</f>
        <v>135.5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452.08</v>
      </c>
      <c r="L445" s="18">
        <v>62.65</v>
      </c>
      <c r="M445" s="18">
        <v>159.25</v>
      </c>
      <c r="O445" s="19">
        <f ca="1">IF('Stock Price'!$I$11="OK",B445/INDEX(B$5:B$1258,'Stock Price'!$I$9)-1,"")</f>
        <v>0.23732992420783483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0.95764950417875538</v>
      </c>
      <c r="Y445" s="19">
        <f ca="1">IF('Stock Price'!$I$11="OK",L445/INDEX(L$5:L$1258,'Stock Price'!$I$9)-1,"")</f>
        <v>5.9171597633136175E-2</v>
      </c>
      <c r="Z445" s="19">
        <f ca="1">IF('Stock Price'!$I$11="OK",M445/INDEX(M$5:M$1258,'Stock Price'!$I$9)-1,"")</f>
        <v>-2.0679283118185676E-3</v>
      </c>
    </row>
    <row r="446" spans="1:26" x14ac:dyDescent="0.2">
      <c r="A446" s="16">
        <f>'Stock Price'!A446</f>
        <v>45117</v>
      </c>
      <c r="B446" s="17">
        <f>'Stock Price'!E446</f>
        <v>134.49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453.16</v>
      </c>
      <c r="L446" s="18">
        <v>62.48</v>
      </c>
      <c r="M446" s="18">
        <v>159.51</v>
      </c>
      <c r="O446" s="19">
        <f ca="1">IF('Stock Price'!$I$11="OK",B446/INDEX(B$5:B$1258,'Stock Price'!$I$9)-1,"")</f>
        <v>0.22810702218975432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0.96232624604858619</v>
      </c>
      <c r="Y446" s="19">
        <f ca="1">IF('Stock Price'!$I$11="OK",L446/INDEX(L$5:L$1258,'Stock Price'!$I$9)-1,"")</f>
        <v>5.6297548605240832E-2</v>
      </c>
      <c r="Z446" s="19">
        <f ca="1">IF('Stock Price'!$I$11="OK",M446/INDEX(M$5:M$1258,'Stock Price'!$I$9)-1,"")</f>
        <v>-4.386514600828173E-4</v>
      </c>
    </row>
    <row r="447" spans="1:26" x14ac:dyDescent="0.2">
      <c r="A447" s="16">
        <f>'Stock Price'!A447</f>
        <v>45118</v>
      </c>
      <c r="B447" s="17">
        <f>'Stock Price'!E447</f>
        <v>135.57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439.39</v>
      </c>
      <c r="L447" s="18">
        <v>62.79</v>
      </c>
      <c r="M447" s="18">
        <v>158.63</v>
      </c>
      <c r="O447" s="19">
        <f ca="1">IF('Stock Price'!$I$11="OK",B447/INDEX(B$5:B$1258,'Stock Price'!$I$9)-1,"")</f>
        <v>0.23796913523879093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0.9026977872082449</v>
      </c>
      <c r="Y447" s="19">
        <f ca="1">IF('Stock Price'!$I$11="OK",L447/INDEX(L$5:L$1258,'Stock Price'!$I$9)-1,"")</f>
        <v>6.1538461538461542E-2</v>
      </c>
      <c r="Z447" s="19">
        <f ca="1">IF('Stock Price'!$I$11="OK",M447/INDEX(M$5:M$1258,'Stock Price'!$I$9)-1,"")</f>
        <v>-5.9531269582655533E-3</v>
      </c>
    </row>
    <row r="448" spans="1:26" x14ac:dyDescent="0.2">
      <c r="A448" s="16">
        <f>'Stock Price'!A448</f>
        <v>45119</v>
      </c>
      <c r="B448" s="17">
        <f>'Stock Price'!E448</f>
        <v>134.97999999999999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440.6</v>
      </c>
      <c r="L448" s="18">
        <v>62.28</v>
      </c>
      <c r="M448" s="18">
        <v>158.08000000000001</v>
      </c>
      <c r="O448" s="19">
        <f ca="1">IF('Stock Price'!$I$11="OK",B448/INDEX(B$5:B$1258,'Stock Price'!$I$9)-1,"")</f>
        <v>0.23258149940644679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0.9079374702290739</v>
      </c>
      <c r="Y448" s="19">
        <f ca="1">IF('Stock Price'!$I$11="OK",L448/INDEX(L$5:L$1258,'Stock Price'!$I$9)-1,"")</f>
        <v>5.2916314454775959E-2</v>
      </c>
      <c r="Z448" s="19">
        <f ca="1">IF('Stock Price'!$I$11="OK",M448/INDEX(M$5:M$1258,'Stock Price'!$I$9)-1,"")</f>
        <v>-9.3996741446296106E-3</v>
      </c>
    </row>
    <row r="449" spans="1:26" x14ac:dyDescent="0.2">
      <c r="A449" s="16">
        <f>'Stock Price'!A449</f>
        <v>45120</v>
      </c>
      <c r="B449" s="17">
        <f>'Stock Price'!E449</f>
        <v>133.59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434.7</v>
      </c>
      <c r="L449" s="18">
        <v>62.28</v>
      </c>
      <c r="M449" s="18">
        <v>158.81</v>
      </c>
      <c r="O449" s="19">
        <f ca="1">IF('Stock Price'!$I$11="OK",B449/INDEX(B$5:B$1258,'Stock Price'!$I$9)-1,"")</f>
        <v>0.21988859464889043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0.88238860260685037</v>
      </c>
      <c r="Y449" s="19">
        <f ca="1">IF('Stock Price'!$I$11="OK",L449/INDEX(L$5:L$1258,'Stock Price'!$I$9)-1,"")</f>
        <v>5.2916314454775959E-2</v>
      </c>
      <c r="Z449" s="19">
        <f ca="1">IF('Stock Price'!$I$11="OK",M449/INDEX(M$5:M$1258,'Stock Price'!$I$9)-1,"")</f>
        <v>-4.8251660609099911E-3</v>
      </c>
    </row>
    <row r="450" spans="1:26" x14ac:dyDescent="0.2">
      <c r="A450" s="16">
        <f>'Stock Price'!A450</f>
        <v>45121</v>
      </c>
      <c r="B450" s="17">
        <f>'Stock Price'!E450</f>
        <v>136.01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449.46</v>
      </c>
      <c r="L450" s="18">
        <v>61.94</v>
      </c>
      <c r="M450" s="18">
        <v>159.87</v>
      </c>
      <c r="O450" s="19">
        <f ca="1">IF('Stock Price'!$I$11="OK",B450/INDEX(B$5:B$1258,'Stock Price'!$I$9)-1,"")</f>
        <v>0.24198703314765768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0.94630407482786971</v>
      </c>
      <c r="Y450" s="19">
        <f ca="1">IF('Stock Price'!$I$11="OK",L450/INDEX(L$5:L$1258,'Stock Price'!$I$9)-1,"")</f>
        <v>4.7168216398985718E-2</v>
      </c>
      <c r="Z450" s="19">
        <f ca="1">IF('Stock Price'!$I$11="OK",M450/INDEX(M$5:M$1258,'Stock Price'!$I$9)-1,"")</f>
        <v>1.817270334628418E-3</v>
      </c>
    </row>
    <row r="451" spans="1:26" x14ac:dyDescent="0.2">
      <c r="A451" s="16">
        <f>'Stock Price'!A451</f>
        <v>45124</v>
      </c>
      <c r="B451" s="17">
        <f>'Stock Price'!E451</f>
        <v>134.83000000000001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447.14</v>
      </c>
      <c r="L451" s="18">
        <v>61.85</v>
      </c>
      <c r="M451" s="18">
        <v>159.07</v>
      </c>
      <c r="O451" s="19">
        <f ca="1">IF('Stock Price'!$I$11="OK",B451/INDEX(B$5:B$1258,'Stock Price'!$I$9)-1,"")</f>
        <v>0.23121176148296962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0.9362577404408261</v>
      </c>
      <c r="Y451" s="19">
        <f ca="1">IF('Stock Price'!$I$11="OK",L451/INDEX(L$5:L$1258,'Stock Price'!$I$9)-1,"")</f>
        <v>4.5646661031276459E-2</v>
      </c>
      <c r="Z451" s="19">
        <f ca="1">IF('Stock Price'!$I$11="OK",M451/INDEX(M$5:M$1258,'Stock Price'!$I$9)-1,"")</f>
        <v>-3.1958892091742408E-3</v>
      </c>
    </row>
    <row r="452" spans="1:26" x14ac:dyDescent="0.2">
      <c r="A452" s="16">
        <f>'Stock Price'!A452</f>
        <v>45125</v>
      </c>
      <c r="B452" s="17">
        <f>'Stock Price'!E452</f>
        <v>136.58000000000001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451.2</v>
      </c>
      <c r="L452" s="18">
        <v>62</v>
      </c>
      <c r="M452" s="18">
        <v>159.06</v>
      </c>
      <c r="O452" s="19">
        <f ca="1">IF('Stock Price'!$I$11="OK",B452/INDEX(B$5:B$1258,'Stock Price'!$I$9)-1,"")</f>
        <v>0.24719203725687167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0.95383882561815247</v>
      </c>
      <c r="Y452" s="19">
        <f ca="1">IF('Stock Price'!$I$11="OK",L452/INDEX(L$5:L$1258,'Stock Price'!$I$9)-1,"")</f>
        <v>4.8182586644125225E-2</v>
      </c>
      <c r="Z452" s="19">
        <f ca="1">IF('Stock Price'!$I$11="OK",M452/INDEX(M$5:M$1258,'Stock Price'!$I$9)-1,"")</f>
        <v>-3.2585537034717227E-3</v>
      </c>
    </row>
    <row r="453" spans="1:26" x14ac:dyDescent="0.2">
      <c r="A453" s="16">
        <f>'Stock Price'!A453</f>
        <v>45126</v>
      </c>
      <c r="B453" s="17">
        <f>'Stock Price'!E453</f>
        <v>137.68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453.56</v>
      </c>
      <c r="L453" s="18">
        <v>62.06</v>
      </c>
      <c r="M453" s="18">
        <v>158.74</v>
      </c>
      <c r="O453" s="19">
        <f ca="1">IF('Stock Price'!$I$11="OK",B453/INDEX(B$5:B$1258,'Stock Price'!$I$9)-1,"")</f>
        <v>0.25723678202903844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0.96405837266704197</v>
      </c>
      <c r="Y453" s="19">
        <f ca="1">IF('Stock Price'!$I$11="OK",L453/INDEX(L$5:L$1258,'Stock Price'!$I$9)-1,"")</f>
        <v>4.9196956889264731E-2</v>
      </c>
      <c r="Z453" s="19">
        <f ca="1">IF('Stock Price'!$I$11="OK",M453/INDEX(M$5:M$1258,'Stock Price'!$I$9)-1,"")</f>
        <v>-5.2638175209925864E-3</v>
      </c>
    </row>
    <row r="454" spans="1:26" x14ac:dyDescent="0.2">
      <c r="A454" s="16">
        <f>'Stock Price'!A454</f>
        <v>45127</v>
      </c>
      <c r="B454" s="17">
        <f>'Stock Price'!E454</f>
        <v>142.19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463.82</v>
      </c>
      <c r="L454" s="18">
        <v>63.77</v>
      </c>
      <c r="M454" s="18">
        <v>168.38</v>
      </c>
      <c r="O454" s="19">
        <f ca="1">IF('Stock Price'!$I$11="OK",B454/INDEX(B$5:B$1258,'Stock Price'!$I$9)-1,"")</f>
        <v>0.29842023559492281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1.0084874204304333</v>
      </c>
      <c r="Y454" s="19">
        <f ca="1">IF('Stock Price'!$I$11="OK",L454/INDEX(L$5:L$1258,'Stock Price'!$I$9)-1,"")</f>
        <v>7.8106508875739777E-2</v>
      </c>
      <c r="Z454" s="19">
        <f ca="1">IF('Stock Price'!$I$11="OK",M454/INDEX(M$5:M$1258,'Stock Price'!$I$9)-1,"")</f>
        <v>5.5144754981827138E-2</v>
      </c>
    </row>
    <row r="455" spans="1:26" x14ac:dyDescent="0.2">
      <c r="A455" s="16">
        <f>'Stock Price'!A455</f>
        <v>45128</v>
      </c>
      <c r="B455" s="17">
        <f>'Stock Price'!E455</f>
        <v>143.74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462.04</v>
      </c>
      <c r="L455" s="18">
        <v>64.680000000000007</v>
      </c>
      <c r="M455" s="18">
        <v>170.19</v>
      </c>
      <c r="O455" s="19">
        <f ca="1">IF('Stock Price'!$I$11="OK",B455/INDEX(B$5:B$1258,'Stock Price'!$I$9)-1,"")</f>
        <v>0.31257419413752174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1.0007794569783051</v>
      </c>
      <c r="Y455" s="19">
        <f ca="1">IF('Stock Price'!$I$11="OK",L455/INDEX(L$5:L$1258,'Stock Price'!$I$9)-1,"")</f>
        <v>9.3491124260355107E-2</v>
      </c>
      <c r="Z455" s="19">
        <f ca="1">IF('Stock Price'!$I$11="OK",M455/INDEX(M$5:M$1258,'Stock Price'!$I$9)-1,"")</f>
        <v>6.6487028449680352E-2</v>
      </c>
    </row>
    <row r="456" spans="1:26" x14ac:dyDescent="0.2">
      <c r="A456" s="16">
        <f>'Stock Price'!A456</f>
        <v>45131</v>
      </c>
      <c r="B456" s="17">
        <f>'Stock Price'!E456</f>
        <v>143.18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459.32</v>
      </c>
      <c r="L456" s="18">
        <v>64.73</v>
      </c>
      <c r="M456" s="18">
        <v>171.08</v>
      </c>
      <c r="O456" s="19">
        <f ca="1">IF('Stock Price'!$I$11="OK",B456/INDEX(B$5:B$1258,'Stock Price'!$I$9)-1,"")</f>
        <v>0.30746050588987317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0.98900099597280544</v>
      </c>
      <c r="Y456" s="19">
        <f ca="1">IF('Stock Price'!$I$11="OK",L456/INDEX(L$5:L$1258,'Stock Price'!$I$9)-1,"")</f>
        <v>9.4336432797971437E-2</v>
      </c>
      <c r="Z456" s="19">
        <f ca="1">IF('Stock Price'!$I$11="OK",M456/INDEX(M$5:M$1258,'Stock Price'!$I$9)-1,"")</f>
        <v>7.206416844216057E-2</v>
      </c>
    </row>
    <row r="457" spans="1:26" x14ac:dyDescent="0.2">
      <c r="A457" s="16">
        <f>'Stock Price'!A457</f>
        <v>45132</v>
      </c>
      <c r="B457" s="17">
        <f>'Stock Price'!E457</f>
        <v>141.63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457.54</v>
      </c>
      <c r="L457" s="18">
        <v>63.77</v>
      </c>
      <c r="M457" s="18">
        <v>172.39</v>
      </c>
      <c r="O457" s="19">
        <f ca="1">IF('Stock Price'!$I$11="OK",B457/INDEX(B$5:B$1258,'Stock Price'!$I$9)-1,"")</f>
        <v>0.29330654734727402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0.98129303252067723</v>
      </c>
      <c r="Y457" s="19">
        <f ca="1">IF('Stock Price'!$I$11="OK",L457/INDEX(L$5:L$1258,'Stock Price'!$I$9)-1,"")</f>
        <v>7.8106508875739777E-2</v>
      </c>
      <c r="Z457" s="19">
        <f ca="1">IF('Stock Price'!$I$11="OK",M457/INDEX(M$5:M$1258,'Stock Price'!$I$9)-1,"")</f>
        <v>8.0273217195137025E-2</v>
      </c>
    </row>
    <row r="458" spans="1:26" x14ac:dyDescent="0.2">
      <c r="A458" s="16">
        <f>'Stock Price'!A458</f>
        <v>45133</v>
      </c>
      <c r="B458" s="17">
        <f>'Stock Price'!E458</f>
        <v>141.9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453.59</v>
      </c>
      <c r="L458" s="18">
        <v>63.41</v>
      </c>
      <c r="M458" s="18">
        <v>172.72</v>
      </c>
      <c r="O458" s="19">
        <f ca="1">IF('Stock Price'!$I$11="OK",B458/INDEX(B$5:B$1258,'Stock Price'!$I$9)-1,"")</f>
        <v>0.29577207560953345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0.964188282163426</v>
      </c>
      <c r="Y458" s="19">
        <f ca="1">IF('Stock Price'!$I$11="OK",L458/INDEX(L$5:L$1258,'Stock Price'!$I$9)-1,"")</f>
        <v>7.2020287404902739E-2</v>
      </c>
      <c r="Z458" s="19">
        <f ca="1">IF('Stock Price'!$I$11="OK",M458/INDEX(M$5:M$1258,'Stock Price'!$I$9)-1,"")</f>
        <v>8.2341145506955593E-2</v>
      </c>
    </row>
    <row r="459" spans="1:26" x14ac:dyDescent="0.2">
      <c r="A459" s="16">
        <f>'Stock Price'!A459</f>
        <v>45134</v>
      </c>
      <c r="B459" s="17">
        <f>'Stock Price'!E459</f>
        <v>148.85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454.99</v>
      </c>
      <c r="L459" s="18">
        <v>60.73</v>
      </c>
      <c r="M459" s="18">
        <v>173.69</v>
      </c>
      <c r="O459" s="19">
        <f ca="1">IF('Stock Price'!$I$11="OK",B459/INDEX(B$5:B$1258,'Stock Price'!$I$9)-1,"")</f>
        <v>0.35923659939731523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0.97025072532802148</v>
      </c>
      <c r="Y459" s="19">
        <f ca="1">IF('Stock Price'!$I$11="OK",L459/INDEX(L$5:L$1258,'Stock Price'!$I$9)-1,"")</f>
        <v>2.6711749788672856E-2</v>
      </c>
      <c r="Z459" s="19">
        <f ca="1">IF('Stock Price'!$I$11="OK",M459/INDEX(M$5:M$1258,'Stock Price'!$I$9)-1,"")</f>
        <v>8.841960145381611E-2</v>
      </c>
    </row>
    <row r="460" spans="1:26" x14ac:dyDescent="0.2">
      <c r="A460" s="16">
        <f>'Stock Price'!A460</f>
        <v>45135</v>
      </c>
      <c r="B460" s="17">
        <f>'Stock Price'!E460</f>
        <v>150.85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458.48</v>
      </c>
      <c r="L460" s="18">
        <v>61.41</v>
      </c>
      <c r="M460" s="18">
        <v>174.48</v>
      </c>
      <c r="O460" s="19">
        <f ca="1">IF('Stock Price'!$I$11="OK",B460/INDEX(B$5:B$1258,'Stock Price'!$I$9)-1,"")</f>
        <v>0.37749977171034588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0.98536353007404842</v>
      </c>
      <c r="Y460" s="19">
        <f ca="1">IF('Stock Price'!$I$11="OK",L460/INDEX(L$5:L$1258,'Stock Price'!$I$9)-1,"")</f>
        <v>3.8207945900253559E-2</v>
      </c>
      <c r="Z460" s="19">
        <f ca="1">IF('Stock Price'!$I$11="OK",M460/INDEX(M$5:M$1258,'Stock Price'!$I$9)-1,"")</f>
        <v>9.3370096503321065E-2</v>
      </c>
    </row>
    <row r="461" spans="1:26" x14ac:dyDescent="0.2">
      <c r="A461" s="16">
        <f>'Stock Price'!A461</f>
        <v>45138</v>
      </c>
      <c r="B461" s="17">
        <f>'Stock Price'!E461</f>
        <v>149.58000000000001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454.55</v>
      </c>
      <c r="L461" s="18">
        <v>62.19</v>
      </c>
      <c r="M461" s="18">
        <v>167.53</v>
      </c>
      <c r="O461" s="19">
        <f ca="1">IF('Stock Price'!$I$11="OK",B461/INDEX(B$5:B$1258,'Stock Price'!$I$9)-1,"")</f>
        <v>0.36590265729157156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0.96834538604772002</v>
      </c>
      <c r="Y461" s="19">
        <f ca="1">IF('Stock Price'!$I$11="OK",L461/INDEX(L$5:L$1258,'Stock Price'!$I$9)-1,"")</f>
        <v>5.1394759087066699E-2</v>
      </c>
      <c r="Z461" s="19">
        <f ca="1">IF('Stock Price'!$I$11="OK",M461/INDEX(M$5:M$1258,'Stock Price'!$I$9)-1,"")</f>
        <v>4.9818272966537069E-2</v>
      </c>
    </row>
    <row r="462" spans="1:26" x14ac:dyDescent="0.2">
      <c r="A462" s="16">
        <f>'Stock Price'!A462</f>
        <v>45139</v>
      </c>
      <c r="B462" s="17">
        <f>'Stock Price'!E462</f>
        <v>148.54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453.09</v>
      </c>
      <c r="L462" s="18">
        <v>61.53</v>
      </c>
      <c r="M462" s="18">
        <v>168.89</v>
      </c>
      <c r="O462" s="19">
        <f ca="1">IF('Stock Price'!$I$11="OK",B462/INDEX(B$5:B$1258,'Stock Price'!$I$9)-1,"")</f>
        <v>0.35640580768879548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0.96202312389035627</v>
      </c>
      <c r="Y462" s="19">
        <f ca="1">IF('Stock Price'!$I$11="OK",L462/INDEX(L$5:L$1258,'Stock Price'!$I$9)-1,"")</f>
        <v>4.0236686390532572E-2</v>
      </c>
      <c r="Z462" s="19">
        <f ca="1">IF('Stock Price'!$I$11="OK",M462/INDEX(M$5:M$1258,'Stock Price'!$I$9)-1,"")</f>
        <v>5.8340644191001267E-2</v>
      </c>
    </row>
    <row r="463" spans="1:26" x14ac:dyDescent="0.2">
      <c r="A463" s="16">
        <f>'Stock Price'!A463</f>
        <v>45140</v>
      </c>
      <c r="B463" s="17">
        <f>'Stock Price'!E463</f>
        <v>149.38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454.48</v>
      </c>
      <c r="L463" s="18">
        <v>61.75</v>
      </c>
      <c r="M463" s="18">
        <v>169.91</v>
      </c>
      <c r="O463" s="19">
        <f ca="1">IF('Stock Price'!$I$11="OK",B463/INDEX(B$5:B$1258,'Stock Price'!$I$9)-1,"")</f>
        <v>0.36407634006026846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0.96804226388949033</v>
      </c>
      <c r="Y463" s="19">
        <f ca="1">IF('Stock Price'!$I$11="OK",L463/INDEX(L$5:L$1258,'Stock Price'!$I$9)-1,"")</f>
        <v>4.3956043956044022E-2</v>
      </c>
      <c r="Z463" s="19">
        <f ca="1">IF('Stock Price'!$I$11="OK",M463/INDEX(M$5:M$1258,'Stock Price'!$I$9)-1,"")</f>
        <v>6.4732422609349527E-2</v>
      </c>
    </row>
    <row r="464" spans="1:26" x14ac:dyDescent="0.2">
      <c r="A464" s="16">
        <f>'Stock Price'!A464</f>
        <v>45141</v>
      </c>
      <c r="B464" s="17">
        <f>'Stock Price'!E464</f>
        <v>149.05000000000001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449.16</v>
      </c>
      <c r="L464" s="18">
        <v>61.23</v>
      </c>
      <c r="M464" s="18">
        <v>170.64</v>
      </c>
      <c r="O464" s="19">
        <f ca="1">IF('Stock Price'!$I$11="OK",B464/INDEX(B$5:B$1258,'Stock Price'!$I$9)-1,"")</f>
        <v>0.36106291662861834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0.94500497986402809</v>
      </c>
      <c r="Y464" s="19">
        <f ca="1">IF('Stock Price'!$I$11="OK",L464/INDEX(L$5:L$1258,'Stock Price'!$I$9)-1,"")</f>
        <v>3.516483516483504E-2</v>
      </c>
      <c r="Z464" s="19">
        <f ca="1">IF('Stock Price'!$I$11="OK",M464/INDEX(M$5:M$1258,'Stock Price'!$I$9)-1,"")</f>
        <v>6.9306930693069146E-2</v>
      </c>
    </row>
    <row r="465" spans="1:26" x14ac:dyDescent="0.2">
      <c r="A465" s="16">
        <f>'Stock Price'!A465</f>
        <v>45142</v>
      </c>
      <c r="B465" s="17">
        <f>'Stock Price'!E465</f>
        <v>147.72999999999999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449.49</v>
      </c>
      <c r="L465" s="18">
        <v>60.49</v>
      </c>
      <c r="M465" s="18">
        <v>169.04</v>
      </c>
      <c r="O465" s="19">
        <f ca="1">IF('Stock Price'!$I$11="OK",B465/INDEX(B$5:B$1258,'Stock Price'!$I$9)-1,"")</f>
        <v>0.34900922290201786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0.94643398432425418</v>
      </c>
      <c r="Y465" s="19">
        <f ca="1">IF('Stock Price'!$I$11="OK",L465/INDEX(L$5:L$1258,'Stock Price'!$I$9)-1,"")</f>
        <v>2.2654268808115052E-2</v>
      </c>
      <c r="Z465" s="19">
        <f ca="1">IF('Stock Price'!$I$11="OK",M465/INDEX(M$5:M$1258,'Stock Price'!$I$9)-1,"")</f>
        <v>5.9280611605464273E-2</v>
      </c>
    </row>
    <row r="466" spans="1:26" x14ac:dyDescent="0.2">
      <c r="A466" s="16">
        <f>'Stock Price'!A466</f>
        <v>45145</v>
      </c>
      <c r="B466" s="17">
        <f>'Stock Price'!E466</f>
        <v>150.33000000000001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454.08</v>
      </c>
      <c r="L466" s="18">
        <v>60.47</v>
      </c>
      <c r="M466" s="18">
        <v>173.1</v>
      </c>
      <c r="O466" s="19">
        <f ca="1">IF('Stock Price'!$I$11="OK",B466/INDEX(B$5:B$1258,'Stock Price'!$I$9)-1,"")</f>
        <v>0.37275134690895806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0.96631013727103432</v>
      </c>
      <c r="Y466" s="19">
        <f ca="1">IF('Stock Price'!$I$11="OK",L466/INDEX(L$5:L$1258,'Stock Price'!$I$9)-1,"")</f>
        <v>2.2316145393068476E-2</v>
      </c>
      <c r="Z466" s="19">
        <f ca="1">IF('Stock Price'!$I$11="OK",M466/INDEX(M$5:M$1258,'Stock Price'!$I$9)-1,"")</f>
        <v>8.4722396290261903E-2</v>
      </c>
    </row>
    <row r="467" spans="1:26" x14ac:dyDescent="0.2">
      <c r="A467" s="16">
        <f>'Stock Price'!A467</f>
        <v>45146</v>
      </c>
      <c r="B467" s="17">
        <f>'Stock Price'!E467</f>
        <v>149.62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521.6</v>
      </c>
      <c r="L467" s="18">
        <v>60.16</v>
      </c>
      <c r="M467" s="18">
        <v>173.18</v>
      </c>
      <c r="O467" s="19">
        <f ca="1">IF('Stock Price'!$I$11="OK",B467/INDEX(B$5:B$1258,'Stock Price'!$I$9)-1,"")</f>
        <v>0.3662679207378321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1.2586931104663752</v>
      </c>
      <c r="Y467" s="19">
        <f ca="1">IF('Stock Price'!$I$11="OK",L467/INDEX(L$5:L$1258,'Stock Price'!$I$9)-1,"")</f>
        <v>1.7075232459847767E-2</v>
      </c>
      <c r="Z467" s="19">
        <f ca="1">IF('Stock Price'!$I$11="OK",M467/INDEX(M$5:M$1258,'Stock Price'!$I$9)-1,"")</f>
        <v>8.5223712244642202E-2</v>
      </c>
    </row>
    <row r="468" spans="1:26" x14ac:dyDescent="0.2">
      <c r="A468" s="16">
        <f>'Stock Price'!A468</f>
        <v>45147</v>
      </c>
      <c r="B468" s="17">
        <f>'Stock Price'!E468</f>
        <v>150.77000000000001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526.23</v>
      </c>
      <c r="L468" s="18">
        <v>60.62</v>
      </c>
      <c r="M468" s="18">
        <v>173.07</v>
      </c>
      <c r="O468" s="19">
        <f ca="1">IF('Stock Price'!$I$11="OK",B468/INDEX(B$5:B$1258,'Stock Price'!$I$9)-1,"")</f>
        <v>0.37676924481782481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1.278742476075001</v>
      </c>
      <c r="Y468" s="19">
        <f ca="1">IF('Stock Price'!$I$11="OK",L468/INDEX(L$5:L$1258,'Stock Price'!$I$9)-1,"")</f>
        <v>2.4852071005917242E-2</v>
      </c>
      <c r="Z468" s="19">
        <f ca="1">IF('Stock Price'!$I$11="OK",M468/INDEX(M$5:M$1258,'Stock Price'!$I$9)-1,"")</f>
        <v>8.4534402807369124E-2</v>
      </c>
    </row>
    <row r="469" spans="1:26" x14ac:dyDescent="0.2">
      <c r="A469" s="16">
        <f>'Stock Price'!A469</f>
        <v>45148</v>
      </c>
      <c r="B469" s="17">
        <f>'Stock Price'!E469</f>
        <v>151.44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521.34</v>
      </c>
      <c r="L469" s="18">
        <v>61.29</v>
      </c>
      <c r="M469" s="18">
        <v>172.17</v>
      </c>
      <c r="O469" s="19">
        <f ca="1">IF('Stock Price'!$I$11="OK",B469/INDEX(B$5:B$1258,'Stock Price'!$I$9)-1,"")</f>
        <v>0.38288740754269002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1.2575672281643788</v>
      </c>
      <c r="Y469" s="19">
        <f ca="1">IF('Stock Price'!$I$11="OK",L469/INDEX(L$5:L$1258,'Stock Price'!$I$9)-1,"")</f>
        <v>3.6179205409974546E-2</v>
      </c>
      <c r="Z469" s="19">
        <f ca="1">IF('Stock Price'!$I$11="OK",M469/INDEX(M$5:M$1258,'Stock Price'!$I$9)-1,"")</f>
        <v>7.8894598320591314E-2</v>
      </c>
    </row>
    <row r="470" spans="1:26" x14ac:dyDescent="0.2">
      <c r="A470" s="16">
        <f>'Stock Price'!A470</f>
        <v>45149</v>
      </c>
      <c r="B470" s="17">
        <f>'Stock Price'!E470</f>
        <v>152.18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528.28</v>
      </c>
      <c r="L470" s="18">
        <v>61.23</v>
      </c>
      <c r="M470" s="18">
        <v>173.85</v>
      </c>
      <c r="O470" s="19">
        <f ca="1">IF('Stock Price'!$I$11="OK",B470/INDEX(B$5:B$1258,'Stock Price'!$I$9)-1,"")</f>
        <v>0.38964478129851154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1.287619624994587</v>
      </c>
      <c r="Y470" s="19">
        <f ca="1">IF('Stock Price'!$I$11="OK",L470/INDEX(L$5:L$1258,'Stock Price'!$I$9)-1,"")</f>
        <v>3.516483516483504E-2</v>
      </c>
      <c r="Z470" s="19">
        <f ca="1">IF('Stock Price'!$I$11="OK",M470/INDEX(M$5:M$1258,'Stock Price'!$I$9)-1,"")</f>
        <v>8.9422233362576709E-2</v>
      </c>
    </row>
    <row r="471" spans="1:26" x14ac:dyDescent="0.2">
      <c r="A471" s="16">
        <f>'Stock Price'!A471</f>
        <v>45152</v>
      </c>
      <c r="B471" s="17">
        <f>'Stock Price'!E471</f>
        <v>152.27000000000001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538</v>
      </c>
      <c r="L471" s="18">
        <v>61.62</v>
      </c>
      <c r="M471" s="18">
        <v>173.44</v>
      </c>
      <c r="O471" s="19">
        <f ca="1">IF('Stock Price'!$I$11="OK",B471/INDEX(B$5:B$1258,'Stock Price'!$I$9)-1,"")</f>
        <v>0.39046662405259802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1.3297103018230634</v>
      </c>
      <c r="Y471" s="19">
        <f ca="1">IF('Stock Price'!$I$11="OK",L471/INDEX(L$5:L$1258,'Stock Price'!$I$9)-1,"")</f>
        <v>4.1758241758241832E-2</v>
      </c>
      <c r="Z471" s="19">
        <f ca="1">IF('Stock Price'!$I$11="OK",M471/INDEX(M$5:M$1258,'Stock Price'!$I$9)-1,"")</f>
        <v>8.6852989096377842E-2</v>
      </c>
    </row>
    <row r="472" spans="1:26" x14ac:dyDescent="0.2">
      <c r="A472" s="16">
        <f>'Stock Price'!A472</f>
        <v>45153</v>
      </c>
      <c r="B472" s="17">
        <f>'Stock Price'!E472</f>
        <v>152.12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546.62</v>
      </c>
      <c r="L472" s="18">
        <v>61.75</v>
      </c>
      <c r="M472" s="18">
        <v>172.94</v>
      </c>
      <c r="O472" s="19">
        <f ca="1">IF('Stock Price'!$I$11="OK",B472/INDEX(B$5:B$1258,'Stock Price'!$I$9)-1,"")</f>
        <v>0.38909688612912063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1.3670376304507861</v>
      </c>
      <c r="Y472" s="19">
        <f ca="1">IF('Stock Price'!$I$11="OK",L472/INDEX(L$5:L$1258,'Stock Price'!$I$9)-1,"")</f>
        <v>4.3956043956044022E-2</v>
      </c>
      <c r="Z472" s="19">
        <f ca="1">IF('Stock Price'!$I$11="OK",M472/INDEX(M$5:M$1258,'Stock Price'!$I$9)-1,"")</f>
        <v>8.3719764381501305E-2</v>
      </c>
    </row>
    <row r="473" spans="1:26" x14ac:dyDescent="0.2">
      <c r="A473" s="16">
        <f>'Stock Price'!A473</f>
        <v>45154</v>
      </c>
      <c r="B473" s="17">
        <f>'Stock Price'!E473</f>
        <v>151.55000000000001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546.24</v>
      </c>
      <c r="L473" s="18">
        <v>60.93</v>
      </c>
      <c r="M473" s="18">
        <v>172.39</v>
      </c>
      <c r="O473" s="19">
        <f ca="1">IF('Stock Price'!$I$11="OK",B473/INDEX(B$5:B$1258,'Stock Price'!$I$9)-1,"")</f>
        <v>0.38389188201990687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1.3653921101632527</v>
      </c>
      <c r="Y473" s="19">
        <f ca="1">IF('Stock Price'!$I$11="OK",L473/INDEX(L$5:L$1258,'Stock Price'!$I$9)-1,"")</f>
        <v>3.009298393913773E-2</v>
      </c>
      <c r="Z473" s="19">
        <f ca="1">IF('Stock Price'!$I$11="OK",M473/INDEX(M$5:M$1258,'Stock Price'!$I$9)-1,"")</f>
        <v>8.0273217195137025E-2</v>
      </c>
    </row>
    <row r="474" spans="1:26" x14ac:dyDescent="0.2">
      <c r="A474" s="16">
        <f>'Stock Price'!A474</f>
        <v>45155</v>
      </c>
      <c r="B474" s="17">
        <f>'Stock Price'!E474</f>
        <v>150.02000000000001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537.66</v>
      </c>
      <c r="L474" s="18">
        <v>62.15</v>
      </c>
      <c r="M474" s="18">
        <v>174.01</v>
      </c>
      <c r="O474" s="19">
        <f ca="1">IF('Stock Price'!$I$11="OK",B474/INDEX(B$5:B$1258,'Stock Price'!$I$9)-1,"")</f>
        <v>0.36992055520043832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1.3282379941973756</v>
      </c>
      <c r="Y474" s="19">
        <f ca="1">IF('Stock Price'!$I$11="OK",L474/INDEX(L$5:L$1258,'Stock Price'!$I$9)-1,"")</f>
        <v>5.0718512256973769E-2</v>
      </c>
      <c r="Z474" s="19">
        <f ca="1">IF('Stock Price'!$I$11="OK",M474/INDEX(M$5:M$1258,'Stock Price'!$I$9)-1,"")</f>
        <v>9.0424865271337085E-2</v>
      </c>
    </row>
    <row r="475" spans="1:26" x14ac:dyDescent="0.2">
      <c r="A475" s="16">
        <f>'Stock Price'!A475</f>
        <v>45156</v>
      </c>
      <c r="B475" s="17">
        <f>'Stock Price'!E475</f>
        <v>150.13999999999999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546.42999999999995</v>
      </c>
      <c r="L475" s="18">
        <v>62.06</v>
      </c>
      <c r="M475" s="18">
        <v>172.49</v>
      </c>
      <c r="O475" s="19">
        <f ca="1">IF('Stock Price'!$I$11="OK",B475/INDEX(B$5:B$1258,'Stock Price'!$I$9)-1,"")</f>
        <v>0.37101634553921992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1.3662148703070192</v>
      </c>
      <c r="Y475" s="19">
        <f ca="1">IF('Stock Price'!$I$11="OK",L475/INDEX(L$5:L$1258,'Stock Price'!$I$9)-1,"")</f>
        <v>4.9196956889264731E-2</v>
      </c>
      <c r="Z475" s="19">
        <f ca="1">IF('Stock Price'!$I$11="OK",M475/INDEX(M$5:M$1258,'Stock Price'!$I$9)-1,"")</f>
        <v>8.089986213811251E-2</v>
      </c>
    </row>
    <row r="476" spans="1:26" x14ac:dyDescent="0.2">
      <c r="A476" s="16">
        <f>'Stock Price'!A476</f>
        <v>45159</v>
      </c>
      <c r="B476" s="17">
        <f>'Stock Price'!E476</f>
        <v>150.16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550.04999999999995</v>
      </c>
      <c r="L476" s="18">
        <v>61.91</v>
      </c>
      <c r="M476" s="18">
        <v>167.35</v>
      </c>
      <c r="O476" s="19">
        <f ca="1">IF('Stock Price'!$I$11="OK",B476/INDEX(B$5:B$1258,'Stock Price'!$I$9)-1,"")</f>
        <v>0.37119897726235029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1.3818906162040441</v>
      </c>
      <c r="Y476" s="19">
        <f ca="1">IF('Stock Price'!$I$11="OK",L476/INDEX(L$5:L$1258,'Stock Price'!$I$9)-1,"")</f>
        <v>4.6661031276415965E-2</v>
      </c>
      <c r="Z476" s="19">
        <f ca="1">IF('Stock Price'!$I$11="OK",M476/INDEX(M$5:M$1258,'Stock Price'!$I$9)-1,"")</f>
        <v>4.8690312069181507E-2</v>
      </c>
    </row>
    <row r="477" spans="1:26" x14ac:dyDescent="0.2">
      <c r="A477" s="16">
        <f>'Stock Price'!A477</f>
        <v>45160</v>
      </c>
      <c r="B477" s="17">
        <f>'Stock Price'!E477</f>
        <v>148.24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553.66</v>
      </c>
      <c r="L477" s="18">
        <v>61.86</v>
      </c>
      <c r="M477" s="18">
        <v>166.02</v>
      </c>
      <c r="O477" s="19">
        <f ca="1">IF('Stock Price'!$I$11="OK",B477/INDEX(B$5:B$1258,'Stock Price'!$I$9)-1,"")</f>
        <v>0.35366633184184093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1.397523058935608</v>
      </c>
      <c r="Y477" s="19">
        <f ca="1">IF('Stock Price'!$I$11="OK",L477/INDEX(L$5:L$1258,'Stock Price'!$I$9)-1,"")</f>
        <v>4.5815722738799636E-2</v>
      </c>
      <c r="Z477" s="19">
        <f ca="1">IF('Stock Price'!$I$11="OK",M477/INDEX(M$5:M$1258,'Stock Price'!$I$9)-1,"")</f>
        <v>4.0355934327609866E-2</v>
      </c>
    </row>
    <row r="478" spans="1:26" x14ac:dyDescent="0.2">
      <c r="A478" s="16">
        <f>'Stock Price'!A478</f>
        <v>45161</v>
      </c>
      <c r="B478" s="17">
        <f>'Stock Price'!E478</f>
        <v>147.08000000000001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553.36</v>
      </c>
      <c r="L478" s="18">
        <v>61.56</v>
      </c>
      <c r="M478" s="18">
        <v>163.19999999999999</v>
      </c>
      <c r="O478" s="19">
        <f ca="1">IF('Stock Price'!$I$11="OK",B478/INDEX(B$5:B$1258,'Stock Price'!$I$9)-1,"")</f>
        <v>0.34307369190028303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1.3962239639717664</v>
      </c>
      <c r="Y478" s="19">
        <f ca="1">IF('Stock Price'!$I$11="OK",L478/INDEX(L$5:L$1258,'Stock Price'!$I$9)-1,"")</f>
        <v>4.0743871513102325E-2</v>
      </c>
      <c r="Z478" s="19">
        <f ca="1">IF('Stock Price'!$I$11="OK",M478/INDEX(M$5:M$1258,'Stock Price'!$I$9)-1,"")</f>
        <v>2.2684546935705985E-2</v>
      </c>
    </row>
    <row r="479" spans="1:26" x14ac:dyDescent="0.2">
      <c r="A479" s="16">
        <f>'Stock Price'!A479</f>
        <v>45162</v>
      </c>
      <c r="B479" s="17">
        <f>'Stock Price'!E479</f>
        <v>146.63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548</v>
      </c>
      <c r="L479" s="18">
        <v>61.28</v>
      </c>
      <c r="M479" s="18">
        <v>165.09</v>
      </c>
      <c r="O479" s="19">
        <f ca="1">IF('Stock Price'!$I$11="OK",B479/INDEX(B$5:B$1258,'Stock Price'!$I$9)-1,"")</f>
        <v>0.33896447812985109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1.3730134672844585</v>
      </c>
      <c r="Y479" s="19">
        <f ca="1">IF('Stock Price'!$I$11="OK",L479/INDEX(L$5:L$1258,'Stock Price'!$I$9)-1,"")</f>
        <v>3.6010143702451369E-2</v>
      </c>
      <c r="Z479" s="19">
        <f ca="1">IF('Stock Price'!$I$11="OK",M479/INDEX(M$5:M$1258,'Stock Price'!$I$9)-1,"")</f>
        <v>3.4528136357939498E-2</v>
      </c>
    </row>
    <row r="480" spans="1:26" x14ac:dyDescent="0.2">
      <c r="A480" s="16">
        <f>'Stock Price'!A480</f>
        <v>45163</v>
      </c>
      <c r="B480" s="17">
        <f>'Stock Price'!E480</f>
        <v>146.69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553.65</v>
      </c>
      <c r="L480" s="18">
        <v>62.08</v>
      </c>
      <c r="M480" s="18">
        <v>166.25</v>
      </c>
      <c r="O480" s="19">
        <f ca="1">IF('Stock Price'!$I$11="OK",B480/INDEX(B$5:B$1258,'Stock Price'!$I$9)-1,"")</f>
        <v>0.339512373299242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1.3974797557701466</v>
      </c>
      <c r="Y480" s="19">
        <f ca="1">IF('Stock Price'!$I$11="OK",L480/INDEX(L$5:L$1258,'Stock Price'!$I$9)-1,"")</f>
        <v>4.9535080304311085E-2</v>
      </c>
      <c r="Z480" s="19">
        <f ca="1">IF('Stock Price'!$I$11="OK",M480/INDEX(M$5:M$1258,'Stock Price'!$I$9)-1,"")</f>
        <v>4.1797217696453171E-2</v>
      </c>
    </row>
    <row r="481" spans="1:26" x14ac:dyDescent="0.2">
      <c r="A481" s="16">
        <f>'Stock Price'!A481</f>
        <v>45166</v>
      </c>
      <c r="B481" s="17">
        <f>'Stock Price'!E481</f>
        <v>147.43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553.91999999999996</v>
      </c>
      <c r="L481" s="18">
        <v>61.64</v>
      </c>
      <c r="M481" s="18">
        <v>164.29</v>
      </c>
      <c r="O481" s="19">
        <f ca="1">IF('Stock Price'!$I$11="OK",B481/INDEX(B$5:B$1258,'Stock Price'!$I$9)-1,"")</f>
        <v>0.34626974705506353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1.3986489412376044</v>
      </c>
      <c r="Y481" s="19">
        <f ca="1">IF('Stock Price'!$I$11="OK",L481/INDEX(L$5:L$1258,'Stock Price'!$I$9)-1,"")</f>
        <v>4.2096365173288186E-2</v>
      </c>
      <c r="Z481" s="19">
        <f ca="1">IF('Stock Price'!$I$11="OK",M481/INDEX(M$5:M$1258,'Stock Price'!$I$9)-1,"")</f>
        <v>2.9514976814136951E-2</v>
      </c>
    </row>
    <row r="482" spans="1:26" x14ac:dyDescent="0.2">
      <c r="A482" s="16">
        <f>'Stock Price'!A482</f>
        <v>45167</v>
      </c>
      <c r="B482" s="17">
        <f>'Stock Price'!E482</f>
        <v>147.59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553.9</v>
      </c>
      <c r="L482" s="18">
        <v>62.85</v>
      </c>
      <c r="M482" s="18">
        <v>164.31</v>
      </c>
      <c r="O482" s="19">
        <f ca="1">IF('Stock Price'!$I$11="OK",B482/INDEX(B$5:B$1258,'Stock Price'!$I$9)-1,"")</f>
        <v>0.34773080084010588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1.3985623349066816</v>
      </c>
      <c r="Y482" s="19">
        <f ca="1">IF('Stock Price'!$I$11="OK",L482/INDEX(L$5:L$1258,'Stock Price'!$I$9)-1,"")</f>
        <v>6.2552831783601048E-2</v>
      </c>
      <c r="Z482" s="19">
        <f ca="1">IF('Stock Price'!$I$11="OK",M482/INDEX(M$5:M$1258,'Stock Price'!$I$9)-1,"")</f>
        <v>2.9640305802732136E-2</v>
      </c>
    </row>
    <row r="483" spans="1:26" x14ac:dyDescent="0.2">
      <c r="A483" s="16">
        <f>'Stock Price'!A483</f>
        <v>45168</v>
      </c>
      <c r="B483" s="17">
        <f>'Stock Price'!E483</f>
        <v>148.32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547.99</v>
      </c>
      <c r="L483" s="18">
        <v>62.38</v>
      </c>
      <c r="M483" s="18">
        <v>163.72999999999999</v>
      </c>
      <c r="O483" s="19">
        <f ca="1">IF('Stock Price'!$I$11="OK",B483/INDEX(B$5:B$1258,'Stock Price'!$I$9)-1,"")</f>
        <v>0.354396858734362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1.3729701641189971</v>
      </c>
      <c r="Y483" s="19">
        <f ca="1">IF('Stock Price'!$I$11="OK",L483/INDEX(L$5:L$1258,'Stock Price'!$I$9)-1,"")</f>
        <v>5.4606931530008618E-2</v>
      </c>
      <c r="Z483" s="19">
        <f ca="1">IF('Stock Price'!$I$11="OK",M483/INDEX(M$5:M$1258,'Stock Price'!$I$9)-1,"")</f>
        <v>2.60057651334753E-2</v>
      </c>
    </row>
    <row r="484" spans="1:26" x14ac:dyDescent="0.2">
      <c r="A484" s="16">
        <f>'Stock Price'!A484</f>
        <v>45169</v>
      </c>
      <c r="B484" s="17">
        <f>'Stock Price'!E484</f>
        <v>146.96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554.20000000000005</v>
      </c>
      <c r="L484" s="18">
        <v>61.65</v>
      </c>
      <c r="M484" s="18">
        <v>161.68</v>
      </c>
      <c r="O484" s="19">
        <f ca="1">IF('Stock Price'!$I$11="OK",B484/INDEX(B$5:B$1258,'Stock Price'!$I$9)-1,"")</f>
        <v>0.34197790156150121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1.3998614298705236</v>
      </c>
      <c r="Y484" s="19">
        <f ca="1">IF('Stock Price'!$I$11="OK",L484/INDEX(L$5:L$1258,'Stock Price'!$I$9)-1,"")</f>
        <v>4.2265426880811585E-2</v>
      </c>
      <c r="Z484" s="19">
        <f ca="1">IF('Stock Price'!$I$11="OK",M484/INDEX(M$5:M$1258,'Stock Price'!$I$9)-1,"")</f>
        <v>1.315954380248141E-2</v>
      </c>
    </row>
    <row r="485" spans="1:26" x14ac:dyDescent="0.2">
      <c r="A485" s="16">
        <f>'Stock Price'!A485</f>
        <v>45170</v>
      </c>
      <c r="B485" s="17">
        <f>'Stock Price'!E485</f>
        <v>148.19999999999999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557.11</v>
      </c>
      <c r="L485" s="18">
        <v>62.02</v>
      </c>
      <c r="M485" s="18">
        <v>160.47999999999999</v>
      </c>
      <c r="O485" s="19">
        <f ca="1">IF('Stock Price'!$I$11="OK",B485/INDEX(B$5:B$1258,'Stock Price'!$I$9)-1,"")</f>
        <v>0.35330106839558018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1.4124626510197897</v>
      </c>
      <c r="Y485" s="19">
        <f ca="1">IF('Stock Price'!$I$11="OK",L485/INDEX(L$5:L$1258,'Stock Price'!$I$9)-1,"")</f>
        <v>4.8520710059171579E-2</v>
      </c>
      <c r="Z485" s="19">
        <f ca="1">IF('Stock Price'!$I$11="OK",M485/INDEX(M$5:M$1258,'Stock Price'!$I$9)-1,"")</f>
        <v>5.6398044867775887E-3</v>
      </c>
    </row>
    <row r="486" spans="1:26" x14ac:dyDescent="0.2">
      <c r="A486" s="16">
        <f>'Stock Price'!A486</f>
        <v>45174</v>
      </c>
      <c r="B486" s="17">
        <f>'Stock Price'!E486</f>
        <v>146.1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558.19000000000005</v>
      </c>
      <c r="L486" s="18">
        <v>60.64</v>
      </c>
      <c r="M486" s="18">
        <v>160.68</v>
      </c>
      <c r="O486" s="19">
        <f ca="1">IF('Stock Price'!$I$11="OK",B486/INDEX(B$5:B$1258,'Stock Price'!$I$9)-1,"")</f>
        <v>0.33412473746689786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1.4171393928896205</v>
      </c>
      <c r="Y486" s="19">
        <f ca="1">IF('Stock Price'!$I$11="OK",L486/INDEX(L$5:L$1258,'Stock Price'!$I$9)-1,"")</f>
        <v>2.5190194420963596E-2</v>
      </c>
      <c r="Z486" s="19">
        <f ca="1">IF('Stock Price'!$I$11="OK",M486/INDEX(M$5:M$1258,'Stock Price'!$I$9)-1,"")</f>
        <v>6.8930943727283367E-3</v>
      </c>
    </row>
    <row r="487" spans="1:26" x14ac:dyDescent="0.2">
      <c r="A487" s="16">
        <f>'Stock Price'!A487</f>
        <v>45175</v>
      </c>
      <c r="B487" s="17">
        <f>'Stock Price'!E487</f>
        <v>145.61000000000001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559.95000000000005</v>
      </c>
      <c r="L487" s="18">
        <v>59.67</v>
      </c>
      <c r="M487" s="18">
        <v>158.01</v>
      </c>
      <c r="O487" s="19">
        <f ca="1">IF('Stock Price'!$I$11="OK",B487/INDEX(B$5:B$1258,'Stock Price'!$I$9)-1,"")</f>
        <v>0.32965026025020561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1.4247607500108259</v>
      </c>
      <c r="Y487" s="19">
        <f ca="1">IF('Stock Price'!$I$11="OK",L487/INDEX(L$5:L$1258,'Stock Price'!$I$9)-1,"")</f>
        <v>8.79120879120876E-3</v>
      </c>
      <c r="Z487" s="19">
        <f ca="1">IF('Stock Price'!$I$11="OK",M487/INDEX(M$5:M$1258,'Stock Price'!$I$9)-1,"")</f>
        <v>-9.8383256047125389E-3</v>
      </c>
    </row>
    <row r="488" spans="1:26" x14ac:dyDescent="0.2">
      <c r="A488" s="16">
        <f>'Stock Price'!A488</f>
        <v>45176</v>
      </c>
      <c r="B488" s="17">
        <f>'Stock Price'!E488</f>
        <v>148.91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573.23</v>
      </c>
      <c r="L488" s="18">
        <v>59.97</v>
      </c>
      <c r="M488" s="18">
        <v>160.03</v>
      </c>
      <c r="O488" s="19">
        <f ca="1">IF('Stock Price'!$I$11="OK",B488/INDEX(B$5:B$1258,'Stock Price'!$I$9)-1,"")</f>
        <v>0.35978449456670614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1.4822673537435587</v>
      </c>
      <c r="Y488" s="19">
        <f ca="1">IF('Stock Price'!$I$11="OK",L488/INDEX(L$5:L$1258,'Stock Price'!$I$9)-1,"")</f>
        <v>1.386306001690607E-2</v>
      </c>
      <c r="Z488" s="19">
        <f ca="1">IF('Stock Price'!$I$11="OK",M488/INDEX(M$5:M$1258,'Stock Price'!$I$9)-1,"")</f>
        <v>2.8199022433887944E-3</v>
      </c>
    </row>
    <row r="489" spans="1:26" x14ac:dyDescent="0.2">
      <c r="A489" s="16">
        <f>'Stock Price'!A489</f>
        <v>45177</v>
      </c>
      <c r="B489" s="17">
        <f>'Stock Price'!E489</f>
        <v>149.02000000000001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586.46</v>
      </c>
      <c r="L489" s="18">
        <v>60.82</v>
      </c>
      <c r="M489" s="18">
        <v>160.56</v>
      </c>
      <c r="O489" s="19">
        <f ca="1">IF('Stock Price'!$I$11="OK",B489/INDEX(B$5:B$1258,'Stock Price'!$I$9)-1,"")</f>
        <v>0.36078896904392299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1.5395574416489848</v>
      </c>
      <c r="Y489" s="19">
        <f ca="1">IF('Stock Price'!$I$11="OK",L489/INDEX(L$5:L$1258,'Stock Price'!$I$9)-1,"")</f>
        <v>2.8233305156382116E-2</v>
      </c>
      <c r="Z489" s="19">
        <f ca="1">IF('Stock Price'!$I$11="OK",M489/INDEX(M$5:M$1258,'Stock Price'!$I$9)-1,"")</f>
        <v>6.1411204411578879E-3</v>
      </c>
    </row>
    <row r="490" spans="1:26" x14ac:dyDescent="0.2">
      <c r="A490" s="16">
        <f>'Stock Price'!A490</f>
        <v>45180</v>
      </c>
      <c r="B490" s="17">
        <f>'Stock Price'!E490</f>
        <v>149.04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595.55999999999995</v>
      </c>
      <c r="L490" s="18">
        <v>60.81</v>
      </c>
      <c r="M490" s="18">
        <v>162.66</v>
      </c>
      <c r="O490" s="19">
        <f ca="1">IF('Stock Price'!$I$11="OK",B490/INDEX(B$5:B$1258,'Stock Price'!$I$9)-1,"")</f>
        <v>0.36097160076705315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1.5789633222188537</v>
      </c>
      <c r="Y490" s="19">
        <f ca="1">IF('Stock Price'!$I$11="OK",L490/INDEX(L$5:L$1258,'Stock Price'!$I$9)-1,"")</f>
        <v>2.8064243448858939E-2</v>
      </c>
      <c r="Z490" s="19">
        <f ca="1">IF('Stock Price'!$I$11="OK",M490/INDEX(M$5:M$1258,'Stock Price'!$I$9)-1,"")</f>
        <v>1.930066424363952E-2</v>
      </c>
    </row>
    <row r="491" spans="1:26" x14ac:dyDescent="0.2">
      <c r="A491" s="16">
        <f>'Stock Price'!A491</f>
        <v>45181</v>
      </c>
      <c r="B491" s="17">
        <f>'Stock Price'!E491</f>
        <v>149.27000000000001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599.29999999999995</v>
      </c>
      <c r="L491" s="18">
        <v>60.24</v>
      </c>
      <c r="M491" s="18">
        <v>163.58000000000001</v>
      </c>
      <c r="O491" s="19">
        <f ca="1">IF('Stock Price'!$I$11="OK",B491/INDEX(B$5:B$1258,'Stock Price'!$I$9)-1,"")</f>
        <v>0.36307186558305182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1.5951587061014156</v>
      </c>
      <c r="Y491" s="19">
        <f ca="1">IF('Stock Price'!$I$11="OK",L491/INDEX(L$5:L$1258,'Stock Price'!$I$9)-1,"")</f>
        <v>1.8427726120033849E-2</v>
      </c>
      <c r="Z491" s="19">
        <f ca="1">IF('Stock Price'!$I$11="OK",M491/INDEX(M$5:M$1258,'Stock Price'!$I$9)-1,"")</f>
        <v>2.5065797719012295E-2</v>
      </c>
    </row>
    <row r="492" spans="1:26" x14ac:dyDescent="0.2">
      <c r="A492" s="16">
        <f>'Stock Price'!A492</f>
        <v>45182</v>
      </c>
      <c r="B492" s="17">
        <f>'Stock Price'!E492</f>
        <v>151.16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598.88</v>
      </c>
      <c r="L492" s="18">
        <v>59.65</v>
      </c>
      <c r="M492" s="18">
        <v>163.99</v>
      </c>
      <c r="O492" s="19">
        <f ca="1">IF('Stock Price'!$I$11="OK",B492/INDEX(B$5:B$1258,'Stock Price'!$I$9)-1,"")</f>
        <v>0.38033056341886584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1.5933399731520375</v>
      </c>
      <c r="Y492" s="19">
        <f ca="1">IF('Stock Price'!$I$11="OK",L492/INDEX(L$5:L$1258,'Stock Price'!$I$9)-1,"")</f>
        <v>8.4530853761624059E-3</v>
      </c>
      <c r="Z492" s="19">
        <f ca="1">IF('Stock Price'!$I$11="OK",M492/INDEX(M$5:M$1258,'Stock Price'!$I$9)-1,"")</f>
        <v>2.7635041985211162E-2</v>
      </c>
    </row>
    <row r="493" spans="1:26" x14ac:dyDescent="0.2">
      <c r="A493" s="16">
        <f>'Stock Price'!A493</f>
        <v>45183</v>
      </c>
      <c r="B493" s="17">
        <f>'Stock Price'!E493</f>
        <v>153.63999999999999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591.61</v>
      </c>
      <c r="L493" s="18">
        <v>59.49</v>
      </c>
      <c r="M493" s="18">
        <v>163.74</v>
      </c>
      <c r="O493" s="19">
        <f ca="1">IF('Stock Price'!$I$11="OK",B493/INDEX(B$5:B$1258,'Stock Price'!$I$9)-1,"")</f>
        <v>0.40297689708702378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1.5618585718616029</v>
      </c>
      <c r="Y493" s="19">
        <f ca="1">IF('Stock Price'!$I$11="OK",L493/INDEX(L$5:L$1258,'Stock Price'!$I$9)-1,"")</f>
        <v>5.7480980557904626E-3</v>
      </c>
      <c r="Z493" s="19">
        <f ca="1">IF('Stock Price'!$I$11="OK",M493/INDEX(M$5:M$1258,'Stock Price'!$I$9)-1,"")</f>
        <v>2.6068429627772893E-2</v>
      </c>
    </row>
    <row r="494" spans="1:26" x14ac:dyDescent="0.2">
      <c r="A494" s="16">
        <f>'Stock Price'!A494</f>
        <v>45184</v>
      </c>
      <c r="B494" s="17">
        <f>'Stock Price'!E494</f>
        <v>152.12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575.66</v>
      </c>
      <c r="L494" s="18">
        <v>59.03</v>
      </c>
      <c r="M494" s="18">
        <v>161.44999999999999</v>
      </c>
      <c r="O494" s="19">
        <f ca="1">IF('Stock Price'!$I$11="OK",B494/INDEX(B$5:B$1258,'Stock Price'!$I$9)-1,"")</f>
        <v>0.38909688612912063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1.4927900229506776</v>
      </c>
      <c r="Y494" s="19">
        <f ca="1">IF('Stock Price'!$I$11="OK",L494/INDEX(L$5:L$1258,'Stock Price'!$I$9)-1,"")</f>
        <v>-2.0287404902789019E-3</v>
      </c>
      <c r="Z494" s="19">
        <f ca="1">IF('Stock Price'!$I$11="OK",M494/INDEX(M$5:M$1258,'Stock Price'!$I$9)-1,"")</f>
        <v>1.1718260433638106E-2</v>
      </c>
    </row>
    <row r="495" spans="1:26" x14ac:dyDescent="0.2">
      <c r="A495" s="16">
        <f>'Stock Price'!A495</f>
        <v>45187</v>
      </c>
      <c r="B495" s="17">
        <f>'Stock Price'!E495</f>
        <v>153.94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571.28</v>
      </c>
      <c r="L495" s="18">
        <v>58.58</v>
      </c>
      <c r="M495" s="18">
        <v>162.47</v>
      </c>
      <c r="O495" s="19">
        <f ca="1">IF('Stock Price'!$I$11="OK",B495/INDEX(B$5:B$1258,'Stock Price'!$I$9)-1,"")</f>
        <v>0.40571637293397855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1.4738232364785864</v>
      </c>
      <c r="Y495" s="19">
        <f ca="1">IF('Stock Price'!$I$11="OK",L495/INDEX(L$5:L$1258,'Stock Price'!$I$9)-1,"")</f>
        <v>-9.6365173288249784E-3</v>
      </c>
      <c r="Z495" s="19">
        <f ca="1">IF('Stock Price'!$I$11="OK",M495/INDEX(M$5:M$1258,'Stock Price'!$I$9)-1,"")</f>
        <v>1.8110038851986365E-2</v>
      </c>
    </row>
    <row r="496" spans="1:26" x14ac:dyDescent="0.2">
      <c r="A496" s="16">
        <f>'Stock Price'!A496</f>
        <v>45188</v>
      </c>
      <c r="B496" s="17">
        <f>'Stock Price'!E496</f>
        <v>153.49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574.96</v>
      </c>
      <c r="L496" s="18">
        <v>58.63</v>
      </c>
      <c r="M496" s="18">
        <v>162.19999999999999</v>
      </c>
      <c r="O496" s="19">
        <f ca="1">IF('Stock Price'!$I$11="OK",B496/INDEX(B$5:B$1258,'Stock Price'!$I$9)-1,"")</f>
        <v>0.40160715916354683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1.4897588013683802</v>
      </c>
      <c r="Y496" s="19">
        <f ca="1">IF('Stock Price'!$I$11="OK",L496/INDEX(L$5:L$1258,'Stock Price'!$I$9)-1,"")</f>
        <v>-8.79120879120876E-3</v>
      </c>
      <c r="Z496" s="19">
        <f ca="1">IF('Stock Price'!$I$11="OK",M496/INDEX(M$5:M$1258,'Stock Price'!$I$9)-1,"")</f>
        <v>1.6418097505952911E-2</v>
      </c>
    </row>
    <row r="497" spans="1:26" x14ac:dyDescent="0.2">
      <c r="A497" s="16">
        <f>'Stock Price'!A497</f>
        <v>45189</v>
      </c>
      <c r="B497" s="17">
        <f>'Stock Price'!E497</f>
        <v>153.61000000000001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569.64</v>
      </c>
      <c r="L497" s="18">
        <v>58.78</v>
      </c>
      <c r="M497" s="18">
        <v>162.91</v>
      </c>
      <c r="O497" s="19">
        <f ca="1">IF('Stock Price'!$I$11="OK",B497/INDEX(B$5:B$1258,'Stock Price'!$I$9)-1,"")</f>
        <v>0.40270294950232866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1.4667215173429176</v>
      </c>
      <c r="Y497" s="19">
        <f ca="1">IF('Stock Price'!$I$11="OK",L497/INDEX(L$5:L$1258,'Stock Price'!$I$9)-1,"")</f>
        <v>-6.2552831783601048E-3</v>
      </c>
      <c r="Z497" s="19">
        <f ca="1">IF('Stock Price'!$I$11="OK",M497/INDEX(M$5:M$1258,'Stock Price'!$I$9)-1,"")</f>
        <v>2.0867276601077789E-2</v>
      </c>
    </row>
    <row r="498" spans="1:26" x14ac:dyDescent="0.2">
      <c r="A498" s="16">
        <f>'Stock Price'!A498</f>
        <v>45190</v>
      </c>
      <c r="B498" s="17">
        <f>'Stock Price'!E498</f>
        <v>153.43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550.13</v>
      </c>
      <c r="L498" s="18">
        <v>59.08</v>
      </c>
      <c r="M498" s="18">
        <v>161.66</v>
      </c>
      <c r="O498" s="19">
        <f ca="1">IF('Stock Price'!$I$11="OK",B498/INDEX(B$5:B$1258,'Stock Price'!$I$9)-1,"")</f>
        <v>0.4010592639941557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1.3822370415277354</v>
      </c>
      <c r="Y498" s="19">
        <f ca="1">IF('Stock Price'!$I$11="OK",L498/INDEX(L$5:L$1258,'Stock Price'!$I$9)-1,"")</f>
        <v>-1.1834319526626835E-3</v>
      </c>
      <c r="Z498" s="19">
        <f ca="1">IF('Stock Price'!$I$11="OK",M498/INDEX(M$5:M$1258,'Stock Price'!$I$9)-1,"")</f>
        <v>1.3034214813886447E-2</v>
      </c>
    </row>
    <row r="499" spans="1:26" x14ac:dyDescent="0.2">
      <c r="A499" s="16">
        <f>'Stock Price'!A499</f>
        <v>45191</v>
      </c>
      <c r="B499" s="17">
        <f>'Stock Price'!E499</f>
        <v>152.74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550.54</v>
      </c>
      <c r="L499" s="18">
        <v>58.9</v>
      </c>
      <c r="M499" s="18">
        <v>160.5</v>
      </c>
      <c r="O499" s="19">
        <f ca="1">IF('Stock Price'!$I$11="OK",B499/INDEX(B$5:B$1258,'Stock Price'!$I$9)-1,"")</f>
        <v>0.39475846954616012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1.3840124713116526</v>
      </c>
      <c r="Y499" s="19">
        <f ca="1">IF('Stock Price'!$I$11="OK",L499/INDEX(L$5:L$1258,'Stock Price'!$I$9)-1,"")</f>
        <v>-4.2265426880812029E-3</v>
      </c>
      <c r="Z499" s="19">
        <f ca="1">IF('Stock Price'!$I$11="OK",M499/INDEX(M$5:M$1258,'Stock Price'!$I$9)-1,"")</f>
        <v>5.7651334753727745E-3</v>
      </c>
    </row>
    <row r="500" spans="1:26" x14ac:dyDescent="0.2">
      <c r="A500" s="16">
        <f>'Stock Price'!A500</f>
        <v>45194</v>
      </c>
      <c r="B500" s="17">
        <f>'Stock Price'!E500</f>
        <v>154.65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552.29</v>
      </c>
      <c r="L500" s="18">
        <v>59.16</v>
      </c>
      <c r="M500" s="18">
        <v>160.26</v>
      </c>
      <c r="O500" s="19">
        <f ca="1">IF('Stock Price'!$I$11="OK",B500/INDEX(B$5:B$1258,'Stock Price'!$I$9)-1,"")</f>
        <v>0.41219979910510451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1.391590525267397</v>
      </c>
      <c r="Y500" s="19">
        <f ca="1">IF('Stock Price'!$I$11="OK",L500/INDEX(L$5:L$1258,'Stock Price'!$I$9)-1,"")</f>
        <v>1.6906170752317706E-4</v>
      </c>
      <c r="Z500" s="19">
        <f ca="1">IF('Stock Price'!$I$11="OK",M500/INDEX(M$5:M$1258,'Stock Price'!$I$9)-1,"")</f>
        <v>4.261185612231877E-3</v>
      </c>
    </row>
    <row r="501" spans="1:26" x14ac:dyDescent="0.2">
      <c r="A501" s="16">
        <f>'Stock Price'!A501</f>
        <v>45195</v>
      </c>
      <c r="B501" s="17">
        <f>'Stock Price'!E501</f>
        <v>153.91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550.01</v>
      </c>
      <c r="L501" s="18">
        <v>58.54</v>
      </c>
      <c r="M501" s="18">
        <v>159.02000000000001</v>
      </c>
      <c r="O501" s="19">
        <f ca="1">IF('Stock Price'!$I$11="OK",B501/INDEX(B$5:B$1258,'Stock Price'!$I$9)-1,"")</f>
        <v>0.40544242534928299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1.3817174035421989</v>
      </c>
      <c r="Y501" s="19">
        <f ca="1">IF('Stock Price'!$I$11="OK",L501/INDEX(L$5:L$1258,'Stock Price'!$I$9)-1,"")</f>
        <v>-1.031276415891802E-2</v>
      </c>
      <c r="Z501" s="19">
        <f ca="1">IF('Stock Price'!$I$11="OK",M501/INDEX(M$5:M$1258,'Stock Price'!$I$9)-1,"")</f>
        <v>-3.5092116806617613E-3</v>
      </c>
    </row>
    <row r="502" spans="1:26" x14ac:dyDescent="0.2">
      <c r="A502" s="16">
        <f>'Stock Price'!A502</f>
        <v>45196</v>
      </c>
      <c r="B502" s="17">
        <f>'Stock Price'!E502</f>
        <v>153.13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549.76</v>
      </c>
      <c r="L502" s="18">
        <v>57.89</v>
      </c>
      <c r="M502" s="18">
        <v>157.11000000000001</v>
      </c>
      <c r="O502" s="19">
        <f ca="1">IF('Stock Price'!$I$11="OK",B502/INDEX(B$5:B$1258,'Stock Price'!$I$9)-1,"")</f>
        <v>0.39831978814720115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1.3806348244056639</v>
      </c>
      <c r="Y502" s="19">
        <f ca="1">IF('Stock Price'!$I$11="OK",L502/INDEX(L$5:L$1258,'Stock Price'!$I$9)-1,"")</f>
        <v>-2.130177514792897E-2</v>
      </c>
      <c r="Z502" s="19">
        <f ca="1">IF('Stock Price'!$I$11="OK",M502/INDEX(M$5:M$1258,'Stock Price'!$I$9)-1,"")</f>
        <v>-1.5478130091490128E-2</v>
      </c>
    </row>
    <row r="503" spans="1:26" x14ac:dyDescent="0.2">
      <c r="A503" s="16">
        <f>'Stock Price'!A503</f>
        <v>45197</v>
      </c>
      <c r="B503" s="17">
        <f>'Stock Price'!E503</f>
        <v>152.25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544.45000000000005</v>
      </c>
      <c r="L503" s="18">
        <v>58.14</v>
      </c>
      <c r="M503" s="18">
        <v>156.88</v>
      </c>
      <c r="O503" s="19">
        <f ca="1">IF('Stock Price'!$I$11="OK",B503/INDEX(B$5:B$1258,'Stock Price'!$I$9)-1,"")</f>
        <v>0.39028399232946764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1.3576408435456635</v>
      </c>
      <c r="Y503" s="19">
        <f ca="1">IF('Stock Price'!$I$11="OK",L503/INDEX(L$5:L$1258,'Stock Price'!$I$9)-1,"")</f>
        <v>-1.7075232459847767E-2</v>
      </c>
      <c r="Z503" s="19">
        <f ca="1">IF('Stock Price'!$I$11="OK",M503/INDEX(M$5:M$1258,'Stock Price'!$I$9)-1,"")</f>
        <v>-1.6919413460333432E-2</v>
      </c>
    </row>
    <row r="504" spans="1:26" x14ac:dyDescent="0.2">
      <c r="A504" s="16">
        <f>'Stock Price'!A504</f>
        <v>45198</v>
      </c>
      <c r="B504" s="17">
        <f>'Stock Price'!E504</f>
        <v>149.06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537.13</v>
      </c>
      <c r="L504" s="18">
        <v>58.04</v>
      </c>
      <c r="M504" s="18">
        <v>155.75</v>
      </c>
      <c r="O504" s="19">
        <f ca="1">IF('Stock Price'!$I$11="OK",B504/INDEX(B$5:B$1258,'Stock Price'!$I$9)-1,"")</f>
        <v>0.36115423249018352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1.3259429264279219</v>
      </c>
      <c r="Y504" s="19">
        <f ca="1">IF('Stock Price'!$I$11="OK",L504/INDEX(L$5:L$1258,'Stock Price'!$I$9)-1,"")</f>
        <v>-1.8765849535080315E-2</v>
      </c>
      <c r="Z504" s="19">
        <f ca="1">IF('Stock Price'!$I$11="OK",M504/INDEX(M$5:M$1258,'Stock Price'!$I$9)-1,"")</f>
        <v>-2.4000501315954437E-2</v>
      </c>
    </row>
    <row r="505" spans="1:26" x14ac:dyDescent="0.2">
      <c r="A505" s="16">
        <f>'Stock Price'!A505</f>
        <v>45201</v>
      </c>
      <c r="B505" s="17">
        <f>'Stock Price'!E505</f>
        <v>148.25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538.29</v>
      </c>
      <c r="L505" s="18">
        <v>57.85</v>
      </c>
      <c r="M505" s="18">
        <v>155.15</v>
      </c>
      <c r="O505" s="19">
        <f ca="1">IF('Stock Price'!$I$11="OK",B505/INDEX(B$5:B$1258,'Stock Price'!$I$9)-1,"")</f>
        <v>0.35375764770340612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1.3309660936214436</v>
      </c>
      <c r="Y505" s="19">
        <f ca="1">IF('Stock Price'!$I$11="OK",L505/INDEX(L$5:L$1258,'Stock Price'!$I$9)-1,"")</f>
        <v>-2.19780219780219E-2</v>
      </c>
      <c r="Z505" s="19">
        <f ca="1">IF('Stock Price'!$I$11="OK",M505/INDEX(M$5:M$1258,'Stock Price'!$I$9)-1,"")</f>
        <v>-2.7760370973806237E-2</v>
      </c>
    </row>
    <row r="506" spans="1:26" x14ac:dyDescent="0.2">
      <c r="A506" s="16">
        <f>'Stock Price'!A506</f>
        <v>45202</v>
      </c>
      <c r="B506" s="17">
        <f>'Stock Price'!E506</f>
        <v>147.43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525.19000000000005</v>
      </c>
      <c r="L506" s="18">
        <v>57.22</v>
      </c>
      <c r="M506" s="18">
        <v>155.34</v>
      </c>
      <c r="O506" s="19">
        <f ca="1">IF('Stock Price'!$I$11="OK",B506/INDEX(B$5:B$1258,'Stock Price'!$I$9)-1,"")</f>
        <v>0.34626974705506353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1.2742389468670163</v>
      </c>
      <c r="Y506" s="19">
        <f ca="1">IF('Stock Price'!$I$11="OK",L506/INDEX(L$5:L$1258,'Stock Price'!$I$9)-1,"")</f>
        <v>-3.2628909551986496E-2</v>
      </c>
      <c r="Z506" s="19">
        <f ca="1">IF('Stock Price'!$I$11="OK",M506/INDEX(M$5:M$1258,'Stock Price'!$I$9)-1,"")</f>
        <v>-2.6569745582153192E-2</v>
      </c>
    </row>
    <row r="507" spans="1:26" x14ac:dyDescent="0.2">
      <c r="A507" s="16">
        <f>'Stock Price'!A507</f>
        <v>45203</v>
      </c>
      <c r="B507" s="17">
        <f>'Stock Price'!E507</f>
        <v>147.69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531.46</v>
      </c>
      <c r="L507" s="18">
        <v>56.73</v>
      </c>
      <c r="M507" s="18">
        <v>155.52000000000001</v>
      </c>
      <c r="O507" s="19">
        <f ca="1">IF('Stock Price'!$I$11="OK",B507/INDEX(B$5:B$1258,'Stock Price'!$I$9)-1,"")</f>
        <v>0.34864395945575732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1.3013900316113109</v>
      </c>
      <c r="Y507" s="19">
        <f ca="1">IF('Stock Price'!$I$11="OK",L507/INDEX(L$5:L$1258,'Stock Price'!$I$9)-1,"")</f>
        <v>-4.0912933220625614E-2</v>
      </c>
      <c r="Z507" s="19">
        <f ca="1">IF('Stock Price'!$I$11="OK",M507/INDEX(M$5:M$1258,'Stock Price'!$I$9)-1,"")</f>
        <v>-2.544178468479763E-2</v>
      </c>
    </row>
    <row r="508" spans="1:26" x14ac:dyDescent="0.2">
      <c r="A508" s="16">
        <f>'Stock Price'!A508</f>
        <v>45204</v>
      </c>
      <c r="B508" s="17">
        <f>'Stock Price'!E508</f>
        <v>147.44999999999999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541.48</v>
      </c>
      <c r="L508" s="18">
        <v>56.42</v>
      </c>
      <c r="M508" s="18">
        <v>157.13999999999999</v>
      </c>
      <c r="O508" s="19">
        <f ca="1">IF('Stock Price'!$I$11="OK",B508/INDEX(B$5:B$1258,'Stock Price'!$I$9)-1,"")</f>
        <v>0.34645237877819368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1.3447798034036289</v>
      </c>
      <c r="Y508" s="19">
        <f ca="1">IF('Stock Price'!$I$11="OK",L508/INDEX(L$5:L$1258,'Stock Price'!$I$9)-1,"")</f>
        <v>-4.6153846153846101E-2</v>
      </c>
      <c r="Z508" s="19">
        <f ca="1">IF('Stock Price'!$I$11="OK",M508/INDEX(M$5:M$1258,'Stock Price'!$I$9)-1,"")</f>
        <v>-1.5290136608597682E-2</v>
      </c>
    </row>
    <row r="509" spans="1:26" x14ac:dyDescent="0.2">
      <c r="A509" s="16">
        <f>'Stock Price'!A509</f>
        <v>45205</v>
      </c>
      <c r="B509" s="17">
        <f>'Stock Price'!E509</f>
        <v>148.24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565.22</v>
      </c>
      <c r="L509" s="18">
        <v>56.66</v>
      </c>
      <c r="M509" s="18">
        <v>157.63999999999999</v>
      </c>
      <c r="O509" s="19">
        <f ca="1">IF('Stock Price'!$I$11="OK",B509/INDEX(B$5:B$1258,'Stock Price'!$I$9)-1,"")</f>
        <v>0.35366633184184093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1.4475815182089811</v>
      </c>
      <c r="Y509" s="19">
        <f ca="1">IF('Stock Price'!$I$11="OK",L509/INDEX(L$5:L$1258,'Stock Price'!$I$9)-1,"")</f>
        <v>-4.2096365173288297E-2</v>
      </c>
      <c r="Z509" s="19">
        <f ca="1">IF('Stock Price'!$I$11="OK",M509/INDEX(M$5:M$1258,'Stock Price'!$I$9)-1,"")</f>
        <v>-1.2156911893721145E-2</v>
      </c>
    </row>
    <row r="510" spans="1:26" x14ac:dyDescent="0.2">
      <c r="A510" s="16">
        <f>'Stock Price'!A510</f>
        <v>45208</v>
      </c>
      <c r="B510" s="17">
        <f>'Stock Price'!E510</f>
        <v>149.11000000000001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571.76</v>
      </c>
      <c r="L510" s="18">
        <v>56.61</v>
      </c>
      <c r="M510" s="18">
        <v>158.54</v>
      </c>
      <c r="O510" s="19">
        <f ca="1">IF('Stock Price'!$I$11="OK",B510/INDEX(B$5:B$1258,'Stock Price'!$I$9)-1,"")</f>
        <v>0.36161081179800947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1.4759017884207335</v>
      </c>
      <c r="Y510" s="19">
        <f ca="1">IF('Stock Price'!$I$11="OK",L510/INDEX(L$5:L$1258,'Stock Price'!$I$9)-1,"")</f>
        <v>-4.2941673710904515E-2</v>
      </c>
      <c r="Z510" s="19">
        <f ca="1">IF('Stock Price'!$I$11="OK",M510/INDEX(M$5:M$1258,'Stock Price'!$I$9)-1,"")</f>
        <v>-6.5171074069433343E-3</v>
      </c>
    </row>
    <row r="511" spans="1:26" x14ac:dyDescent="0.2">
      <c r="A511" s="16">
        <f>'Stock Price'!A511</f>
        <v>45209</v>
      </c>
      <c r="B511" s="17">
        <f>'Stock Price'!E511</f>
        <v>148.88999999999999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579.30999999999995</v>
      </c>
      <c r="L511" s="18">
        <v>56.39</v>
      </c>
      <c r="M511" s="18">
        <v>158.36000000000001</v>
      </c>
      <c r="O511" s="19">
        <f ca="1">IF('Stock Price'!$I$11="OK",B511/INDEX(B$5:B$1258,'Stock Price'!$I$9)-1,"")</f>
        <v>0.35960186284357576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1.5085956783440868</v>
      </c>
      <c r="Y511" s="19">
        <f ca="1">IF('Stock Price'!$I$11="OK",L511/INDEX(L$5:L$1258,'Stock Price'!$I$9)-1,"")</f>
        <v>-4.6661031276415854E-2</v>
      </c>
      <c r="Z511" s="19">
        <f ca="1">IF('Stock Price'!$I$11="OK",M511/INDEX(M$5:M$1258,'Stock Price'!$I$9)-1,"")</f>
        <v>-7.6450683042987855E-3</v>
      </c>
    </row>
    <row r="512" spans="1:26" x14ac:dyDescent="0.2">
      <c r="A512" s="16">
        <f>'Stock Price'!A512</f>
        <v>45210</v>
      </c>
      <c r="B512" s="17">
        <f>'Stock Price'!E512</f>
        <v>149.34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605.28</v>
      </c>
      <c r="L512" s="18">
        <v>56.65</v>
      </c>
      <c r="M512" s="18">
        <v>156.18</v>
      </c>
      <c r="O512" s="19">
        <f ca="1">IF('Stock Price'!$I$11="OK",B512/INDEX(B$5:B$1258,'Stock Price'!$I$9)-1,"")</f>
        <v>0.36371107661400792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1.6210539990473301</v>
      </c>
      <c r="Y512" s="19">
        <f ca="1">IF('Stock Price'!$I$11="OK",L512/INDEX(L$5:L$1258,'Stock Price'!$I$9)-1,"")</f>
        <v>-4.2265426880811474E-2</v>
      </c>
      <c r="Z512" s="19">
        <f ca="1">IF('Stock Price'!$I$11="OK",M512/INDEX(M$5:M$1258,'Stock Price'!$I$9)-1,"")</f>
        <v>-2.1305928061160606E-2</v>
      </c>
    </row>
    <row r="513" spans="1:26" x14ac:dyDescent="0.2">
      <c r="A513" s="16">
        <f>'Stock Price'!A513</f>
        <v>45211</v>
      </c>
      <c r="B513" s="17">
        <f>'Stock Price'!E513</f>
        <v>148.30000000000001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610.5</v>
      </c>
      <c r="L513" s="18">
        <v>56.26</v>
      </c>
      <c r="M513" s="18">
        <v>156.33000000000001</v>
      </c>
      <c r="O513" s="19">
        <f ca="1">IF('Stock Price'!$I$11="OK",B513/INDEX(B$5:B$1258,'Stock Price'!$I$9)-1,"")</f>
        <v>0.35421422701123184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1.6436582514181786</v>
      </c>
      <c r="Y513" s="19">
        <f ca="1">IF('Stock Price'!$I$11="OK",L513/INDEX(L$5:L$1258,'Stock Price'!$I$9)-1,"")</f>
        <v>-4.8858833474218155E-2</v>
      </c>
      <c r="Z513" s="19">
        <f ca="1">IF('Stock Price'!$I$11="OK",M513/INDEX(M$5:M$1258,'Stock Price'!$I$9)-1,"")</f>
        <v>-2.0365960646697601E-2</v>
      </c>
    </row>
    <row r="514" spans="1:26" x14ac:dyDescent="0.2">
      <c r="A514" s="16">
        <f>'Stock Price'!A514</f>
        <v>45212</v>
      </c>
      <c r="B514" s="17">
        <f>'Stock Price'!E514</f>
        <v>147.96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609.20000000000005</v>
      </c>
      <c r="L514" s="18">
        <v>56.47</v>
      </c>
      <c r="M514" s="18">
        <v>156.85</v>
      </c>
      <c r="O514" s="19">
        <f ca="1">IF('Stock Price'!$I$11="OK",B514/INDEX(B$5:B$1258,'Stock Price'!$I$9)-1,"")</f>
        <v>0.35110948771801653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1.6380288399081975</v>
      </c>
      <c r="Y514" s="19">
        <f ca="1">IF('Stock Price'!$I$11="OK",L514/INDEX(L$5:L$1258,'Stock Price'!$I$9)-1,"")</f>
        <v>-4.5308537616229883E-2</v>
      </c>
      <c r="Z514" s="19">
        <f ca="1">IF('Stock Price'!$I$11="OK",M514/INDEX(M$5:M$1258,'Stock Price'!$I$9)-1,"")</f>
        <v>-1.71074069432261E-2</v>
      </c>
    </row>
    <row r="515" spans="1:26" x14ac:dyDescent="0.2">
      <c r="A515" s="16">
        <f>'Stock Price'!A515</f>
        <v>45215</v>
      </c>
      <c r="B515" s="17">
        <f>'Stock Price'!E515</f>
        <v>147.22999999999999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616.64</v>
      </c>
      <c r="L515" s="18">
        <v>57.17</v>
      </c>
      <c r="M515" s="18">
        <v>157.53</v>
      </c>
      <c r="O515" s="19">
        <f ca="1">IF('Stock Price'!$I$11="OK",B515/INDEX(B$5:B$1258,'Stock Price'!$I$9)-1,"")</f>
        <v>0.34444342982376019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1.6702463950114752</v>
      </c>
      <c r="Y515" s="19">
        <f ca="1">IF('Stock Price'!$I$11="OK",L515/INDEX(L$5:L$1258,'Stock Price'!$I$9)-1,"")</f>
        <v>-3.3474218089602603E-2</v>
      </c>
      <c r="Z515" s="19">
        <f ca="1">IF('Stock Price'!$I$11="OK",M515/INDEX(M$5:M$1258,'Stock Price'!$I$9)-1,"")</f>
        <v>-1.284622133099389E-2</v>
      </c>
    </row>
    <row r="516" spans="1:26" x14ac:dyDescent="0.2">
      <c r="A516" s="16">
        <f>'Stock Price'!A516</f>
        <v>45216</v>
      </c>
      <c r="B516" s="17">
        <f>'Stock Price'!E516</f>
        <v>149.18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608.30999999999995</v>
      </c>
      <c r="L516" s="18">
        <v>57.37</v>
      </c>
      <c r="M516" s="18">
        <v>156.09</v>
      </c>
      <c r="O516" s="19">
        <f ca="1">IF('Stock Price'!$I$11="OK",B516/INDEX(B$5:B$1258,'Stock Price'!$I$9)-1,"")</f>
        <v>0.36225002282896535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1.6341748581821327</v>
      </c>
      <c r="Y516" s="19">
        <f ca="1">IF('Stock Price'!$I$11="OK",L516/INDEX(L$5:L$1258,'Stock Price'!$I$9)-1,"")</f>
        <v>-3.0092983939137841E-2</v>
      </c>
      <c r="Z516" s="19">
        <f ca="1">IF('Stock Price'!$I$11="OK",M516/INDEX(M$5:M$1258,'Stock Price'!$I$9)-1,"")</f>
        <v>-2.1869908509838387E-2</v>
      </c>
    </row>
    <row r="517" spans="1:26" x14ac:dyDescent="0.2">
      <c r="A517" s="16">
        <f>'Stock Price'!A517</f>
        <v>45217</v>
      </c>
      <c r="B517" s="17">
        <f>'Stock Price'!E517</f>
        <v>149.28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607.24</v>
      </c>
      <c r="L517" s="18">
        <v>56.85</v>
      </c>
      <c r="M517" s="18">
        <v>152.72999999999999</v>
      </c>
      <c r="O517" s="19">
        <f ca="1">IF('Stock Price'!$I$11="OK",B517/INDEX(B$5:B$1258,'Stock Price'!$I$9)-1,"")</f>
        <v>0.36316318144461679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1.6295414194777638</v>
      </c>
      <c r="Y517" s="19">
        <f ca="1">IF('Stock Price'!$I$11="OK",L517/INDEX(L$5:L$1258,'Stock Price'!$I$9)-1,"")</f>
        <v>-3.888419273034649E-2</v>
      </c>
      <c r="Z517" s="19">
        <f ca="1">IF('Stock Price'!$I$11="OK",M517/INDEX(M$5:M$1258,'Stock Price'!$I$9)-1,"")</f>
        <v>-4.2925178593808844E-2</v>
      </c>
    </row>
    <row r="518" spans="1:26" x14ac:dyDescent="0.2">
      <c r="A518" s="16">
        <f>'Stock Price'!A518</f>
        <v>45218</v>
      </c>
      <c r="B518" s="17">
        <f>'Stock Price'!E518</f>
        <v>145.52000000000001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590.79999999999995</v>
      </c>
      <c r="L518" s="18">
        <v>56.48</v>
      </c>
      <c r="M518" s="18">
        <v>152.32</v>
      </c>
      <c r="O518" s="19">
        <f ca="1">IF('Stock Price'!$I$11="OK",B518/INDEX(B$5:B$1258,'Stock Price'!$I$9)-1,"")</f>
        <v>0.32882841749611913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1.5583510154592299</v>
      </c>
      <c r="Y518" s="19">
        <f ca="1">IF('Stock Price'!$I$11="OK",L518/INDEX(L$5:L$1258,'Stock Price'!$I$9)-1,"")</f>
        <v>-4.5139475908706705E-2</v>
      </c>
      <c r="Z518" s="19">
        <f ca="1">IF('Stock Price'!$I$11="OK",M518/INDEX(M$5:M$1258,'Stock Price'!$I$9)-1,"")</f>
        <v>-4.5494422860007599E-2</v>
      </c>
    </row>
    <row r="519" spans="1:26" x14ac:dyDescent="0.2">
      <c r="A519" s="16">
        <f>'Stock Price'!A519</f>
        <v>45219</v>
      </c>
      <c r="B519" s="17">
        <f>'Stock Price'!E519</f>
        <v>146.22999999999999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584.64</v>
      </c>
      <c r="L519" s="18">
        <v>56.46</v>
      </c>
      <c r="M519" s="18">
        <v>153</v>
      </c>
      <c r="O519" s="19">
        <f ca="1">IF('Stock Price'!$I$11="OK",B519/INDEX(B$5:B$1258,'Stock Price'!$I$9)-1,"")</f>
        <v>0.33531184366724487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1.5316762655350105</v>
      </c>
      <c r="Y519" s="19">
        <f ca="1">IF('Stock Price'!$I$11="OK",L519/INDEX(L$5:L$1258,'Stock Price'!$I$9)-1,"")</f>
        <v>-4.5477599323753171E-2</v>
      </c>
      <c r="Z519" s="19">
        <f ca="1">IF('Stock Price'!$I$11="OK",M519/INDEX(M$5:M$1258,'Stock Price'!$I$9)-1,"")</f>
        <v>-4.12332372477755E-2</v>
      </c>
    </row>
    <row r="520" spans="1:26" x14ac:dyDescent="0.2">
      <c r="A520" s="16">
        <f>'Stock Price'!A520</f>
        <v>45222</v>
      </c>
      <c r="B520" s="17">
        <f>'Stock Price'!E520</f>
        <v>144.72999999999999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576.65</v>
      </c>
      <c r="L520" s="18">
        <v>56</v>
      </c>
      <c r="M520" s="18">
        <v>151.38999999999999</v>
      </c>
      <c r="O520" s="19">
        <f ca="1">IF('Stock Price'!$I$11="OK",B520/INDEX(B$5:B$1258,'Stock Price'!$I$9)-1,"")</f>
        <v>0.32161446443247166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1.4970770363313557</v>
      </c>
      <c r="Y520" s="19">
        <f ca="1">IF('Stock Price'!$I$11="OK",L520/INDEX(L$5:L$1258,'Stock Price'!$I$9)-1,"")</f>
        <v>-5.3254437869822424E-2</v>
      </c>
      <c r="Z520" s="19">
        <f ca="1">IF('Stock Price'!$I$11="OK",M520/INDEX(M$5:M$1258,'Stock Price'!$I$9)-1,"")</f>
        <v>-5.1322220829678078E-2</v>
      </c>
    </row>
    <row r="521" spans="1:26" x14ac:dyDescent="0.2">
      <c r="A521" s="16">
        <f>'Stock Price'!A521</f>
        <v>45223</v>
      </c>
      <c r="B521" s="17">
        <f>'Stock Price'!E521</f>
        <v>146.31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592.42999999999995</v>
      </c>
      <c r="L521" s="18">
        <v>56.12</v>
      </c>
      <c r="M521" s="18">
        <v>151.22999999999999</v>
      </c>
      <c r="O521" s="19">
        <f ca="1">IF('Stock Price'!$I$11="OK",B521/INDEX(B$5:B$1258,'Stock Price'!$I$9)-1,"")</f>
        <v>0.33604237055976616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1.5654094314294373</v>
      </c>
      <c r="Y521" s="19">
        <f ca="1">IF('Stock Price'!$I$11="OK",L521/INDEX(L$5:L$1258,'Stock Price'!$I$9)-1,"")</f>
        <v>-5.1225697379543522E-2</v>
      </c>
      <c r="Z521" s="19">
        <f ca="1">IF('Stock Price'!$I$11="OK",M521/INDEX(M$5:M$1258,'Stock Price'!$I$9)-1,"")</f>
        <v>-5.2324852738438565E-2</v>
      </c>
    </row>
    <row r="522" spans="1:26" x14ac:dyDescent="0.2">
      <c r="A522" s="16">
        <f>'Stock Price'!A522</f>
        <v>45224</v>
      </c>
      <c r="B522" s="17">
        <f>'Stock Price'!E522</f>
        <v>145.26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586.46</v>
      </c>
      <c r="L522" s="18">
        <v>56.61</v>
      </c>
      <c r="M522" s="18">
        <v>151.57</v>
      </c>
      <c r="O522" s="19">
        <f ca="1">IF('Stock Price'!$I$11="OK",B522/INDEX(B$5:B$1258,'Stock Price'!$I$9)-1,"")</f>
        <v>0.32645420509542489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1.5395574416489848</v>
      </c>
      <c r="Y522" s="19">
        <f ca="1">IF('Stock Price'!$I$11="OK",L522/INDEX(L$5:L$1258,'Stock Price'!$I$9)-1,"")</f>
        <v>-4.2941673710904515E-2</v>
      </c>
      <c r="Z522" s="19">
        <f ca="1">IF('Stock Price'!$I$11="OK",M522/INDEX(M$5:M$1258,'Stock Price'!$I$9)-1,"")</f>
        <v>-5.0194259932322516E-2</v>
      </c>
    </row>
    <row r="523" spans="1:26" x14ac:dyDescent="0.2">
      <c r="A523" s="16">
        <f>'Stock Price'!A523</f>
        <v>45225</v>
      </c>
      <c r="B523" s="17">
        <f>'Stock Price'!E523</f>
        <v>145.19999999999999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568.1</v>
      </c>
      <c r="L523" s="18">
        <v>52.97</v>
      </c>
      <c r="M523" s="18">
        <v>149</v>
      </c>
      <c r="O523" s="19">
        <f ca="1">IF('Stock Price'!$I$11="OK",B523/INDEX(B$5:B$1258,'Stock Price'!$I$9)-1,"")</f>
        <v>0.32590630992603398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1.4600528298618629</v>
      </c>
      <c r="Y523" s="19">
        <f ca="1">IF('Stock Price'!$I$11="OK",L523/INDEX(L$5:L$1258,'Stock Price'!$I$9)-1,"")</f>
        <v>-0.10448013524936606</v>
      </c>
      <c r="Z523" s="19">
        <f ca="1">IF('Stock Price'!$I$11="OK",M523/INDEX(M$5:M$1258,'Stock Price'!$I$9)-1,"")</f>
        <v>-6.6299034966787906E-2</v>
      </c>
    </row>
    <row r="524" spans="1:26" x14ac:dyDescent="0.2">
      <c r="A524" s="16">
        <f>'Stock Price'!A524</f>
        <v>45226</v>
      </c>
      <c r="B524" s="17">
        <f>'Stock Price'!E524</f>
        <v>138.93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560.23</v>
      </c>
      <c r="L524" s="18">
        <v>51.02</v>
      </c>
      <c r="M524" s="18">
        <v>145.6</v>
      </c>
      <c r="O524" s="19">
        <f ca="1">IF('Stock Price'!$I$11="OK",B524/INDEX(B$5:B$1258,'Stock Price'!$I$9)-1,"")</f>
        <v>0.26865126472468259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1.4259732386437447</v>
      </c>
      <c r="Y524" s="19">
        <f ca="1">IF('Stock Price'!$I$11="OK",L524/INDEX(L$5:L$1258,'Stock Price'!$I$9)-1,"")</f>
        <v>-0.13744716821639891</v>
      </c>
      <c r="Z524" s="19">
        <f ca="1">IF('Stock Price'!$I$11="OK",M524/INDEX(M$5:M$1258,'Stock Price'!$I$9)-1,"")</f>
        <v>-8.7604963027948513E-2</v>
      </c>
    </row>
    <row r="525" spans="1:26" x14ac:dyDescent="0.2">
      <c r="A525" s="16">
        <f>'Stock Price'!A525</f>
        <v>45229</v>
      </c>
      <c r="B525" s="17">
        <f>'Stock Price'!E525</f>
        <v>141.88999999999999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565.71</v>
      </c>
      <c r="L525" s="18">
        <v>51.25</v>
      </c>
      <c r="M525" s="18">
        <v>147.03</v>
      </c>
      <c r="O525" s="19">
        <f ca="1">IF('Stock Price'!$I$11="OK",B525/INDEX(B$5:B$1258,'Stock Price'!$I$9)-1,"")</f>
        <v>0.29568075974796804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1.4497033733165896</v>
      </c>
      <c r="Y525" s="19">
        <f ca="1">IF('Stock Price'!$I$11="OK",L525/INDEX(L$5:L$1258,'Stock Price'!$I$9)-1,"")</f>
        <v>-0.13355874894336428</v>
      </c>
      <c r="Z525" s="19">
        <f ca="1">IF('Stock Price'!$I$11="OK",M525/INDEX(M$5:M$1258,'Stock Price'!$I$9)-1,"")</f>
        <v>-7.8643940343401497E-2</v>
      </c>
    </row>
    <row r="526" spans="1:26" x14ac:dyDescent="0.2">
      <c r="A526" s="16">
        <f>'Stock Price'!A526</f>
        <v>45230</v>
      </c>
      <c r="B526" s="17">
        <f>'Stock Price'!E526</f>
        <v>141.18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553.92999999999995</v>
      </c>
      <c r="L526" s="18">
        <v>51.53</v>
      </c>
      <c r="M526" s="18">
        <v>148.34</v>
      </c>
      <c r="O526" s="19">
        <f ca="1">IF('Stock Price'!$I$11="OK",B526/INDEX(B$5:B$1258,'Stock Price'!$I$9)-1,"")</f>
        <v>0.2891973335768423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1.3986922444030654</v>
      </c>
      <c r="Y526" s="19">
        <f ca="1">IF('Stock Price'!$I$11="OK",L526/INDEX(L$5:L$1258,'Stock Price'!$I$9)-1,"")</f>
        <v>-0.12882502113271344</v>
      </c>
      <c r="Z526" s="19">
        <f ca="1">IF('Stock Price'!$I$11="OK",M526/INDEX(M$5:M$1258,'Stock Price'!$I$9)-1,"")</f>
        <v>-7.0434891590424931E-2</v>
      </c>
    </row>
    <row r="527" spans="1:26" x14ac:dyDescent="0.2">
      <c r="A527" s="16">
        <f>'Stock Price'!A527</f>
        <v>45231</v>
      </c>
      <c r="B527" s="17">
        <f>'Stock Price'!E527</f>
        <v>142.47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554.46</v>
      </c>
      <c r="L527" s="18">
        <v>51.28</v>
      </c>
      <c r="M527" s="18">
        <v>148.69</v>
      </c>
      <c r="O527" s="19">
        <f ca="1">IF('Stock Price'!$I$11="OK",B527/INDEX(B$5:B$1258,'Stock Price'!$I$9)-1,"")</f>
        <v>0.30097707971874699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1.40098731217252</v>
      </c>
      <c r="Y527" s="19">
        <f ca="1">IF('Stock Price'!$I$11="OK",L527/INDEX(L$5:L$1258,'Stock Price'!$I$9)-1,"")</f>
        <v>-0.13305156382079453</v>
      </c>
      <c r="Z527" s="19">
        <f ca="1">IF('Stock Price'!$I$11="OK",M527/INDEX(M$5:M$1258,'Stock Price'!$I$9)-1,"")</f>
        <v>-6.8241634290011399E-2</v>
      </c>
    </row>
    <row r="528" spans="1:26" x14ac:dyDescent="0.2">
      <c r="A528" s="16">
        <f>'Stock Price'!A528</f>
        <v>45232</v>
      </c>
      <c r="B528" s="17">
        <f>'Stock Price'!E528</f>
        <v>143.26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580.29</v>
      </c>
      <c r="L528" s="18">
        <v>51.13</v>
      </c>
      <c r="M528" s="18">
        <v>150.24</v>
      </c>
      <c r="O528" s="19">
        <f ca="1">IF('Stock Price'!$I$11="OK",B528/INDEX(B$5:B$1258,'Stock Price'!$I$9)-1,"")</f>
        <v>0.30819103278239424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1.5128393885593034</v>
      </c>
      <c r="Y528" s="19">
        <f ca="1">IF('Stock Price'!$I$11="OK",L528/INDEX(L$5:L$1258,'Stock Price'!$I$9)-1,"")</f>
        <v>-0.13558748943364318</v>
      </c>
      <c r="Z528" s="19">
        <f ca="1">IF('Stock Price'!$I$11="OK",M528/INDEX(M$5:M$1258,'Stock Price'!$I$9)-1,"")</f>
        <v>-5.8528637673893935E-2</v>
      </c>
    </row>
    <row r="529" spans="1:26" x14ac:dyDescent="0.2">
      <c r="A529" s="16">
        <f>'Stock Price'!A529</f>
        <v>45233</v>
      </c>
      <c r="B529" s="17">
        <f>'Stock Price'!E529</f>
        <v>141.41999999999999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567.80999999999995</v>
      </c>
      <c r="L529" s="18">
        <v>52.82</v>
      </c>
      <c r="M529" s="18">
        <v>151.34</v>
      </c>
      <c r="O529" s="19">
        <f ca="1">IF('Stock Price'!$I$11="OK",B529/INDEX(B$5:B$1258,'Stock Price'!$I$9)-1,"")</f>
        <v>0.29138891425440572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1.4587970380634823</v>
      </c>
      <c r="Y529" s="19">
        <f ca="1">IF('Stock Price'!$I$11="OK",L529/INDEX(L$5:L$1258,'Stock Price'!$I$9)-1,"")</f>
        <v>-0.10701606086221471</v>
      </c>
      <c r="Z529" s="19">
        <f ca="1">IF('Stock Price'!$I$11="OK",M529/INDEX(M$5:M$1258,'Stock Price'!$I$9)-1,"")</f>
        <v>-5.1635543301165598E-2</v>
      </c>
    </row>
    <row r="530" spans="1:26" x14ac:dyDescent="0.2">
      <c r="A530" s="16">
        <f>'Stock Price'!A530</f>
        <v>45236</v>
      </c>
      <c r="B530" s="17">
        <f>'Stock Price'!E530</f>
        <v>141.19999999999999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595.19000000000005</v>
      </c>
      <c r="L530" s="18">
        <v>52.79</v>
      </c>
      <c r="M530" s="18">
        <v>151.69999999999999</v>
      </c>
      <c r="O530" s="19">
        <f ca="1">IF('Stock Price'!$I$11="OK",B530/INDEX(B$5:B$1258,'Stock Price'!$I$9)-1,"")</f>
        <v>0.28937996529997245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1.5773611050967826</v>
      </c>
      <c r="Y530" s="19">
        <f ca="1">IF('Stock Price'!$I$11="OK",L530/INDEX(L$5:L$1258,'Stock Price'!$I$9)-1,"")</f>
        <v>-0.10752324598478447</v>
      </c>
      <c r="Z530" s="19">
        <f ca="1">IF('Stock Price'!$I$11="OK",M530/INDEX(M$5:M$1258,'Stock Price'!$I$9)-1,"")</f>
        <v>-4.9379621506454585E-2</v>
      </c>
    </row>
    <row r="531" spans="1:26" x14ac:dyDescent="0.2">
      <c r="A531" s="16">
        <f>'Stock Price'!A531</f>
        <v>45237</v>
      </c>
      <c r="B531" s="17">
        <f>'Stock Price'!E531</f>
        <v>142.16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599.92999999999995</v>
      </c>
      <c r="L531" s="18">
        <v>52.29</v>
      </c>
      <c r="M531" s="18">
        <v>150.9</v>
      </c>
      <c r="O531" s="19">
        <f ca="1">IF('Stock Price'!$I$11="OK",B531/INDEX(B$5:B$1258,'Stock Price'!$I$9)-1,"")</f>
        <v>0.29814628801022725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1.5978868055254836</v>
      </c>
      <c r="Y531" s="19">
        <f ca="1">IF('Stock Price'!$I$11="OK",L531/INDEX(L$5:L$1258,'Stock Price'!$I$9)-1,"")</f>
        <v>-0.11597633136094676</v>
      </c>
      <c r="Z531" s="19">
        <f ca="1">IF('Stock Price'!$I$11="OK",M531/INDEX(M$5:M$1258,'Stock Price'!$I$9)-1,"")</f>
        <v>-5.4392781050256911E-2</v>
      </c>
    </row>
    <row r="532" spans="1:26" x14ac:dyDescent="0.2">
      <c r="A532" s="16">
        <f>'Stock Price'!A532</f>
        <v>45238</v>
      </c>
      <c r="B532" s="17">
        <f>'Stock Price'!E532</f>
        <v>142.03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619.13</v>
      </c>
      <c r="L532" s="18">
        <v>52.42</v>
      </c>
      <c r="M532" s="18">
        <v>150.35</v>
      </c>
      <c r="O532" s="19">
        <f ca="1">IF('Stock Price'!$I$11="OK",B532/INDEX(B$5:B$1258,'Stock Price'!$I$9)-1,"")</f>
        <v>0.29695918180988023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1.6810288832113627</v>
      </c>
      <c r="Y532" s="19">
        <f ca="1">IF('Stock Price'!$I$11="OK",L532/INDEX(L$5:L$1258,'Stock Price'!$I$9)-1,"")</f>
        <v>-0.11377852916314446</v>
      </c>
      <c r="Z532" s="19">
        <f ca="1">IF('Stock Price'!$I$11="OK",M532/INDEX(M$5:M$1258,'Stock Price'!$I$9)-1,"")</f>
        <v>-5.783932823662119E-2</v>
      </c>
    </row>
    <row r="533" spans="1:26" x14ac:dyDescent="0.2">
      <c r="A533" s="16">
        <f>'Stock Price'!A533</f>
        <v>45239</v>
      </c>
      <c r="B533" s="17">
        <f>'Stock Price'!E533</f>
        <v>138.04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591.32000000000005</v>
      </c>
      <c r="L533" s="18">
        <v>50.41</v>
      </c>
      <c r="M533" s="18">
        <v>147.41999999999999</v>
      </c>
      <c r="O533" s="19">
        <f ca="1">IF('Stock Price'!$I$11="OK",B533/INDEX(B$5:B$1258,'Stock Price'!$I$9)-1,"")</f>
        <v>0.2605241530453839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1.5606027800632227</v>
      </c>
      <c r="Y533" s="19">
        <f ca="1">IF('Stock Price'!$I$11="OK",L533/INDEX(L$5:L$1258,'Stock Price'!$I$9)-1,"")</f>
        <v>-0.14775993237531704</v>
      </c>
      <c r="Z533" s="19">
        <f ca="1">IF('Stock Price'!$I$11="OK",M533/INDEX(M$5:M$1258,'Stock Price'!$I$9)-1,"")</f>
        <v>-7.6200025065797816E-2</v>
      </c>
    </row>
    <row r="534" spans="1:26" x14ac:dyDescent="0.2">
      <c r="A534" s="16">
        <f>'Stock Price'!A534</f>
        <v>45240</v>
      </c>
      <c r="B534" s="17">
        <f>'Stock Price'!E534</f>
        <v>138.59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597.71</v>
      </c>
      <c r="L534" s="18">
        <v>50.61</v>
      </c>
      <c r="M534" s="18">
        <v>147.25</v>
      </c>
      <c r="O534" s="19">
        <f ca="1">IF('Stock Price'!$I$11="OK",B534/INDEX(B$5:B$1258,'Stock Price'!$I$9)-1,"")</f>
        <v>0.26554652543146751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1.5882735027930543</v>
      </c>
      <c r="Y534" s="19">
        <f ca="1">IF('Stock Price'!$I$11="OK",L534/INDEX(L$5:L$1258,'Stock Price'!$I$9)-1,"")</f>
        <v>-0.14437869822485205</v>
      </c>
      <c r="Z534" s="19">
        <f ca="1">IF('Stock Price'!$I$11="OK",M534/INDEX(M$5:M$1258,'Stock Price'!$I$9)-1,"")</f>
        <v>-7.7265321468855785E-2</v>
      </c>
    </row>
    <row r="535" spans="1:26" x14ac:dyDescent="0.2">
      <c r="A535" s="16">
        <f>'Stock Price'!A535</f>
        <v>45243</v>
      </c>
      <c r="B535" s="17">
        <f>'Stock Price'!E535</f>
        <v>138.63999999999999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612.71</v>
      </c>
      <c r="L535" s="18">
        <v>50.15</v>
      </c>
      <c r="M535" s="18">
        <v>147.63</v>
      </c>
      <c r="O535" s="19">
        <f ca="1">IF('Stock Price'!$I$11="OK",B535/INDEX(B$5:B$1258,'Stock Price'!$I$9)-1,"")</f>
        <v>0.26600310473929301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1.6532282509851473</v>
      </c>
      <c r="Y535" s="19">
        <f ca="1">IF('Stock Price'!$I$11="OK",L535/INDEX(L$5:L$1258,'Stock Price'!$I$9)-1,"")</f>
        <v>-0.15215553677092142</v>
      </c>
      <c r="Z535" s="19">
        <f ca="1">IF('Stock Price'!$I$11="OK",M535/INDEX(M$5:M$1258,'Stock Price'!$I$9)-1,"")</f>
        <v>-7.4884070685549697E-2</v>
      </c>
    </row>
    <row r="536" spans="1:26" x14ac:dyDescent="0.2">
      <c r="A536" s="16">
        <f>'Stock Price'!A536</f>
        <v>45244</v>
      </c>
      <c r="B536" s="17">
        <f>'Stock Price'!E536</f>
        <v>138.06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610.82000000000005</v>
      </c>
      <c r="L536" s="18">
        <v>50.52</v>
      </c>
      <c r="M536" s="18">
        <v>147.66</v>
      </c>
      <c r="O536" s="19">
        <f ca="1">IF('Stock Price'!$I$11="OK",B536/INDEX(B$5:B$1258,'Stock Price'!$I$9)-1,"")</f>
        <v>0.26070678476851428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1.6450439527129435</v>
      </c>
      <c r="Y536" s="19">
        <f ca="1">IF('Stock Price'!$I$11="OK",L536/INDEX(L$5:L$1258,'Stock Price'!$I$9)-1,"")</f>
        <v>-0.1459002535925612</v>
      </c>
      <c r="Z536" s="19">
        <f ca="1">IF('Stock Price'!$I$11="OK",M536/INDEX(M$5:M$1258,'Stock Price'!$I$9)-1,"")</f>
        <v>-7.469607720265703E-2</v>
      </c>
    </row>
    <row r="537" spans="1:26" x14ac:dyDescent="0.2">
      <c r="A537" s="16">
        <f>'Stock Price'!A537</f>
        <v>45245</v>
      </c>
      <c r="B537" s="17">
        <f>'Stock Price'!E537</f>
        <v>137.6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588.54</v>
      </c>
      <c r="L537" s="18">
        <v>51.57</v>
      </c>
      <c r="M537" s="18">
        <v>148.80000000000001</v>
      </c>
      <c r="O537" s="19">
        <f ca="1">IF('Stock Price'!$I$11="OK",B537/INDEX(B$5:B$1258,'Stock Price'!$I$9)-1,"")</f>
        <v>0.25650625513651715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1.5485645000649546</v>
      </c>
      <c r="Y537" s="19">
        <f ca="1">IF('Stock Price'!$I$11="OK",L537/INDEX(L$5:L$1258,'Stock Price'!$I$9)-1,"")</f>
        <v>-0.12814877430262039</v>
      </c>
      <c r="Z537" s="19">
        <f ca="1">IF('Stock Price'!$I$11="OK",M537/INDEX(M$5:M$1258,'Stock Price'!$I$9)-1,"")</f>
        <v>-6.7552324852738432E-2</v>
      </c>
    </row>
    <row r="538" spans="1:26" x14ac:dyDescent="0.2">
      <c r="A538" s="16">
        <f>'Stock Price'!A538</f>
        <v>45246</v>
      </c>
      <c r="B538" s="17">
        <f>'Stock Price'!E538</f>
        <v>138.28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588.75</v>
      </c>
      <c r="L538" s="18">
        <v>50.84</v>
      </c>
      <c r="M538" s="18">
        <v>150.1</v>
      </c>
      <c r="O538" s="19">
        <f ca="1">IF('Stock Price'!$I$11="OK",B538/INDEX(B$5:B$1258,'Stock Price'!$I$9)-1,"")</f>
        <v>0.26271573372294754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1.5494738665396439</v>
      </c>
      <c r="Y538" s="19">
        <f ca="1">IF('Stock Price'!$I$11="OK",L538/INDEX(L$5:L$1258,'Stock Price'!$I$9)-1,"")</f>
        <v>-0.14049027895181732</v>
      </c>
      <c r="Z538" s="19">
        <f ca="1">IF('Stock Price'!$I$11="OK",M538/INDEX(M$5:M$1258,'Stock Price'!$I$9)-1,"")</f>
        <v>-5.940594059405957E-2</v>
      </c>
    </row>
    <row r="539" spans="1:26" x14ac:dyDescent="0.2">
      <c r="A539" s="16">
        <f>'Stock Price'!A539</f>
        <v>45247</v>
      </c>
      <c r="B539" s="17">
        <f>'Stock Price'!E539</f>
        <v>138.30000000000001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591.71</v>
      </c>
      <c r="L539" s="18">
        <v>50.84</v>
      </c>
      <c r="M539" s="18">
        <v>149.79</v>
      </c>
      <c r="O539" s="19">
        <f ca="1">IF('Stock Price'!$I$11="OK",B539/INDEX(B$5:B$1258,'Stock Price'!$I$9)-1,"")</f>
        <v>0.26289836544607792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1.5622916035162171</v>
      </c>
      <c r="Y539" s="19">
        <f ca="1">IF('Stock Price'!$I$11="OK",L539/INDEX(L$5:L$1258,'Stock Price'!$I$9)-1,"")</f>
        <v>-0.14049027895181732</v>
      </c>
      <c r="Z539" s="19">
        <f ca="1">IF('Stock Price'!$I$11="OK",M539/INDEX(M$5:M$1258,'Stock Price'!$I$9)-1,"")</f>
        <v>-6.1348539917282952E-2</v>
      </c>
    </row>
    <row r="540" spans="1:26" x14ac:dyDescent="0.2">
      <c r="A540" s="16">
        <f>'Stock Price'!A540</f>
        <v>45250</v>
      </c>
      <c r="B540" s="17">
        <f>'Stock Price'!E540</f>
        <v>138.31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597.6</v>
      </c>
      <c r="L540" s="18">
        <v>48.9</v>
      </c>
      <c r="M540" s="18">
        <v>149.91</v>
      </c>
      <c r="O540" s="19">
        <f ca="1">IF('Stock Price'!$I$11="OK",B540/INDEX(B$5:B$1258,'Stock Price'!$I$9)-1,"")</f>
        <v>0.26298968130764311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1.5877971679729788</v>
      </c>
      <c r="Y540" s="19">
        <f ca="1">IF('Stock Price'!$I$11="OK",L540/INDEX(L$5:L$1258,'Stock Price'!$I$9)-1,"")</f>
        <v>-0.1732882502113271</v>
      </c>
      <c r="Z540" s="19">
        <f ca="1">IF('Stock Price'!$I$11="OK",M540/INDEX(M$5:M$1258,'Stock Price'!$I$9)-1,"")</f>
        <v>-6.0596565985712614E-2</v>
      </c>
    </row>
    <row r="541" spans="1:26" x14ac:dyDescent="0.2">
      <c r="A541" s="16">
        <f>'Stock Price'!A541</f>
        <v>45251</v>
      </c>
      <c r="B541" s="17">
        <f>'Stock Price'!E541</f>
        <v>138.72999999999999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592.6</v>
      </c>
      <c r="L541" s="18">
        <v>48.48</v>
      </c>
      <c r="M541" s="18">
        <v>151.12</v>
      </c>
      <c r="O541" s="19">
        <f ca="1">IF('Stock Price'!$I$11="OK",B541/INDEX(B$5:B$1258,'Stock Price'!$I$9)-1,"")</f>
        <v>0.26682494749337948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1.5661455852422814</v>
      </c>
      <c r="Y541" s="19">
        <f ca="1">IF('Stock Price'!$I$11="OK",L541/INDEX(L$5:L$1258,'Stock Price'!$I$9)-1,"")</f>
        <v>-0.18038884192730353</v>
      </c>
      <c r="Z541" s="19">
        <f ca="1">IF('Stock Price'!$I$11="OK",M541/INDEX(M$5:M$1258,'Stock Price'!$I$9)-1,"")</f>
        <v>-5.301416217571131E-2</v>
      </c>
    </row>
    <row r="542" spans="1:26" x14ac:dyDescent="0.2">
      <c r="A542" s="16">
        <f>'Stock Price'!A542</f>
        <v>45252</v>
      </c>
      <c r="B542" s="17">
        <f>'Stock Price'!E542</f>
        <v>138.47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595.09</v>
      </c>
      <c r="L542" s="18">
        <v>49.42</v>
      </c>
      <c r="M542" s="18">
        <v>150.82</v>
      </c>
      <c r="O542" s="19">
        <f ca="1">IF('Stock Price'!$I$11="OK",B542/INDEX(B$5:B$1258,'Stock Price'!$I$9)-1,"")</f>
        <v>0.26445073509268546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1.5769280734421689</v>
      </c>
      <c r="Y542" s="19">
        <f ca="1">IF('Stock Price'!$I$11="OK",L542/INDEX(L$5:L$1258,'Stock Price'!$I$9)-1,"")</f>
        <v>-0.16449704142011834</v>
      </c>
      <c r="Z542" s="19">
        <f ca="1">IF('Stock Price'!$I$11="OK",M542/INDEX(M$5:M$1258,'Stock Price'!$I$9)-1,"")</f>
        <v>-5.4894097004637321E-2</v>
      </c>
    </row>
    <row r="543" spans="1:26" x14ac:dyDescent="0.2">
      <c r="A543" s="16">
        <f>'Stock Price'!A543</f>
        <v>45254</v>
      </c>
      <c r="B543" s="17">
        <f>'Stock Price'!E543</f>
        <v>138.66999999999999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601.1</v>
      </c>
      <c r="L543" s="18">
        <v>49.76</v>
      </c>
      <c r="M543" s="18">
        <v>152.5</v>
      </c>
      <c r="O543" s="19">
        <f ca="1">IF('Stock Price'!$I$11="OK",B543/INDEX(B$5:B$1258,'Stock Price'!$I$9)-1,"")</f>
        <v>0.26627705232398857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1.6029532758844671</v>
      </c>
      <c r="Y543" s="19">
        <f ca="1">IF('Stock Price'!$I$11="OK",L543/INDEX(L$5:L$1258,'Stock Price'!$I$9)-1,"")</f>
        <v>-0.15874894336432799</v>
      </c>
      <c r="Z543" s="19">
        <f ca="1">IF('Stock Price'!$I$11="OK",M543/INDEX(M$5:M$1258,'Stock Price'!$I$9)-1,"")</f>
        <v>-4.4366461962652037E-2</v>
      </c>
    </row>
    <row r="544" spans="1:26" x14ac:dyDescent="0.2">
      <c r="A544" s="16">
        <f>'Stock Price'!A544</f>
        <v>45257</v>
      </c>
      <c r="B544" s="17">
        <f>'Stock Price'!E544</f>
        <v>139.09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591.53</v>
      </c>
      <c r="L544" s="18">
        <v>49.02</v>
      </c>
      <c r="M544" s="18">
        <v>151.28</v>
      </c>
      <c r="O544" s="19">
        <f ca="1">IF('Stock Price'!$I$11="OK",B544/INDEX(B$5:B$1258,'Stock Price'!$I$9)-1,"")</f>
        <v>0.27011231850972517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1.5615121465379116</v>
      </c>
      <c r="Y544" s="19">
        <f ca="1">IF('Stock Price'!$I$11="OK",L544/INDEX(L$5:L$1258,'Stock Price'!$I$9)-1,"")</f>
        <v>-0.17125950972104809</v>
      </c>
      <c r="Z544" s="19">
        <f ca="1">IF('Stock Price'!$I$11="OK",M544/INDEX(M$5:M$1258,'Stock Price'!$I$9)-1,"")</f>
        <v>-5.2011530266950823E-2</v>
      </c>
    </row>
    <row r="545" spans="1:26" x14ac:dyDescent="0.2">
      <c r="A545" s="16">
        <f>'Stock Price'!A545</f>
        <v>45258</v>
      </c>
      <c r="B545" s="17">
        <f>'Stock Price'!E545</f>
        <v>138.08000000000001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591.6</v>
      </c>
      <c r="L545" s="18">
        <v>48.92</v>
      </c>
      <c r="M545" s="18">
        <v>151.63</v>
      </c>
      <c r="O545" s="19">
        <f ca="1">IF('Stock Price'!$I$11="OK",B545/INDEX(B$5:B$1258,'Stock Price'!$I$9)-1,"")</f>
        <v>0.26088941649164465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1.5618152686961415</v>
      </c>
      <c r="Y545" s="19">
        <f ca="1">IF('Stock Price'!$I$11="OK",L545/INDEX(L$5:L$1258,'Stock Price'!$I$9)-1,"")</f>
        <v>-0.17295012679628063</v>
      </c>
      <c r="Z545" s="19">
        <f ca="1">IF('Stock Price'!$I$11="OK",M545/INDEX(M$5:M$1258,'Stock Price'!$I$9)-1,"")</f>
        <v>-4.9818272966537291E-2</v>
      </c>
    </row>
    <row r="546" spans="1:26" x14ac:dyDescent="0.2">
      <c r="A546" s="16">
        <f>'Stock Price'!A546</f>
        <v>45259</v>
      </c>
      <c r="B546" s="17">
        <f>'Stock Price'!E546</f>
        <v>138.5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591.86</v>
      </c>
      <c r="L546" s="18">
        <v>48.72</v>
      </c>
      <c r="M546" s="18">
        <v>152.11000000000001</v>
      </c>
      <c r="O546" s="19">
        <f ca="1">IF('Stock Price'!$I$11="OK",B546/INDEX(B$5:B$1258,'Stock Price'!$I$9)-1,"")</f>
        <v>0.26472468267738103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1.5629411509981379</v>
      </c>
      <c r="Y546" s="19">
        <f ca="1">IF('Stock Price'!$I$11="OK",L546/INDEX(L$5:L$1258,'Stock Price'!$I$9)-1,"")</f>
        <v>-0.17633136094674551</v>
      </c>
      <c r="Z546" s="19">
        <f ca="1">IF('Stock Price'!$I$11="OK",M546/INDEX(M$5:M$1258,'Stock Price'!$I$9)-1,"")</f>
        <v>-4.6810377240255607E-2</v>
      </c>
    </row>
    <row r="547" spans="1:26" x14ac:dyDescent="0.2">
      <c r="A547" s="16">
        <f>'Stock Price'!A547</f>
        <v>45260</v>
      </c>
      <c r="B547" s="17">
        <f>'Stock Price'!E547</f>
        <v>142.38999999999999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591.04</v>
      </c>
      <c r="L547" s="18">
        <v>49.38</v>
      </c>
      <c r="M547" s="18">
        <v>154.66</v>
      </c>
      <c r="O547" s="19">
        <f ca="1">IF('Stock Price'!$I$11="OK",B547/INDEX(B$5:B$1258,'Stock Price'!$I$9)-1,"")</f>
        <v>0.3002465528262257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1.5593902914303035</v>
      </c>
      <c r="Y547" s="19">
        <f ca="1">IF('Stock Price'!$I$11="OK",L547/INDEX(L$5:L$1258,'Stock Price'!$I$9)-1,"")</f>
        <v>-0.16517328825021127</v>
      </c>
      <c r="Z547" s="19">
        <f ca="1">IF('Stock Price'!$I$11="OK",M547/INDEX(M$5:M$1258,'Stock Price'!$I$9)-1,"")</f>
        <v>-3.0830931194385403E-2</v>
      </c>
    </row>
    <row r="548" spans="1:26" x14ac:dyDescent="0.2">
      <c r="A548" s="16">
        <f>'Stock Price'!A548</f>
        <v>45261</v>
      </c>
      <c r="B548" s="17">
        <f>'Stock Price'!E548</f>
        <v>143.41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584.04</v>
      </c>
      <c r="L548" s="18">
        <v>50.1</v>
      </c>
      <c r="M548" s="18">
        <v>158.38</v>
      </c>
      <c r="O548" s="19">
        <f ca="1">IF('Stock Price'!$I$11="OK",B548/INDEX(B$5:B$1258,'Stock Price'!$I$9)-1,"")</f>
        <v>0.30956077070587162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1.5290780756073268</v>
      </c>
      <c r="Y548" s="19">
        <f ca="1">IF('Stock Price'!$I$11="OK",L548/INDEX(L$5:L$1258,'Stock Price'!$I$9)-1,"")</f>
        <v>-0.15300084530853753</v>
      </c>
      <c r="Z548" s="19">
        <f ca="1">IF('Stock Price'!$I$11="OK",M548/INDEX(M$5:M$1258,'Stock Price'!$I$9)-1,"")</f>
        <v>-7.5197393157038217E-3</v>
      </c>
    </row>
    <row r="549" spans="1:26" x14ac:dyDescent="0.2">
      <c r="A549" s="16">
        <f>'Stock Price'!A549</f>
        <v>45264</v>
      </c>
      <c r="B549" s="17">
        <f>'Stock Price'!E549</f>
        <v>144.15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585.67999999999995</v>
      </c>
      <c r="L549" s="18">
        <v>49.98</v>
      </c>
      <c r="M549" s="18">
        <v>158.88</v>
      </c>
      <c r="O549" s="19">
        <f ca="1">IF('Stock Price'!$I$11="OK",B549/INDEX(B$5:B$1258,'Stock Price'!$I$9)-1,"")</f>
        <v>0.31631814446169293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1.5361797947429956</v>
      </c>
      <c r="Y549" s="19">
        <f ca="1">IF('Stock Price'!$I$11="OK",L549/INDEX(L$5:L$1258,'Stock Price'!$I$9)-1,"")</f>
        <v>-0.15502958579881665</v>
      </c>
      <c r="Z549" s="19">
        <f ca="1">IF('Stock Price'!$I$11="OK",M549/INDEX(M$5:M$1258,'Stock Price'!$I$9)-1,"")</f>
        <v>-4.3865146008272848E-3</v>
      </c>
    </row>
    <row r="550" spans="1:26" x14ac:dyDescent="0.2">
      <c r="A550" s="16">
        <f>'Stock Price'!A550</f>
        <v>45265</v>
      </c>
      <c r="B550" s="17">
        <f>'Stock Price'!E550</f>
        <v>144.57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588.15</v>
      </c>
      <c r="L550" s="18">
        <v>50.23</v>
      </c>
      <c r="M550" s="18">
        <v>158.55000000000001</v>
      </c>
      <c r="O550" s="19">
        <f ca="1">IF('Stock Price'!$I$11="OK",B550/INDEX(B$5:B$1258,'Stock Price'!$I$9)-1,"")</f>
        <v>0.3201534106474293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1.5468756766119602</v>
      </c>
      <c r="Y550" s="19">
        <f ca="1">IF('Stock Price'!$I$11="OK",L550/INDEX(L$5:L$1258,'Stock Price'!$I$9)-1,"")</f>
        <v>-0.15080304311073545</v>
      </c>
      <c r="Z550" s="19">
        <f ca="1">IF('Stock Price'!$I$11="OK",M550/INDEX(M$5:M$1258,'Stock Price'!$I$9)-1,"")</f>
        <v>-6.4544429126457414E-3</v>
      </c>
    </row>
    <row r="551" spans="1:26" x14ac:dyDescent="0.2">
      <c r="A551" s="16">
        <f>'Stock Price'!A551</f>
        <v>45266</v>
      </c>
      <c r="B551" s="17">
        <f>'Stock Price'!E551</f>
        <v>146.38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589.25</v>
      </c>
      <c r="L551" s="18">
        <v>49.88</v>
      </c>
      <c r="M551" s="18">
        <v>156.62</v>
      </c>
      <c r="O551" s="19">
        <f ca="1">IF('Stock Price'!$I$11="OK",B551/INDEX(B$5:B$1258,'Stock Price'!$I$9)-1,"")</f>
        <v>0.33668158159072226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1.5516390248127139</v>
      </c>
      <c r="Y551" s="19">
        <f ca="1">IF('Stock Price'!$I$11="OK",L551/INDEX(L$5:L$1258,'Stock Price'!$I$9)-1,"")</f>
        <v>-0.15672020287404897</v>
      </c>
      <c r="Z551" s="19">
        <f ca="1">IF('Stock Price'!$I$11="OK",M551/INDEX(M$5:M$1258,'Stock Price'!$I$9)-1,"")</f>
        <v>-1.8548690312069183E-2</v>
      </c>
    </row>
    <row r="552" spans="1:26" x14ac:dyDescent="0.2">
      <c r="A552" s="16">
        <f>'Stock Price'!A552</f>
        <v>45267</v>
      </c>
      <c r="B552" s="17">
        <f>'Stock Price'!E552</f>
        <v>147.97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588.27</v>
      </c>
      <c r="L552" s="18">
        <v>50.16</v>
      </c>
      <c r="M552" s="18">
        <v>155.4</v>
      </c>
      <c r="O552" s="19">
        <f ca="1">IF('Stock Price'!$I$11="OK",B552/INDEX(B$5:B$1258,'Stock Price'!$I$9)-1,"")</f>
        <v>0.35120080357958172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1.5473953145974968</v>
      </c>
      <c r="Y552" s="19">
        <f ca="1">IF('Stock Price'!$I$11="OK",L552/INDEX(L$5:L$1258,'Stock Price'!$I$9)-1,"")</f>
        <v>-0.15198647506339813</v>
      </c>
      <c r="Z552" s="19">
        <f ca="1">IF('Stock Price'!$I$11="OK",M552/INDEX(M$5:M$1258,'Stock Price'!$I$9)-1,"")</f>
        <v>-2.6193758616367968E-2</v>
      </c>
    </row>
    <row r="553" spans="1:26" x14ac:dyDescent="0.2">
      <c r="A553" s="16">
        <f>'Stock Price'!A553</f>
        <v>45268</v>
      </c>
      <c r="B553" s="17">
        <f>'Stock Price'!E553</f>
        <v>149.28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598.04999999999995</v>
      </c>
      <c r="L553" s="18">
        <v>50.31</v>
      </c>
      <c r="M553" s="18">
        <v>154.41999999999999</v>
      </c>
      <c r="O553" s="19">
        <f ca="1">IF('Stock Price'!$I$11="OK",B553/INDEX(B$5:B$1258,'Stock Price'!$I$9)-1,"")</f>
        <v>0.36316318144461679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1.5897458104187412</v>
      </c>
      <c r="Y553" s="19">
        <f ca="1">IF('Stock Price'!$I$11="OK",L553/INDEX(L$5:L$1258,'Stock Price'!$I$9)-1,"")</f>
        <v>-0.14945054945054936</v>
      </c>
      <c r="Z553" s="19">
        <f ca="1">IF('Stock Price'!$I$11="OK",M553/INDEX(M$5:M$1258,'Stock Price'!$I$9)-1,"")</f>
        <v>-3.2334879057526189E-2</v>
      </c>
    </row>
    <row r="554" spans="1:26" x14ac:dyDescent="0.2">
      <c r="A554" s="16">
        <f>'Stock Price'!A554</f>
        <v>45271</v>
      </c>
      <c r="B554" s="17">
        <f>'Stock Price'!E554</f>
        <v>151.24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584.04</v>
      </c>
      <c r="L554" s="18">
        <v>51.09</v>
      </c>
      <c r="M554" s="18">
        <v>155.06</v>
      </c>
      <c r="O554" s="19">
        <f ca="1">IF('Stock Price'!$I$11="OK",B554/INDEX(B$5:B$1258,'Stock Price'!$I$9)-1,"")</f>
        <v>0.38106109031138713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1.5290780756073268</v>
      </c>
      <c r="Y554" s="19">
        <f ca="1">IF('Stock Price'!$I$11="OK",L554/INDEX(L$5:L$1258,'Stock Price'!$I$9)-1,"")</f>
        <v>-0.13626373626373622</v>
      </c>
      <c r="Z554" s="19">
        <f ca="1">IF('Stock Price'!$I$11="OK",M554/INDEX(M$5:M$1258,'Stock Price'!$I$9)-1,"")</f>
        <v>-2.8324351422484129E-2</v>
      </c>
    </row>
    <row r="555" spans="1:26" x14ac:dyDescent="0.2">
      <c r="A555" s="16">
        <f>'Stock Price'!A555</f>
        <v>45272</v>
      </c>
      <c r="B555" s="17">
        <f>'Stock Price'!E555</f>
        <v>153.24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584.76</v>
      </c>
      <c r="L555" s="18">
        <v>50.51</v>
      </c>
      <c r="M555" s="18">
        <v>155.07</v>
      </c>
      <c r="O555" s="19">
        <f ca="1">IF('Stock Price'!$I$11="OK",B555/INDEX(B$5:B$1258,'Stock Price'!$I$9)-1,"")</f>
        <v>0.39932426262441778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1.532195903520547</v>
      </c>
      <c r="Y555" s="19">
        <f ca="1">IF('Stock Price'!$I$11="OK",L555/INDEX(L$5:L$1258,'Stock Price'!$I$9)-1,"")</f>
        <v>-0.14606931530008449</v>
      </c>
      <c r="Z555" s="19">
        <f ca="1">IF('Stock Price'!$I$11="OK",M555/INDEX(M$5:M$1258,'Stock Price'!$I$9)-1,"")</f>
        <v>-2.8261686928186647E-2</v>
      </c>
    </row>
    <row r="556" spans="1:26" x14ac:dyDescent="0.2">
      <c r="A556" s="16">
        <f>'Stock Price'!A556</f>
        <v>45273</v>
      </c>
      <c r="B556" s="17">
        <f>'Stock Price'!E556</f>
        <v>154.30000000000001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597.5</v>
      </c>
      <c r="L556" s="18">
        <v>51.86</v>
      </c>
      <c r="M556" s="18">
        <v>155.79</v>
      </c>
      <c r="O556" s="19">
        <f ca="1">IF('Stock Price'!$I$11="OK",B556/INDEX(B$5:B$1258,'Stock Price'!$I$9)-1,"")</f>
        <v>0.40900374395032424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1.5873641363183646</v>
      </c>
      <c r="Y556" s="19">
        <f ca="1">IF('Stock Price'!$I$11="OK",L556/INDEX(L$5:L$1258,'Stock Price'!$I$9)-1,"")</f>
        <v>-0.12324598478444626</v>
      </c>
      <c r="Z556" s="19">
        <f ca="1">IF('Stock Price'!$I$11="OK",M556/INDEX(M$5:M$1258,'Stock Price'!$I$9)-1,"")</f>
        <v>-2.3749843338764398E-2</v>
      </c>
    </row>
    <row r="557" spans="1:26" x14ac:dyDescent="0.2">
      <c r="A557" s="16">
        <f>'Stock Price'!A557</f>
        <v>45274</v>
      </c>
      <c r="B557" s="17">
        <f>'Stock Price'!E557</f>
        <v>154.88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573.66999999999996</v>
      </c>
      <c r="L557" s="18">
        <v>51.47</v>
      </c>
      <c r="M557" s="18">
        <v>156.87</v>
      </c>
      <c r="O557" s="19">
        <f ca="1">IF('Stock Price'!$I$11="OK",B557/INDEX(B$5:B$1258,'Stock Price'!$I$9)-1,"")</f>
        <v>0.41430006392110297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1.4841726930238597</v>
      </c>
      <c r="Y557" s="19">
        <f ca="1">IF('Stock Price'!$I$11="OK",L557/INDEX(L$5:L$1258,'Stock Price'!$I$9)-1,"")</f>
        <v>-0.12983939137785294</v>
      </c>
      <c r="Z557" s="19">
        <f ca="1">IF('Stock Price'!$I$11="OK",M557/INDEX(M$5:M$1258,'Stock Price'!$I$9)-1,"")</f>
        <v>-1.6982077954630914E-2</v>
      </c>
    </row>
    <row r="558" spans="1:26" x14ac:dyDescent="0.2">
      <c r="A558" s="16">
        <f>'Stock Price'!A558</f>
        <v>45275</v>
      </c>
      <c r="B558" s="17">
        <f>'Stock Price'!E558</f>
        <v>154.04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572.04</v>
      </c>
      <c r="L558" s="18">
        <v>50.89</v>
      </c>
      <c r="M558" s="18">
        <v>155.16</v>
      </c>
      <c r="O558" s="19">
        <f ca="1">IF('Stock Price'!$I$11="OK",B558/INDEX(B$5:B$1258,'Stock Price'!$I$9)-1,"")</f>
        <v>0.40662953154963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1.4771142770536523</v>
      </c>
      <c r="Y558" s="19">
        <f ca="1">IF('Stock Price'!$I$11="OK",L558/INDEX(L$5:L$1258,'Stock Price'!$I$9)-1,"")</f>
        <v>-0.13964497041420121</v>
      </c>
      <c r="Z558" s="19">
        <f ca="1">IF('Stock Price'!$I$11="OK",M558/INDEX(M$5:M$1258,'Stock Price'!$I$9)-1,"")</f>
        <v>-2.7697706479508755E-2</v>
      </c>
    </row>
    <row r="559" spans="1:26" x14ac:dyDescent="0.2">
      <c r="A559" s="16">
        <f>'Stock Price'!A559</f>
        <v>45278</v>
      </c>
      <c r="B559" s="17">
        <f>'Stock Price'!E559</f>
        <v>153.41999999999999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579.76</v>
      </c>
      <c r="L559" s="18">
        <v>51.34</v>
      </c>
      <c r="M559" s="18">
        <v>155.44</v>
      </c>
      <c r="O559" s="19">
        <f ca="1">IF('Stock Price'!$I$11="OK",B559/INDEX(B$5:B$1258,'Stock Price'!$I$9)-1,"")</f>
        <v>0.40096794813259051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1.5105443207898497</v>
      </c>
      <c r="Y559" s="19">
        <f ca="1">IF('Stock Price'!$I$11="OK",L559/INDEX(L$5:L$1258,'Stock Price'!$I$9)-1,"")</f>
        <v>-0.13203719357565502</v>
      </c>
      <c r="Z559" s="19">
        <f ca="1">IF('Stock Price'!$I$11="OK",M559/INDEX(M$5:M$1258,'Stock Price'!$I$9)-1,"")</f>
        <v>-2.594310063917793E-2</v>
      </c>
    </row>
    <row r="560" spans="1:26" x14ac:dyDescent="0.2">
      <c r="A560" s="16">
        <f>'Stock Price'!A560</f>
        <v>45279</v>
      </c>
      <c r="B560" s="17">
        <f>'Stock Price'!E560</f>
        <v>153.6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579.80999999999995</v>
      </c>
      <c r="L560" s="18">
        <v>52.11</v>
      </c>
      <c r="M560" s="18">
        <v>156.46</v>
      </c>
      <c r="O560" s="19">
        <f ca="1">IF('Stock Price'!$I$11="OK",B560/INDEX(B$5:B$1258,'Stock Price'!$I$9)-1,"")</f>
        <v>0.40261163364076324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1.5107608366171563</v>
      </c>
      <c r="Y560" s="19">
        <f ca="1">IF('Stock Price'!$I$11="OK",L560/INDEX(L$5:L$1258,'Stock Price'!$I$9)-1,"")</f>
        <v>-0.11901944209636517</v>
      </c>
      <c r="Z560" s="19">
        <f ca="1">IF('Stock Price'!$I$11="OK",M560/INDEX(M$5:M$1258,'Stock Price'!$I$9)-1,"")</f>
        <v>-1.955132222082967E-2</v>
      </c>
    </row>
    <row r="561" spans="1:26" x14ac:dyDescent="0.2">
      <c r="A561" s="16">
        <f>'Stock Price'!A561</f>
        <v>45280</v>
      </c>
      <c r="B561" s="17">
        <f>'Stock Price'!E561</f>
        <v>151.69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570.21</v>
      </c>
      <c r="L561" s="18">
        <v>50.96</v>
      </c>
      <c r="M561" s="18">
        <v>153.27000000000001</v>
      </c>
      <c r="O561" s="19">
        <f ca="1">IF('Stock Price'!$I$11="OK",B561/INDEX(B$5:B$1258,'Stock Price'!$I$9)-1,"")</f>
        <v>0.38517030408181885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1.4691897977742174</v>
      </c>
      <c r="Y561" s="19">
        <f ca="1">IF('Stock Price'!$I$11="OK",L561/INDEX(L$5:L$1258,'Stock Price'!$I$9)-1,"")</f>
        <v>-0.13846153846153841</v>
      </c>
      <c r="Z561" s="19">
        <f ca="1">IF('Stock Price'!$I$11="OK",M561/INDEX(M$5:M$1258,'Stock Price'!$I$9)-1,"")</f>
        <v>-3.9541295901742046E-2</v>
      </c>
    </row>
    <row r="562" spans="1:26" x14ac:dyDescent="0.2">
      <c r="A562" s="16">
        <f>'Stock Price'!A562</f>
        <v>45281</v>
      </c>
      <c r="B562" s="17">
        <f>'Stock Price'!E562</f>
        <v>152.59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572</v>
      </c>
      <c r="L562" s="18">
        <v>51.26</v>
      </c>
      <c r="M562" s="18">
        <v>154.84</v>
      </c>
      <c r="O562" s="19">
        <f ca="1">IF('Stock Price'!$I$11="OK",B562/INDEX(B$5:B$1258,'Stock Price'!$I$9)-1,"")</f>
        <v>0.39338873162268273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1.4769410643918071</v>
      </c>
      <c r="Y562" s="19">
        <f ca="1">IF('Stock Price'!$I$11="OK",L562/INDEX(L$5:L$1258,'Stock Price'!$I$9)-1,"")</f>
        <v>-0.1333896872358411</v>
      </c>
      <c r="Z562" s="19">
        <f ca="1">IF('Stock Price'!$I$11="OK",M562/INDEX(M$5:M$1258,'Stock Price'!$I$9)-1,"")</f>
        <v>-2.9702970297029729E-2</v>
      </c>
    </row>
    <row r="563" spans="1:26" x14ac:dyDescent="0.2">
      <c r="A563" s="16">
        <f>'Stock Price'!A563</f>
        <v>45282</v>
      </c>
      <c r="B563" s="17">
        <f>'Stock Price'!E563</f>
        <v>154.94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570.39</v>
      </c>
      <c r="L563" s="18">
        <v>52.29</v>
      </c>
      <c r="M563" s="18">
        <v>155.46</v>
      </c>
      <c r="O563" s="19">
        <f ca="1">IF('Stock Price'!$I$11="OK",B563/INDEX(B$5:B$1258,'Stock Price'!$I$9)-1,"")</f>
        <v>0.41484795909049388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1.4699692547525225</v>
      </c>
      <c r="Y563" s="19">
        <f ca="1">IF('Stock Price'!$I$11="OK",L563/INDEX(L$5:L$1258,'Stock Price'!$I$9)-1,"")</f>
        <v>-0.11597633136094676</v>
      </c>
      <c r="Z563" s="19">
        <f ca="1">IF('Stock Price'!$I$11="OK",M563/INDEX(M$5:M$1258,'Stock Price'!$I$9)-1,"")</f>
        <v>-2.5817771650582855E-2</v>
      </c>
    </row>
    <row r="564" spans="1:26" x14ac:dyDescent="0.2">
      <c r="A564" s="16">
        <f>'Stock Price'!A564</f>
        <v>45286</v>
      </c>
      <c r="B564" s="17">
        <f>'Stock Price'!E564</f>
        <v>154.62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570.66999999999996</v>
      </c>
      <c r="L564" s="18">
        <v>51.45</v>
      </c>
      <c r="M564" s="18">
        <v>156.13999999999999</v>
      </c>
      <c r="O564" s="19">
        <f ca="1">IF('Stock Price'!$I$11="OK",B564/INDEX(B$5:B$1258,'Stock Price'!$I$9)-1,"")</f>
        <v>0.41192585152040917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1.4711817433854413</v>
      </c>
      <c r="Y564" s="19">
        <f ca="1">IF('Stock Price'!$I$11="OK",L564/INDEX(L$5:L$1258,'Stock Price'!$I$9)-1,"")</f>
        <v>-0.1301775147928993</v>
      </c>
      <c r="Z564" s="19">
        <f ca="1">IF('Stock Price'!$I$11="OK",M564/INDEX(M$5:M$1258,'Stock Price'!$I$9)-1,"")</f>
        <v>-2.1556586038350867E-2</v>
      </c>
    </row>
    <row r="565" spans="1:26" x14ac:dyDescent="0.2">
      <c r="A565" s="16">
        <f>'Stock Price'!A565</f>
        <v>45287</v>
      </c>
      <c r="B565" s="17">
        <f>'Stock Price'!E565</f>
        <v>154.88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581.51</v>
      </c>
      <c r="L565" s="18">
        <v>51.21</v>
      </c>
      <c r="M565" s="18">
        <v>156.35</v>
      </c>
      <c r="O565" s="19">
        <f ca="1">IF('Stock Price'!$I$11="OK",B565/INDEX(B$5:B$1258,'Stock Price'!$I$9)-1,"")</f>
        <v>0.41430006392110297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1.5181223747455936</v>
      </c>
      <c r="Y565" s="19">
        <f ca="1">IF('Stock Price'!$I$11="OK",L565/INDEX(L$5:L$1258,'Stock Price'!$I$9)-1,"")</f>
        <v>-0.13423499577345732</v>
      </c>
      <c r="Z565" s="19">
        <f ca="1">IF('Stock Price'!$I$11="OK",M565/INDEX(M$5:M$1258,'Stock Price'!$I$9)-1,"")</f>
        <v>-2.0240631658102637E-2</v>
      </c>
    </row>
    <row r="566" spans="1:26" x14ac:dyDescent="0.2">
      <c r="A566" s="16">
        <f>'Stock Price'!A566</f>
        <v>45288</v>
      </c>
      <c r="B566" s="17">
        <f>'Stock Price'!E566</f>
        <v>154.75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580.85</v>
      </c>
      <c r="L566" s="18">
        <v>51.22</v>
      </c>
      <c r="M566" s="18">
        <v>156.58000000000001</v>
      </c>
      <c r="O566" s="19">
        <f ca="1">IF('Stock Price'!$I$11="OK",B566/INDEX(B$5:B$1258,'Stock Price'!$I$9)-1,"")</f>
        <v>0.41311295772075596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1.5152643658251419</v>
      </c>
      <c r="Y566" s="19">
        <f ca="1">IF('Stock Price'!$I$11="OK",L566/INDEX(L$5:L$1258,'Stock Price'!$I$9)-1,"")</f>
        <v>-0.13406593406593403</v>
      </c>
      <c r="Z566" s="19">
        <f ca="1">IF('Stock Price'!$I$11="OK",M566/INDEX(M$5:M$1258,'Stock Price'!$I$9)-1,"")</f>
        <v>-1.8799348289259332E-2</v>
      </c>
    </row>
    <row r="567" spans="1:26" x14ac:dyDescent="0.2">
      <c r="A567" s="16">
        <f>'Stock Price'!A567</f>
        <v>45289</v>
      </c>
      <c r="B567" s="17">
        <f>'Stock Price'!E567</f>
        <v>154.97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582.91999999999996</v>
      </c>
      <c r="L567" s="18">
        <v>51.31</v>
      </c>
      <c r="M567" s="18">
        <v>156.74</v>
      </c>
      <c r="O567" s="19">
        <f ca="1">IF('Stock Price'!$I$11="OK",B567/INDEX(B$5:B$1258,'Stock Price'!$I$9)-1,"")</f>
        <v>0.41512190667518944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1.5242281210756503</v>
      </c>
      <c r="Y567" s="19">
        <f ca="1">IF('Stock Price'!$I$11="OK",L567/INDEX(L$5:L$1258,'Stock Price'!$I$9)-1,"")</f>
        <v>-0.13254437869822477</v>
      </c>
      <c r="Z567" s="19">
        <f ca="1">IF('Stock Price'!$I$11="OK",M567/INDEX(M$5:M$1258,'Stock Price'!$I$9)-1,"")</f>
        <v>-1.7796716380498845E-2</v>
      </c>
    </row>
    <row r="568" spans="1:26" x14ac:dyDescent="0.2">
      <c r="A568" s="16">
        <f>'Stock Price'!A568</f>
        <v>45293</v>
      </c>
      <c r="B568" s="17">
        <f>'Stock Price'!E568</f>
        <v>159.82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592.20000000000005</v>
      </c>
      <c r="L568" s="18">
        <v>52.76</v>
      </c>
      <c r="M568" s="18">
        <v>159.97</v>
      </c>
      <c r="O568" s="19">
        <f ca="1">IF('Stock Price'!$I$11="OK",B568/INDEX(B$5:B$1258,'Stock Price'!$I$9)-1,"")</f>
        <v>0.45941009953428891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1.5644134586238256</v>
      </c>
      <c r="Y568" s="19">
        <f ca="1">IF('Stock Price'!$I$11="OK",L568/INDEX(L$5:L$1258,'Stock Price'!$I$9)-1,"")</f>
        <v>-0.10803043110735422</v>
      </c>
      <c r="Z568" s="19">
        <f ca="1">IF('Stock Price'!$I$11="OK",M568/INDEX(M$5:M$1258,'Stock Price'!$I$9)-1,"")</f>
        <v>2.443915277603681E-3</v>
      </c>
    </row>
    <row r="569" spans="1:26" x14ac:dyDescent="0.2">
      <c r="A569" s="16">
        <f>'Stock Price'!A569</f>
        <v>45294</v>
      </c>
      <c r="B569" s="17">
        <f>'Stock Price'!E569</f>
        <v>160.46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617.70000000000005</v>
      </c>
      <c r="L569" s="18">
        <v>52.3</v>
      </c>
      <c r="M569" s="18">
        <v>160.97</v>
      </c>
      <c r="O569" s="19">
        <f ca="1">IF('Stock Price'!$I$11="OK",B569/INDEX(B$5:B$1258,'Stock Price'!$I$9)-1,"")</f>
        <v>0.46525431467445899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1.6748365305503832</v>
      </c>
      <c r="Y569" s="19">
        <f ca="1">IF('Stock Price'!$I$11="OK",L569/INDEX(L$5:L$1258,'Stock Price'!$I$9)-1,"")</f>
        <v>-0.11580726965342347</v>
      </c>
      <c r="Z569" s="19">
        <f ca="1">IF('Stock Price'!$I$11="OK",M569/INDEX(M$5:M$1258,'Stock Price'!$I$9)-1,"")</f>
        <v>8.7103647073567547E-3</v>
      </c>
    </row>
    <row r="570" spans="1:26" x14ac:dyDescent="0.2">
      <c r="A570" s="16">
        <f>'Stock Price'!A570</f>
        <v>45295</v>
      </c>
      <c r="B570" s="17">
        <f>'Stock Price'!E570</f>
        <v>161.46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614.5</v>
      </c>
      <c r="L570" s="18">
        <v>52.04</v>
      </c>
      <c r="M570" s="18">
        <v>160.63</v>
      </c>
      <c r="O570" s="19">
        <f ca="1">IF('Stock Price'!$I$11="OK",B570/INDEX(B$5:B$1258,'Stock Price'!$I$9)-1,"")</f>
        <v>0.47438590083097432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1.6609795176027369</v>
      </c>
      <c r="Y570" s="19">
        <f ca="1">IF('Stock Price'!$I$11="OK",L570/INDEX(L$5:L$1258,'Stock Price'!$I$9)-1,"")</f>
        <v>-0.12020287404902785</v>
      </c>
      <c r="Z570" s="19">
        <f ca="1">IF('Stock Price'!$I$11="OK",M570/INDEX(M$5:M$1258,'Stock Price'!$I$9)-1,"")</f>
        <v>6.5797719012405942E-3</v>
      </c>
    </row>
    <row r="571" spans="1:26" x14ac:dyDescent="0.2">
      <c r="A571" s="16">
        <f>'Stock Price'!A571</f>
        <v>45296</v>
      </c>
      <c r="B571" s="17">
        <f>'Stock Price'!E571</f>
        <v>162.13999999999999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618.54999999999995</v>
      </c>
      <c r="L571" s="18">
        <v>52.23</v>
      </c>
      <c r="M571" s="18">
        <v>161.13</v>
      </c>
      <c r="O571" s="19">
        <f ca="1">IF('Stock Price'!$I$11="OK",B571/INDEX(B$5:B$1258,'Stock Price'!$I$9)-1,"")</f>
        <v>0.48059537941740471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1.6785172996146014</v>
      </c>
      <c r="Y571" s="19">
        <f ca="1">IF('Stock Price'!$I$11="OK",L571/INDEX(L$5:L$1258,'Stock Price'!$I$9)-1,"")</f>
        <v>-0.11699070160608627</v>
      </c>
      <c r="Z571" s="19">
        <f ca="1">IF('Stock Price'!$I$11="OK",M571/INDEX(M$5:M$1258,'Stock Price'!$I$9)-1,"")</f>
        <v>9.7129966161171311E-3</v>
      </c>
    </row>
    <row r="572" spans="1:26" x14ac:dyDescent="0.2">
      <c r="A572" s="16">
        <f>'Stock Price'!A572</f>
        <v>45299</v>
      </c>
      <c r="B572" s="17">
        <f>'Stock Price'!E572</f>
        <v>161.43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626.03</v>
      </c>
      <c r="L572" s="18">
        <v>51.79</v>
      </c>
      <c r="M572" s="18">
        <v>161.53</v>
      </c>
      <c r="O572" s="19">
        <f ca="1">IF('Stock Price'!$I$11="OK",B572/INDEX(B$5:B$1258,'Stock Price'!$I$9)-1,"")</f>
        <v>0.47411195324627897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1.7109080673797252</v>
      </c>
      <c r="Y572" s="19">
        <f ca="1">IF('Stock Price'!$I$11="OK",L572/INDEX(L$5:L$1258,'Stock Price'!$I$9)-1,"")</f>
        <v>-0.12442941673710906</v>
      </c>
      <c r="Z572" s="19">
        <f ca="1">IF('Stock Price'!$I$11="OK",M572/INDEX(M$5:M$1258,'Stock Price'!$I$9)-1,"")</f>
        <v>1.2219576388018405E-2</v>
      </c>
    </row>
    <row r="573" spans="1:26" x14ac:dyDescent="0.2">
      <c r="A573" s="16">
        <f>'Stock Price'!A573</f>
        <v>45300</v>
      </c>
      <c r="B573" s="17">
        <f>'Stock Price'!E573</f>
        <v>162.31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625.48</v>
      </c>
      <c r="L573" s="18">
        <v>51.28</v>
      </c>
      <c r="M573" s="18">
        <v>161.63</v>
      </c>
      <c r="O573" s="19">
        <f ca="1">IF('Stock Price'!$I$11="OK",B573/INDEX(B$5:B$1258,'Stock Price'!$I$9)-1,"")</f>
        <v>0.48214774906401248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1.7085263932793486</v>
      </c>
      <c r="Y573" s="19">
        <f ca="1">IF('Stock Price'!$I$11="OK",L573/INDEX(L$5:L$1258,'Stock Price'!$I$9)-1,"")</f>
        <v>-0.13305156382079453</v>
      </c>
      <c r="Z573" s="19">
        <f ca="1">IF('Stock Price'!$I$11="OK",M573/INDEX(M$5:M$1258,'Stock Price'!$I$9)-1,"")</f>
        <v>1.2846221330993668E-2</v>
      </c>
    </row>
    <row r="574" spans="1:26" x14ac:dyDescent="0.2">
      <c r="A574" s="16">
        <f>'Stock Price'!A574</f>
        <v>45301</v>
      </c>
      <c r="B574" s="17">
        <f>'Stock Price'!E574</f>
        <v>164.89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630.19000000000005</v>
      </c>
      <c r="L574" s="18">
        <v>50.66</v>
      </c>
      <c r="M574" s="18">
        <v>161.87</v>
      </c>
      <c r="O574" s="19">
        <f ca="1">IF('Stock Price'!$I$11="OK",B574/INDEX(B$5:B$1258,'Stock Price'!$I$9)-1,"")</f>
        <v>0.50570724134782186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1.7289221842116662</v>
      </c>
      <c r="Y574" s="19">
        <f ca="1">IF('Stock Price'!$I$11="OK",L574/INDEX(L$5:L$1258,'Stock Price'!$I$9)-1,"")</f>
        <v>-0.14353338968723584</v>
      </c>
      <c r="Z574" s="19">
        <f ca="1">IF('Stock Price'!$I$11="OK",M574/INDEX(M$5:M$1258,'Stock Price'!$I$9)-1,"")</f>
        <v>1.4350169194134565E-2</v>
      </c>
    </row>
    <row r="575" spans="1:26" x14ac:dyDescent="0.2">
      <c r="A575" s="16">
        <f>'Stock Price'!A575</f>
        <v>45302</v>
      </c>
      <c r="B575" s="17">
        <f>'Stock Price'!E575</f>
        <v>163.78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635.72</v>
      </c>
      <c r="L575" s="18">
        <v>50.22</v>
      </c>
      <c r="M575" s="18">
        <v>161.15</v>
      </c>
      <c r="O575" s="19">
        <f ca="1">IF('Stock Price'!$I$11="OK",B575/INDEX(B$5:B$1258,'Stock Price'!$I$9)-1,"")</f>
        <v>0.4955711807140899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1.7528688347118173</v>
      </c>
      <c r="Y575" s="19">
        <f ca="1">IF('Stock Price'!$I$11="OK",L575/INDEX(L$5:L$1258,'Stock Price'!$I$9)-1,"")</f>
        <v>-0.15097210481825862</v>
      </c>
      <c r="Z575" s="19">
        <f ca="1">IF('Stock Price'!$I$11="OK",M575/INDEX(M$5:M$1258,'Stock Price'!$I$9)-1,"")</f>
        <v>9.8383256047123169E-3</v>
      </c>
    </row>
    <row r="576" spans="1:26" x14ac:dyDescent="0.2">
      <c r="A576" s="16">
        <f>'Stock Price'!A576</f>
        <v>45303</v>
      </c>
      <c r="B576" s="17">
        <f>'Stock Price'!E576</f>
        <v>162.4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642.91999999999996</v>
      </c>
      <c r="L576" s="18">
        <v>50.31</v>
      </c>
      <c r="M576" s="18">
        <v>162.38999999999999</v>
      </c>
      <c r="O576" s="19">
        <f ca="1">IF('Stock Price'!$I$11="OK",B576/INDEX(B$5:B$1258,'Stock Price'!$I$9)-1,"")</f>
        <v>0.48296959181809873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1.7840471138440219</v>
      </c>
      <c r="Y576" s="19">
        <f ca="1">IF('Stock Price'!$I$11="OK",L576/INDEX(L$5:L$1258,'Stock Price'!$I$9)-1,"")</f>
        <v>-0.14945054945054936</v>
      </c>
      <c r="Z576" s="19">
        <f ca="1">IF('Stock Price'!$I$11="OK",M576/INDEX(M$5:M$1258,'Stock Price'!$I$9)-1,"")</f>
        <v>1.7608722897606066E-2</v>
      </c>
    </row>
    <row r="577" spans="1:26" x14ac:dyDescent="0.2">
      <c r="A577" s="16">
        <f>'Stock Price'!A577</f>
        <v>45307</v>
      </c>
      <c r="B577" s="17">
        <f>'Stock Price'!E577</f>
        <v>161.47999999999999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634.57000000000005</v>
      </c>
      <c r="L577" s="18">
        <v>50</v>
      </c>
      <c r="M577" s="18">
        <v>160.52000000000001</v>
      </c>
      <c r="O577" s="19">
        <f ca="1">IF('Stock Price'!$I$11="OK",B577/INDEX(B$5:B$1258,'Stock Price'!$I$9)-1,"")</f>
        <v>0.47456853255410447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1.747888970683757</v>
      </c>
      <c r="Y577" s="19">
        <f ca="1">IF('Stock Price'!$I$11="OK",L577/INDEX(L$5:L$1258,'Stock Price'!$I$9)-1,"")</f>
        <v>-0.15469146238377007</v>
      </c>
      <c r="Z577" s="19">
        <f ca="1">IF('Stock Price'!$I$11="OK",M577/INDEX(M$5:M$1258,'Stock Price'!$I$9)-1,"")</f>
        <v>5.8904624639679604E-3</v>
      </c>
    </row>
    <row r="578" spans="1:26" x14ac:dyDescent="0.2">
      <c r="A578" s="16">
        <f>'Stock Price'!A578</f>
        <v>45308</v>
      </c>
      <c r="B578" s="17">
        <f>'Stock Price'!E578</f>
        <v>162.04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628.91</v>
      </c>
      <c r="L578" s="18">
        <v>49.98</v>
      </c>
      <c r="M578" s="18">
        <v>160.43</v>
      </c>
      <c r="O578" s="19">
        <f ca="1">IF('Stock Price'!$I$11="OK",B578/INDEX(B$5:B$1258,'Stock Price'!$I$9)-1,"")</f>
        <v>0.47968222080175305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1.7233793790326071</v>
      </c>
      <c r="Y578" s="19">
        <f ca="1">IF('Stock Price'!$I$11="OK",L578/INDEX(L$5:L$1258,'Stock Price'!$I$9)-1,"")</f>
        <v>-0.15502958579881665</v>
      </c>
      <c r="Z578" s="19">
        <f ca="1">IF('Stock Price'!$I$11="OK",M578/INDEX(M$5:M$1258,'Stock Price'!$I$9)-1,"")</f>
        <v>5.3264820152900683E-3</v>
      </c>
    </row>
    <row r="579" spans="1:26" x14ac:dyDescent="0.2">
      <c r="A579" s="16">
        <f>'Stock Price'!A579</f>
        <v>45309</v>
      </c>
      <c r="B579" s="17">
        <f>'Stock Price'!E579</f>
        <v>163.30000000000001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623.35</v>
      </c>
      <c r="L579" s="18">
        <v>50.09</v>
      </c>
      <c r="M579" s="18">
        <v>161.21</v>
      </c>
      <c r="O579" s="19">
        <f ca="1">IF('Stock Price'!$I$11="OK",B579/INDEX(B$5:B$1258,'Stock Price'!$I$9)-1,"")</f>
        <v>0.49118801935896261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1.6993028190360717</v>
      </c>
      <c r="Y579" s="19">
        <f ca="1">IF('Stock Price'!$I$11="OK",L579/INDEX(L$5:L$1258,'Stock Price'!$I$9)-1,"")</f>
        <v>-0.15316990701606081</v>
      </c>
      <c r="Z579" s="19">
        <f ca="1">IF('Stock Price'!$I$11="OK",M579/INDEX(M$5:M$1258,'Stock Price'!$I$9)-1,"")</f>
        <v>1.021431257049743E-2</v>
      </c>
    </row>
    <row r="580" spans="1:26" x14ac:dyDescent="0.2">
      <c r="A580" s="16">
        <f>'Stock Price'!A580</f>
        <v>45310</v>
      </c>
      <c r="B580" s="17">
        <f>'Stock Price'!E580</f>
        <v>164.77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628.58000000000004</v>
      </c>
      <c r="L580" s="18">
        <v>50.11</v>
      </c>
      <c r="M580" s="18">
        <v>161.68</v>
      </c>
      <c r="O580" s="19">
        <f ca="1">IF('Stock Price'!$I$11="OK",B580/INDEX(B$5:B$1258,'Stock Price'!$I$9)-1,"")</f>
        <v>0.50461145100904026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1.7219503745723812</v>
      </c>
      <c r="Y580" s="19">
        <f ca="1">IF('Stock Price'!$I$11="OK",L580/INDEX(L$5:L$1258,'Stock Price'!$I$9)-1,"")</f>
        <v>-0.15283178360101435</v>
      </c>
      <c r="Z580" s="19">
        <f ca="1">IF('Stock Price'!$I$11="OK",M580/INDEX(M$5:M$1258,'Stock Price'!$I$9)-1,"")</f>
        <v>1.315954380248141E-2</v>
      </c>
    </row>
    <row r="581" spans="1:26" x14ac:dyDescent="0.2">
      <c r="A581" s="16">
        <f>'Stock Price'!A581</f>
        <v>45313</v>
      </c>
      <c r="B581" s="17">
        <f>'Stock Price'!E581</f>
        <v>165.39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630.88</v>
      </c>
      <c r="L581" s="18">
        <v>49.57</v>
      </c>
      <c r="M581" s="18">
        <v>162.47</v>
      </c>
      <c r="O581" s="19">
        <f ca="1">IF('Stock Price'!$I$11="OK",B581/INDEX(B$5:B$1258,'Stock Price'!$I$9)-1,"")</f>
        <v>0.51027303442607952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1.7319101026285022</v>
      </c>
      <c r="Y581" s="19">
        <f ca="1">IF('Stock Price'!$I$11="OK",L581/INDEX(L$5:L$1258,'Stock Price'!$I$9)-1,"")</f>
        <v>-0.16196111580726957</v>
      </c>
      <c r="Z581" s="19">
        <f ca="1">IF('Stock Price'!$I$11="OK",M581/INDEX(M$5:M$1258,'Stock Price'!$I$9)-1,"")</f>
        <v>1.8110038851986365E-2</v>
      </c>
    </row>
    <row r="582" spans="1:26" x14ac:dyDescent="0.2">
      <c r="A582" s="16">
        <f>'Stock Price'!A582</f>
        <v>45314</v>
      </c>
      <c r="B582" s="17">
        <f>'Stock Price'!E582</f>
        <v>167.5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629.67999999999995</v>
      </c>
      <c r="L582" s="18">
        <v>50.12</v>
      </c>
      <c r="M582" s="18">
        <v>159.81</v>
      </c>
      <c r="O582" s="19">
        <f ca="1">IF('Stock Price'!$I$11="OK",B582/INDEX(B$5:B$1258,'Stock Price'!$I$9)-1,"")</f>
        <v>0.52954068121632725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1.7267137227731344</v>
      </c>
      <c r="Y582" s="19">
        <f ca="1">IF('Stock Price'!$I$11="OK",L582/INDEX(L$5:L$1258,'Stock Price'!$I$9)-1,"")</f>
        <v>-0.15266272189349117</v>
      </c>
      <c r="Z582" s="19">
        <f ca="1">IF('Stock Price'!$I$11="OK",M582/INDEX(M$5:M$1258,'Stock Price'!$I$9)-1,"")</f>
        <v>1.4412833688430826E-3</v>
      </c>
    </row>
    <row r="583" spans="1:26" x14ac:dyDescent="0.2">
      <c r="A583" s="16">
        <f>'Stock Price'!A583</f>
        <v>45315</v>
      </c>
      <c r="B583" s="17">
        <f>'Stock Price'!E583</f>
        <v>164.22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633.70000000000005</v>
      </c>
      <c r="L583" s="18">
        <v>50.24</v>
      </c>
      <c r="M583" s="18">
        <v>158.96</v>
      </c>
      <c r="O583" s="19">
        <f ca="1">IF('Stock Price'!$I$11="OK",B583/INDEX(B$5:B$1258,'Stock Price'!$I$9)-1,"")</f>
        <v>0.49958907862295665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1.7441215952886155</v>
      </c>
      <c r="Y583" s="19">
        <f ca="1">IF('Stock Price'!$I$11="OK",L583/INDEX(L$5:L$1258,'Stock Price'!$I$9)-1,"")</f>
        <v>-0.15063398140321216</v>
      </c>
      <c r="Z583" s="19">
        <f ca="1">IF('Stock Price'!$I$11="OK",M583/INDEX(M$5:M$1258,'Stock Price'!$I$9)-1,"")</f>
        <v>-3.8851986464469856E-3</v>
      </c>
    </row>
    <row r="584" spans="1:26" x14ac:dyDescent="0.2">
      <c r="A584" s="16">
        <f>'Stock Price'!A584</f>
        <v>45316</v>
      </c>
      <c r="B584" s="17">
        <f>'Stock Price'!E584</f>
        <v>165.13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627.62</v>
      </c>
      <c r="L584" s="18">
        <v>49.61</v>
      </c>
      <c r="M584" s="18">
        <v>159.56</v>
      </c>
      <c r="O584" s="19">
        <f ca="1">IF('Stock Price'!$I$11="OK",B584/INDEX(B$5:B$1258,'Stock Price'!$I$9)-1,"")</f>
        <v>0.50789882202538572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1.7177932706880874</v>
      </c>
      <c r="Y584" s="19">
        <f ca="1">IF('Stock Price'!$I$11="OK",L584/INDEX(L$5:L$1258,'Stock Price'!$I$9)-1,"")</f>
        <v>-0.16128486897717664</v>
      </c>
      <c r="Z584" s="19">
        <f ca="1">IF('Stock Price'!$I$11="OK",M584/INDEX(M$5:M$1258,'Stock Price'!$I$9)-1,"")</f>
        <v>-1.253289885950748E-4</v>
      </c>
    </row>
    <row r="585" spans="1:26" x14ac:dyDescent="0.2">
      <c r="A585" s="16">
        <f>'Stock Price'!A585</f>
        <v>45317</v>
      </c>
      <c r="B585" s="17">
        <f>'Stock Price'!E585</f>
        <v>164.4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639.25</v>
      </c>
      <c r="L585" s="18">
        <v>49.7</v>
      </c>
      <c r="M585" s="18">
        <v>159.5</v>
      </c>
      <c r="O585" s="19">
        <f ca="1">IF('Stock Price'!$I$11="OK",B585/INDEX(B$5:B$1258,'Stock Price'!$I$9)-1,"")</f>
        <v>0.5012327641311296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1.7681548521196899</v>
      </c>
      <c r="Y585" s="19">
        <f ca="1">IF('Stock Price'!$I$11="OK",L585/INDEX(L$5:L$1258,'Stock Price'!$I$9)-1,"")</f>
        <v>-0.15976331360946738</v>
      </c>
      <c r="Z585" s="19">
        <f ca="1">IF('Stock Price'!$I$11="OK",M585/INDEX(M$5:M$1258,'Stock Price'!$I$9)-1,"")</f>
        <v>-5.0131595438029919E-4</v>
      </c>
    </row>
    <row r="586" spans="1:26" x14ac:dyDescent="0.2">
      <c r="A586" s="16">
        <f>'Stock Price'!A586</f>
        <v>45320</v>
      </c>
      <c r="B586" s="17">
        <f>'Stock Price'!E586</f>
        <v>163.91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645</v>
      </c>
      <c r="L586" s="18">
        <v>49.87</v>
      </c>
      <c r="M586" s="18">
        <v>159.36000000000001</v>
      </c>
      <c r="O586" s="19">
        <f ca="1">IF('Stock Price'!$I$11="OK",B586/INDEX(B$5:B$1258,'Stock Price'!$I$9)-1,"")</f>
        <v>0.49675828691443691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1.7930541722599922</v>
      </c>
      <c r="Y586" s="19">
        <f ca="1">IF('Stock Price'!$I$11="OK",L586/INDEX(L$5:L$1258,'Stock Price'!$I$9)-1,"")</f>
        <v>-0.15688926458157226</v>
      </c>
      <c r="Z586" s="19">
        <f ca="1">IF('Stock Price'!$I$11="OK",M586/INDEX(M$5:M$1258,'Stock Price'!$I$9)-1,"")</f>
        <v>-1.3786188745457117E-3</v>
      </c>
    </row>
    <row r="587" spans="1:26" x14ac:dyDescent="0.2">
      <c r="A587" s="16">
        <f>'Stock Price'!A587</f>
        <v>45321</v>
      </c>
      <c r="B587" s="17">
        <f>'Stock Price'!E587</f>
        <v>164.92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644.98</v>
      </c>
      <c r="L587" s="18">
        <v>49.39</v>
      </c>
      <c r="M587" s="18">
        <v>158.77000000000001</v>
      </c>
      <c r="O587" s="19">
        <f ca="1">IF('Stock Price'!$I$11="OK",B587/INDEX(B$5:B$1258,'Stock Price'!$I$9)-1,"")</f>
        <v>0.50598118893251742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1.7929675659290694</v>
      </c>
      <c r="Y587" s="19">
        <f ca="1">IF('Stock Price'!$I$11="OK",L587/INDEX(L$5:L$1258,'Stock Price'!$I$9)-1,"")</f>
        <v>-0.16500422654268809</v>
      </c>
      <c r="Z587" s="19">
        <f ca="1">IF('Stock Price'!$I$11="OK",M587/INDEX(M$5:M$1258,'Stock Price'!$I$9)-1,"")</f>
        <v>-5.0758240381000297E-3</v>
      </c>
    </row>
    <row r="588" spans="1:26" x14ac:dyDescent="0.2">
      <c r="A588" s="16">
        <f>'Stock Price'!A588</f>
        <v>45322</v>
      </c>
      <c r="B588" s="17">
        <f>'Stock Price'!E588</f>
        <v>164.4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645.61</v>
      </c>
      <c r="L588" s="18">
        <v>48.87</v>
      </c>
      <c r="M588" s="18">
        <v>158.9</v>
      </c>
      <c r="O588" s="19">
        <f ca="1">IF('Stock Price'!$I$11="OK",B588/INDEX(B$5:B$1258,'Stock Price'!$I$9)-1,"")</f>
        <v>0.5012327641311296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1.7956956653531373</v>
      </c>
      <c r="Y588" s="19">
        <f ca="1">IF('Stock Price'!$I$11="OK",L588/INDEX(L$5:L$1258,'Stock Price'!$I$9)-1,"")</f>
        <v>-0.17379543533389685</v>
      </c>
      <c r="Z588" s="19">
        <f ca="1">IF('Stock Price'!$I$11="OK",M588/INDEX(M$5:M$1258,'Stock Price'!$I$9)-1,"")</f>
        <v>-4.261185612232099E-3</v>
      </c>
    </row>
    <row r="589" spans="1:26" x14ac:dyDescent="0.2">
      <c r="A589" s="16">
        <f>'Stock Price'!A589</f>
        <v>45323</v>
      </c>
      <c r="B589" s="17">
        <f>'Stock Price'!E589</f>
        <v>167.59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660.43</v>
      </c>
      <c r="L589" s="18">
        <v>48.67</v>
      </c>
      <c r="M589" s="18">
        <v>158.36000000000001</v>
      </c>
      <c r="O589" s="19">
        <f ca="1">IF('Stock Price'!$I$11="OK",B589/INDEX(B$5:B$1258,'Stock Price'!$I$9)-1,"")</f>
        <v>0.53036252397041372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1.8598709565669247</v>
      </c>
      <c r="Y589" s="19">
        <f ca="1">IF('Stock Price'!$I$11="OK",L589/INDEX(L$5:L$1258,'Stock Price'!$I$9)-1,"")</f>
        <v>-0.17717666948436173</v>
      </c>
      <c r="Z589" s="19">
        <f ca="1">IF('Stock Price'!$I$11="OK",M589/INDEX(M$5:M$1258,'Stock Price'!$I$9)-1,"")</f>
        <v>-7.6450683042987855E-3</v>
      </c>
    </row>
    <row r="590" spans="1:26" x14ac:dyDescent="0.2">
      <c r="A590" s="16">
        <f>'Stock Price'!A590</f>
        <v>45324</v>
      </c>
      <c r="B590" s="17">
        <f>'Stock Price'!E590</f>
        <v>168.67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667.65</v>
      </c>
      <c r="L590" s="18">
        <v>48.71</v>
      </c>
      <c r="M590" s="18">
        <v>156.61000000000001</v>
      </c>
      <c r="O590" s="19">
        <f ca="1">IF('Stock Price'!$I$11="OK",B590/INDEX(B$5:B$1258,'Stock Price'!$I$9)-1,"")</f>
        <v>0.54022463701945012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1.8911358420300521</v>
      </c>
      <c r="Y590" s="19">
        <f ca="1">IF('Stock Price'!$I$11="OK",L590/INDEX(L$5:L$1258,'Stock Price'!$I$9)-1,"")</f>
        <v>-0.1765004226542688</v>
      </c>
      <c r="Z590" s="19">
        <f ca="1">IF('Stock Price'!$I$11="OK",M590/INDEX(M$5:M$1258,'Stock Price'!$I$9)-1,"")</f>
        <v>-1.8611354806366665E-2</v>
      </c>
    </row>
    <row r="591" spans="1:26" x14ac:dyDescent="0.2">
      <c r="A591" s="16">
        <f>'Stock Price'!A591</f>
        <v>45327</v>
      </c>
      <c r="B591" s="17">
        <f>'Stock Price'!E591</f>
        <v>171.26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706.2</v>
      </c>
      <c r="L591" s="18">
        <v>47.98</v>
      </c>
      <c r="M591" s="18">
        <v>155.80000000000001</v>
      </c>
      <c r="O591" s="19">
        <f ca="1">IF('Stock Price'!$I$11="OK",B591/INDEX(B$5:B$1258,'Stock Price'!$I$9)-1,"")</f>
        <v>0.56387544516482491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2.0580695448837312</v>
      </c>
      <c r="Y591" s="19">
        <f ca="1">IF('Stock Price'!$I$11="OK",L591/INDEX(L$5:L$1258,'Stock Price'!$I$9)-1,"")</f>
        <v>-0.18884192730346583</v>
      </c>
      <c r="Z591" s="19">
        <f ca="1">IF('Stock Price'!$I$11="OK",M591/INDEX(M$5:M$1258,'Stock Price'!$I$9)-1,"")</f>
        <v>-2.3687178844466694E-2</v>
      </c>
    </row>
    <row r="592" spans="1:26" x14ac:dyDescent="0.2">
      <c r="A592" s="16">
        <f>'Stock Price'!A592</f>
        <v>45328</v>
      </c>
      <c r="B592" s="17">
        <f>'Stock Price'!E592</f>
        <v>173.29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705.03</v>
      </c>
      <c r="L592" s="18">
        <v>49.26</v>
      </c>
      <c r="M592" s="18">
        <v>158.06</v>
      </c>
      <c r="O592" s="19">
        <f ca="1">IF('Stock Price'!$I$11="OK",B592/INDEX(B$5:B$1258,'Stock Price'!$I$9)-1,"")</f>
        <v>0.58241256506255112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2.0530030745247476</v>
      </c>
      <c r="Y592" s="19">
        <f ca="1">IF('Stock Price'!$I$11="OK",L592/INDEX(L$5:L$1258,'Stock Price'!$I$9)-1,"")</f>
        <v>-0.16720202874049028</v>
      </c>
      <c r="Z592" s="19">
        <f ca="1">IF('Stock Price'!$I$11="OK",M592/INDEX(M$5:M$1258,'Stock Price'!$I$9)-1,"")</f>
        <v>-9.5250031332247964E-3</v>
      </c>
    </row>
    <row r="593" spans="1:26" x14ac:dyDescent="0.2">
      <c r="A593" s="16">
        <f>'Stock Price'!A593</f>
        <v>45329</v>
      </c>
      <c r="B593" s="17">
        <f>'Stock Price'!E593</f>
        <v>175.01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725.38</v>
      </c>
      <c r="L593" s="18">
        <v>48.64</v>
      </c>
      <c r="M593" s="18">
        <v>157.97999999999999</v>
      </c>
      <c r="O593" s="19">
        <f ca="1">IF('Stock Price'!$I$11="OK",B593/INDEX(B$5:B$1258,'Stock Price'!$I$9)-1,"")</f>
        <v>0.5981188932517576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2.141125016238687</v>
      </c>
      <c r="Y593" s="19">
        <f ca="1">IF('Stock Price'!$I$11="OK",L593/INDEX(L$5:L$1258,'Stock Price'!$I$9)-1,"")</f>
        <v>-0.17768385460693148</v>
      </c>
      <c r="Z593" s="19">
        <f ca="1">IF('Stock Price'!$I$11="OK",M593/INDEX(M$5:M$1258,'Stock Price'!$I$9)-1,"")</f>
        <v>-1.0026319087605096E-2</v>
      </c>
    </row>
    <row r="594" spans="1:26" x14ac:dyDescent="0.2">
      <c r="A594" s="16">
        <f>'Stock Price'!A594</f>
        <v>45330</v>
      </c>
      <c r="B594" s="17">
        <f>'Stock Price'!E594</f>
        <v>174.79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735.68</v>
      </c>
      <c r="L594" s="18">
        <v>48.71</v>
      </c>
      <c r="M594" s="18">
        <v>156.4</v>
      </c>
      <c r="O594" s="19">
        <f ca="1">IF('Stock Price'!$I$11="OK",B594/INDEX(B$5:B$1258,'Stock Price'!$I$9)-1,"")</f>
        <v>0.59610994429732433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2.1857272766639237</v>
      </c>
      <c r="Y594" s="19">
        <f ca="1">IF('Stock Price'!$I$11="OK",L594/INDEX(L$5:L$1258,'Stock Price'!$I$9)-1,"")</f>
        <v>-0.1765004226542688</v>
      </c>
      <c r="Z594" s="19">
        <f ca="1">IF('Stock Price'!$I$11="OK",M594/INDEX(M$5:M$1258,'Stock Price'!$I$9)-1,"")</f>
        <v>-1.9927309186614894E-2</v>
      </c>
    </row>
    <row r="595" spans="1:26" x14ac:dyDescent="0.2">
      <c r="A595" s="16">
        <f>'Stock Price'!A595</f>
        <v>45331</v>
      </c>
      <c r="B595" s="17">
        <f>'Stock Price'!E595</f>
        <v>174.08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740.16</v>
      </c>
      <c r="L595" s="18">
        <v>49.81</v>
      </c>
      <c r="M595" s="18">
        <v>156.76</v>
      </c>
      <c r="O595" s="19">
        <f ca="1">IF('Stock Price'!$I$11="OK",B595/INDEX(B$5:B$1258,'Stock Price'!$I$9)-1,"")</f>
        <v>0.5896265181261986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2.2051270947906292</v>
      </c>
      <c r="Y595" s="19">
        <f ca="1">IF('Stock Price'!$I$11="OK",L595/INDEX(L$5:L$1258,'Stock Price'!$I$9)-1,"")</f>
        <v>-0.15790363482671166</v>
      </c>
      <c r="Z595" s="19">
        <f ca="1">IF('Stock Price'!$I$11="OK",M595/INDEX(M$5:M$1258,'Stock Price'!$I$9)-1,"")</f>
        <v>-1.7671387391903881E-2</v>
      </c>
    </row>
    <row r="596" spans="1:26" x14ac:dyDescent="0.2">
      <c r="A596" s="16">
        <f>'Stock Price'!A596</f>
        <v>45334</v>
      </c>
      <c r="B596" s="17">
        <f>'Stock Price'!E596</f>
        <v>173.07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737.26</v>
      </c>
      <c r="L596" s="18">
        <v>49.75</v>
      </c>
      <c r="M596" s="18">
        <v>157.85</v>
      </c>
      <c r="O596" s="19">
        <f ca="1">IF('Stock Price'!$I$11="OK",B596/INDEX(B$5:B$1258,'Stock Price'!$I$9)-1,"")</f>
        <v>0.58040361610811786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2.1925691768068245</v>
      </c>
      <c r="Y596" s="19">
        <f ca="1">IF('Stock Price'!$I$11="OK",L596/INDEX(L$5:L$1258,'Stock Price'!$I$9)-1,"")</f>
        <v>-0.15891800507185116</v>
      </c>
      <c r="Z596" s="19">
        <f ca="1">IF('Stock Price'!$I$11="OK",M596/INDEX(M$5:M$1258,'Stock Price'!$I$9)-1,"")</f>
        <v>-1.0840957513473026E-2</v>
      </c>
    </row>
    <row r="597" spans="1:26" x14ac:dyDescent="0.2">
      <c r="A597" s="16">
        <f>'Stock Price'!A597</f>
        <v>45335</v>
      </c>
      <c r="B597" s="17">
        <f>'Stock Price'!E597</f>
        <v>173.29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742.97</v>
      </c>
      <c r="L597" s="18">
        <v>48.71</v>
      </c>
      <c r="M597" s="18">
        <v>156.47</v>
      </c>
      <c r="O597" s="19">
        <f ca="1">IF('Stock Price'!$I$11="OK",B597/INDEX(B$5:B$1258,'Stock Price'!$I$9)-1,"")</f>
        <v>0.58241256506255112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2.2172952842852811</v>
      </c>
      <c r="Y597" s="19">
        <f ca="1">IF('Stock Price'!$I$11="OK",L597/INDEX(L$5:L$1258,'Stock Price'!$I$9)-1,"")</f>
        <v>-0.1765004226542688</v>
      </c>
      <c r="Z597" s="19">
        <f ca="1">IF('Stock Price'!$I$11="OK",M597/INDEX(M$5:M$1258,'Stock Price'!$I$9)-1,"")</f>
        <v>-1.9488657726532188E-2</v>
      </c>
    </row>
    <row r="598" spans="1:26" x14ac:dyDescent="0.2">
      <c r="A598" s="16">
        <f>'Stock Price'!A598</f>
        <v>45336</v>
      </c>
      <c r="B598" s="17">
        <f>'Stock Price'!E598</f>
        <v>174.42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757.31</v>
      </c>
      <c r="L598" s="18">
        <v>48.89</v>
      </c>
      <c r="M598" s="18">
        <v>155.74</v>
      </c>
      <c r="O598" s="19">
        <f ca="1">IF('Stock Price'!$I$11="OK",B598/INDEX(B$5:B$1258,'Stock Price'!$I$9)-1,"")</f>
        <v>0.59273125741941346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2.2793920235569218</v>
      </c>
      <c r="Y598" s="19">
        <f ca="1">IF('Stock Price'!$I$11="OK",L598/INDEX(L$5:L$1258,'Stock Price'!$I$9)-1,"")</f>
        <v>-0.17345731191885039</v>
      </c>
      <c r="Z598" s="19">
        <f ca="1">IF('Stock Price'!$I$11="OK",M598/INDEX(M$5:M$1258,'Stock Price'!$I$9)-1,"")</f>
        <v>-2.4063165810251919E-2</v>
      </c>
    </row>
    <row r="599" spans="1:26" x14ac:dyDescent="0.2">
      <c r="A599" s="16">
        <f>'Stock Price'!A599</f>
        <v>45337</v>
      </c>
      <c r="B599" s="17">
        <f>'Stock Price'!E599</f>
        <v>176.59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757.78</v>
      </c>
      <c r="L599" s="18">
        <v>49.44</v>
      </c>
      <c r="M599" s="18">
        <v>157.91999999999999</v>
      </c>
      <c r="O599" s="19">
        <f ca="1">IF('Stock Price'!$I$11="OK",B599/INDEX(B$5:B$1258,'Stock Price'!$I$9)-1,"")</f>
        <v>0.6125467993790521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2.2814272723336075</v>
      </c>
      <c r="Y599" s="19">
        <f ca="1">IF('Stock Price'!$I$11="OK",L599/INDEX(L$5:L$1258,'Stock Price'!$I$9)-1,"")</f>
        <v>-0.16415891800507187</v>
      </c>
      <c r="Z599" s="19">
        <f ca="1">IF('Stock Price'!$I$11="OK",M599/INDEX(M$5:M$1258,'Stock Price'!$I$9)-1,"")</f>
        <v>-1.040230605339032E-2</v>
      </c>
    </row>
    <row r="600" spans="1:26" x14ac:dyDescent="0.2">
      <c r="A600" s="16">
        <f>'Stock Price'!A600</f>
        <v>45338</v>
      </c>
      <c r="B600" s="17">
        <f>'Stock Price'!E600</f>
        <v>177.49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782.06</v>
      </c>
      <c r="L600" s="18">
        <v>49.86</v>
      </c>
      <c r="M600" s="18">
        <v>156.55000000000001</v>
      </c>
      <c r="O600" s="19">
        <f ca="1">IF('Stock Price'!$I$11="OK",B600/INDEX(B$5:B$1258,'Stock Price'!$I$9)-1,"")</f>
        <v>0.62076522691991598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2.3865673580738749</v>
      </c>
      <c r="Y600" s="19">
        <f ca="1">IF('Stock Price'!$I$11="OK",L600/INDEX(L$5:L$1258,'Stock Price'!$I$9)-1,"")</f>
        <v>-0.15705832628909555</v>
      </c>
      <c r="Z600" s="19">
        <f ca="1">IF('Stock Price'!$I$11="OK",M600/INDEX(M$5:M$1258,'Stock Price'!$I$9)-1,"")</f>
        <v>-1.8987341772151889E-2</v>
      </c>
    </row>
    <row r="601" spans="1:26" x14ac:dyDescent="0.2">
      <c r="A601" s="16">
        <f>'Stock Price'!A601</f>
        <v>45342</v>
      </c>
      <c r="B601" s="17">
        <f>'Stock Price'!E601</f>
        <v>175.75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755.66</v>
      </c>
      <c r="L601" s="18">
        <v>49.86</v>
      </c>
      <c r="M601" s="18">
        <v>157.86000000000001</v>
      </c>
      <c r="O601" s="19">
        <f ca="1">IF('Stock Price'!$I$11="OK",B601/INDEX(B$5:B$1258,'Stock Price'!$I$9)-1,"")</f>
        <v>0.60487626700757913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2.2722470012557916</v>
      </c>
      <c r="Y601" s="19">
        <f ca="1">IF('Stock Price'!$I$11="OK",L601/INDEX(L$5:L$1258,'Stock Price'!$I$9)-1,"")</f>
        <v>-0.15705832628909555</v>
      </c>
      <c r="Z601" s="19">
        <f ca="1">IF('Stock Price'!$I$11="OK",M601/INDEX(M$5:M$1258,'Stock Price'!$I$9)-1,"")</f>
        <v>-1.0778293019175322E-2</v>
      </c>
    </row>
    <row r="602" spans="1:26" x14ac:dyDescent="0.2">
      <c r="A602" s="16">
        <f>'Stock Price'!A602</f>
        <v>45343</v>
      </c>
      <c r="B602" s="17">
        <f>'Stock Price'!E602</f>
        <v>175.14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745.91</v>
      </c>
      <c r="L602" s="18">
        <v>50.91</v>
      </c>
      <c r="M602" s="18">
        <v>158.68</v>
      </c>
      <c r="O602" s="19">
        <f ca="1">IF('Stock Price'!$I$11="OK",B602/INDEX(B$5:B$1258,'Stock Price'!$I$9)-1,"")</f>
        <v>0.59930599945210461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2.230026414930931</v>
      </c>
      <c r="Y602" s="19">
        <f ca="1">IF('Stock Price'!$I$11="OK",L602/INDEX(L$5:L$1258,'Stock Price'!$I$9)-1,"")</f>
        <v>-0.13930684699915474</v>
      </c>
      <c r="Z602" s="19">
        <f ca="1">IF('Stock Price'!$I$11="OK",M602/INDEX(M$5:M$1258,'Stock Price'!$I$9)-1,"")</f>
        <v>-5.6398044867778108E-3</v>
      </c>
    </row>
    <row r="603" spans="1:26" x14ac:dyDescent="0.2">
      <c r="A603" s="16">
        <f>'Stock Price'!A603</f>
        <v>45344</v>
      </c>
      <c r="B603" s="17">
        <f>'Stock Price'!E603</f>
        <v>176.75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769.64</v>
      </c>
      <c r="L603" s="18">
        <v>51.33</v>
      </c>
      <c r="M603" s="18">
        <v>160.44999999999999</v>
      </c>
      <c r="O603" s="19">
        <f ca="1">IF('Stock Price'!$I$11="OK",B603/INDEX(B$5:B$1258,'Stock Price'!$I$9)-1,"")</f>
        <v>0.61400785316409445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2.3327848265708222</v>
      </c>
      <c r="Y603" s="19">
        <f ca="1">IF('Stock Price'!$I$11="OK",L603/INDEX(L$5:L$1258,'Stock Price'!$I$9)-1,"")</f>
        <v>-0.13220625528317842</v>
      </c>
      <c r="Z603" s="19">
        <f ca="1">IF('Stock Price'!$I$11="OK",M603/INDEX(M$5:M$1258,'Stock Price'!$I$9)-1,"")</f>
        <v>5.451811003885032E-3</v>
      </c>
    </row>
    <row r="604" spans="1:26" x14ac:dyDescent="0.2">
      <c r="A604" s="16">
        <f>'Stock Price'!A604</f>
        <v>45345</v>
      </c>
      <c r="B604" s="17">
        <f>'Stock Price'!E604</f>
        <v>178.09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769.54</v>
      </c>
      <c r="L604" s="18">
        <v>51.66</v>
      </c>
      <c r="M604" s="18">
        <v>161.84</v>
      </c>
      <c r="O604" s="19">
        <f ca="1">IF('Stock Price'!$I$11="OK",B604/INDEX(B$5:B$1258,'Stock Price'!$I$9)-1,"")</f>
        <v>0.62624417861382509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2.332351794916208</v>
      </c>
      <c r="Y604" s="19">
        <f ca="1">IF('Stock Price'!$I$11="OK",L604/INDEX(L$5:L$1258,'Stock Price'!$I$9)-1,"")</f>
        <v>-0.12662721893491125</v>
      </c>
      <c r="Z604" s="19">
        <f ca="1">IF('Stock Price'!$I$11="OK",M604/INDEX(M$5:M$1258,'Stock Price'!$I$9)-1,"")</f>
        <v>1.4162175711242009E-2</v>
      </c>
    </row>
    <row r="605" spans="1:26" x14ac:dyDescent="0.2">
      <c r="A605" s="16">
        <f>'Stock Price'!A605</f>
        <v>45348</v>
      </c>
      <c r="B605" s="17">
        <f>'Stock Price'!E605</f>
        <v>178.81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771.92</v>
      </c>
      <c r="L605" s="18">
        <v>50.52</v>
      </c>
      <c r="M605" s="18">
        <v>160.79</v>
      </c>
      <c r="O605" s="19">
        <f ca="1">IF('Stock Price'!$I$11="OK",B605/INDEX(B$5:B$1258,'Stock Price'!$I$9)-1,"")</f>
        <v>0.63281892064651624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2.3426579482960204</v>
      </c>
      <c r="Y605" s="19">
        <f ca="1">IF('Stock Price'!$I$11="OK",L605/INDEX(L$5:L$1258,'Stock Price'!$I$9)-1,"")</f>
        <v>-0.1459002535925612</v>
      </c>
      <c r="Z605" s="19">
        <f ca="1">IF('Stock Price'!$I$11="OK",M605/INDEX(M$5:M$1258,'Stock Price'!$I$9)-1,"")</f>
        <v>7.5824038100011926E-3</v>
      </c>
    </row>
    <row r="606" spans="1:26" x14ac:dyDescent="0.2">
      <c r="A606" s="16">
        <f>'Stock Price'!A606</f>
        <v>45349</v>
      </c>
      <c r="B606" s="17">
        <f>'Stock Price'!E606</f>
        <v>178.99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765</v>
      </c>
      <c r="L606" s="18">
        <v>50.51</v>
      </c>
      <c r="M606" s="18">
        <v>160.97999999999999</v>
      </c>
      <c r="O606" s="19">
        <f ca="1">IF('Stock Price'!$I$11="OK",B606/INDEX(B$5:B$1258,'Stock Price'!$I$9)-1,"")</f>
        <v>0.63446260615468897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2.312692157796735</v>
      </c>
      <c r="Y606" s="19">
        <f ca="1">IF('Stock Price'!$I$11="OK",L606/INDEX(L$5:L$1258,'Stock Price'!$I$9)-1,"")</f>
        <v>-0.14606931530008449</v>
      </c>
      <c r="Z606" s="19">
        <f ca="1">IF('Stock Price'!$I$11="OK",M606/INDEX(M$5:M$1258,'Stock Price'!$I$9)-1,"")</f>
        <v>8.7730292016541256E-3</v>
      </c>
    </row>
    <row r="607" spans="1:26" x14ac:dyDescent="0.2">
      <c r="A607" s="16">
        <f>'Stock Price'!A607</f>
        <v>45350</v>
      </c>
      <c r="B607" s="17">
        <f>'Stock Price'!E607</f>
        <v>178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757.64</v>
      </c>
      <c r="L607" s="18">
        <v>50.92</v>
      </c>
      <c r="M607" s="18">
        <v>161.55000000000001</v>
      </c>
      <c r="O607" s="19">
        <f ca="1">IF('Stock Price'!$I$11="OK",B607/INDEX(B$5:B$1258,'Stock Price'!$I$9)-1,"")</f>
        <v>0.62542233585973883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2.2808210280171477</v>
      </c>
      <c r="Y607" s="19">
        <f ca="1">IF('Stock Price'!$I$11="OK",L607/INDEX(L$5:L$1258,'Stock Price'!$I$9)-1,"")</f>
        <v>-0.13913778529163134</v>
      </c>
      <c r="Z607" s="19">
        <f ca="1">IF('Stock Price'!$I$11="OK",M607/INDEX(M$5:M$1258,'Stock Price'!$I$9)-1,"")</f>
        <v>1.2344905376613591E-2</v>
      </c>
    </row>
    <row r="608" spans="1:26" x14ac:dyDescent="0.2">
      <c r="A608" s="16">
        <f>'Stock Price'!A608</f>
        <v>45351</v>
      </c>
      <c r="B608" s="17">
        <f>'Stock Price'!E608</f>
        <v>176.05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753.68</v>
      </c>
      <c r="L608" s="18">
        <v>50.75</v>
      </c>
      <c r="M608" s="18">
        <v>161.38</v>
      </c>
      <c r="O608" s="19">
        <f ca="1">IF('Stock Price'!$I$11="OK",B608/INDEX(B$5:B$1258,'Stock Price'!$I$9)-1,"")</f>
        <v>0.6076157428545339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2.2636729744944351</v>
      </c>
      <c r="Y608" s="19">
        <f ca="1">IF('Stock Price'!$I$11="OK",L608/INDEX(L$5:L$1258,'Stock Price'!$I$9)-1,"")</f>
        <v>-0.14201183431952658</v>
      </c>
      <c r="Z608" s="19">
        <f ca="1">IF('Stock Price'!$I$11="OK",M608/INDEX(M$5:M$1258,'Stock Price'!$I$9)-1,"")</f>
        <v>1.1279608973555399E-2</v>
      </c>
    </row>
    <row r="609" spans="1:26" x14ac:dyDescent="0.2">
      <c r="A609" s="16">
        <f>'Stock Price'!A609</f>
        <v>45352</v>
      </c>
      <c r="B609" s="17">
        <f>'Stock Price'!E609</f>
        <v>178.91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782.12</v>
      </c>
      <c r="L609" s="18">
        <v>50.89</v>
      </c>
      <c r="M609" s="18">
        <v>162.12</v>
      </c>
      <c r="O609" s="19">
        <f ca="1">IF('Stock Price'!$I$11="OK",B609/INDEX(B$5:B$1258,'Stock Price'!$I$9)-1,"")</f>
        <v>0.63373207926216768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2.3868271770666434</v>
      </c>
      <c r="Y609" s="19">
        <f ca="1">IF('Stock Price'!$I$11="OK",L609/INDEX(L$5:L$1258,'Stock Price'!$I$9)-1,"")</f>
        <v>-0.13964497041420121</v>
      </c>
      <c r="Z609" s="19">
        <f ca="1">IF('Stock Price'!$I$11="OK",M609/INDEX(M$5:M$1258,'Stock Price'!$I$9)-1,"")</f>
        <v>1.5916781551572834E-2</v>
      </c>
    </row>
    <row r="610" spans="1:26" x14ac:dyDescent="0.2">
      <c r="A610" s="16">
        <f>'Stock Price'!A610</f>
        <v>45355</v>
      </c>
      <c r="B610" s="17">
        <f>'Stock Price'!E610</f>
        <v>177.05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792.28</v>
      </c>
      <c r="L610" s="18">
        <v>50.92</v>
      </c>
      <c r="M610" s="18">
        <v>159.84</v>
      </c>
      <c r="O610" s="19">
        <f ca="1">IF('Stock Price'!$I$11="OK",B610/INDEX(B$5:B$1258,'Stock Price'!$I$9)-1,"")</f>
        <v>0.61674732901104923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2.4308231931754207</v>
      </c>
      <c r="Y610" s="19">
        <f ca="1">IF('Stock Price'!$I$11="OK",L610/INDEX(L$5:L$1258,'Stock Price'!$I$9)-1,"")</f>
        <v>-0.13913778529163134</v>
      </c>
      <c r="Z610" s="19">
        <f ca="1">IF('Stock Price'!$I$11="OK",M610/INDEX(M$5:M$1258,'Stock Price'!$I$9)-1,"")</f>
        <v>1.6292768517356393E-3</v>
      </c>
    </row>
    <row r="611" spans="1:26" x14ac:dyDescent="0.2">
      <c r="A611" s="16">
        <f>'Stock Price'!A611</f>
        <v>45356</v>
      </c>
      <c r="B611" s="17">
        <f>'Stock Price'!E611</f>
        <v>179.16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777.59</v>
      </c>
      <c r="L611" s="18">
        <v>51.82</v>
      </c>
      <c r="M611" s="18">
        <v>159.97</v>
      </c>
      <c r="O611" s="19">
        <f ca="1">IF('Stock Price'!$I$11="OK",B611/INDEX(B$5:B$1258,'Stock Price'!$I$9)-1,"")</f>
        <v>0.63601497580129651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2.3672108431126317</v>
      </c>
      <c r="Y611" s="19">
        <f ca="1">IF('Stock Price'!$I$11="OK",L611/INDEX(L$5:L$1258,'Stock Price'!$I$9)-1,"")</f>
        <v>-0.1239222316145393</v>
      </c>
      <c r="Z611" s="19">
        <f ca="1">IF('Stock Price'!$I$11="OK",M611/INDEX(M$5:M$1258,'Stock Price'!$I$9)-1,"")</f>
        <v>2.443915277603681E-3</v>
      </c>
    </row>
    <row r="612" spans="1:26" x14ac:dyDescent="0.2">
      <c r="A612" s="16">
        <f>'Stock Price'!A612</f>
        <v>45357</v>
      </c>
      <c r="B612" s="17">
        <f>'Stock Price'!E612</f>
        <v>181.06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779.77</v>
      </c>
      <c r="L612" s="18">
        <v>53.38</v>
      </c>
      <c r="M612" s="18">
        <v>159.34</v>
      </c>
      <c r="O612" s="19">
        <f ca="1">IF('Stock Price'!$I$11="OK",B612/INDEX(B$5:B$1258,'Stock Price'!$I$9)-1,"")</f>
        <v>0.65336498949867594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2.3766509331832153</v>
      </c>
      <c r="Y612" s="19">
        <f ca="1">IF('Stock Price'!$I$11="OK",L612/INDEX(L$5:L$1258,'Stock Price'!$I$9)-1,"")</f>
        <v>-9.7548605240912911E-2</v>
      </c>
      <c r="Z612" s="19">
        <f ca="1">IF('Stock Price'!$I$11="OK",M612/INDEX(M$5:M$1258,'Stock Price'!$I$9)-1,"")</f>
        <v>-1.5039478631407865E-3</v>
      </c>
    </row>
    <row r="613" spans="1:26" x14ac:dyDescent="0.2">
      <c r="A613" s="16">
        <f>'Stock Price'!A613</f>
        <v>45358</v>
      </c>
      <c r="B613" s="17">
        <f>'Stock Price'!E613</f>
        <v>180.57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780.16</v>
      </c>
      <c r="L613" s="18">
        <v>53.28</v>
      </c>
      <c r="M613" s="18">
        <v>158.87</v>
      </c>
      <c r="O613" s="19">
        <f ca="1">IF('Stock Price'!$I$11="OK",B613/INDEX(B$5:B$1258,'Stock Price'!$I$9)-1,"")</f>
        <v>0.64889051228198324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2.3783397566362097</v>
      </c>
      <c r="Y613" s="19">
        <f ca="1">IF('Stock Price'!$I$11="OK",L613/INDEX(L$5:L$1258,'Stock Price'!$I$9)-1,"")</f>
        <v>-9.9239222316145348E-2</v>
      </c>
      <c r="Z613" s="19">
        <f ca="1">IF('Stock Price'!$I$11="OK",M613/INDEX(M$5:M$1258,'Stock Price'!$I$9)-1,"")</f>
        <v>-4.4491790951247667E-3</v>
      </c>
    </row>
    <row r="614" spans="1:26" x14ac:dyDescent="0.2">
      <c r="A614" s="16">
        <f>'Stock Price'!A614</f>
        <v>45359</v>
      </c>
      <c r="B614" s="17">
        <f>'Stock Price'!E614</f>
        <v>178.85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762.14</v>
      </c>
      <c r="L614" s="18">
        <v>53.79</v>
      </c>
      <c r="M614" s="18">
        <v>159.52000000000001</v>
      </c>
      <c r="O614" s="19">
        <f ca="1">IF('Stock Price'!$I$11="OK",B614/INDEX(B$5:B$1258,'Stock Price'!$I$9)-1,"")</f>
        <v>0.63318418409277677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2.300307452474776</v>
      </c>
      <c r="Y614" s="19">
        <f ca="1">IF('Stock Price'!$I$11="OK",L614/INDEX(L$5:L$1258,'Stock Price'!$I$9)-1,"")</f>
        <v>-9.0617075232459876E-2</v>
      </c>
      <c r="Z614" s="19">
        <f ca="1">IF('Stock Price'!$I$11="OK",M614/INDEX(M$5:M$1258,'Stock Price'!$I$9)-1,"")</f>
        <v>-3.7598696578522439E-4</v>
      </c>
    </row>
    <row r="615" spans="1:26" x14ac:dyDescent="0.2">
      <c r="A615" s="16">
        <f>'Stock Price'!A615</f>
        <v>45362</v>
      </c>
      <c r="B615" s="17">
        <f>'Stock Price'!E615</f>
        <v>179.63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734.37</v>
      </c>
      <c r="L615" s="18">
        <v>54.36</v>
      </c>
      <c r="M615" s="18">
        <v>161.22999999999999</v>
      </c>
      <c r="O615" s="19">
        <f ca="1">IF('Stock Price'!$I$11="OK",B615/INDEX(B$5:B$1258,'Stock Price'!$I$9)-1,"")</f>
        <v>0.64030682129485883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2.1800545619884812</v>
      </c>
      <c r="Y615" s="19">
        <f ca="1">IF('Stock Price'!$I$11="OK",L615/INDEX(L$5:L$1258,'Stock Price'!$I$9)-1,"")</f>
        <v>-8.0980557903634787E-2</v>
      </c>
      <c r="Z615" s="19">
        <f ca="1">IF('Stock Price'!$I$11="OK",M615/INDEX(M$5:M$1258,'Stock Price'!$I$9)-1,"")</f>
        <v>1.0339641559092394E-2</v>
      </c>
    </row>
    <row r="616" spans="1:26" x14ac:dyDescent="0.2">
      <c r="A616" s="16">
        <f>'Stock Price'!A616</f>
        <v>45363</v>
      </c>
      <c r="B616" s="17">
        <f>'Stock Price'!E616</f>
        <v>180.92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754.95</v>
      </c>
      <c r="L616" s="18">
        <v>54.4</v>
      </c>
      <c r="M616" s="18">
        <v>162.74</v>
      </c>
      <c r="O616" s="19">
        <f ca="1">IF('Stock Price'!$I$11="OK",B616/INDEX(B$5:B$1258,'Stock Price'!$I$9)-1,"")</f>
        <v>0.65208656743676352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2.2691724765080328</v>
      </c>
      <c r="Y616" s="19">
        <f ca="1">IF('Stock Price'!$I$11="OK",L616/INDEX(L$5:L$1258,'Stock Price'!$I$9)-1,"")</f>
        <v>-8.0304311073541856E-2</v>
      </c>
      <c r="Z616" s="19">
        <f ca="1">IF('Stock Price'!$I$11="OK",M616/INDEX(M$5:M$1258,'Stock Price'!$I$9)-1,"")</f>
        <v>1.980198019801982E-2</v>
      </c>
    </row>
    <row r="617" spans="1:26" x14ac:dyDescent="0.2">
      <c r="A617" s="16">
        <f>'Stock Price'!A617</f>
        <v>45364</v>
      </c>
      <c r="B617" s="17">
        <f>'Stock Price'!E617</f>
        <v>179.86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757.84</v>
      </c>
      <c r="L617" s="18">
        <v>52.65</v>
      </c>
      <c r="M617" s="18">
        <v>161.1</v>
      </c>
      <c r="O617" s="19">
        <f ca="1">IF('Stock Price'!$I$11="OK",B617/INDEX(B$5:B$1258,'Stock Price'!$I$9)-1,"")</f>
        <v>0.64240708611085751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2.281687091326376</v>
      </c>
      <c r="Y617" s="19">
        <f ca="1">IF('Stock Price'!$I$11="OK",L617/INDEX(L$5:L$1258,'Stock Price'!$I$9)-1,"")</f>
        <v>-0.10989010989010994</v>
      </c>
      <c r="Z617" s="19">
        <f ca="1">IF('Stock Price'!$I$11="OK",M617/INDEX(M$5:M$1258,'Stock Price'!$I$9)-1,"")</f>
        <v>9.5250031332245744E-3</v>
      </c>
    </row>
    <row r="618" spans="1:26" x14ac:dyDescent="0.2">
      <c r="A618" s="16">
        <f>'Stock Price'!A618</f>
        <v>45365</v>
      </c>
      <c r="B618" s="17">
        <f>'Stock Price'!E618</f>
        <v>181.2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760.73</v>
      </c>
      <c r="L618" s="18">
        <v>52.49</v>
      </c>
      <c r="M618" s="18">
        <v>159.21</v>
      </c>
      <c r="O618" s="19">
        <f ca="1">IF('Stock Price'!$I$11="OK",B618/INDEX(B$5:B$1258,'Stock Price'!$I$9)-1,"")</f>
        <v>0.65464341156058792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2.2942017061447193</v>
      </c>
      <c r="Y618" s="19">
        <f ca="1">IF('Stock Price'!$I$11="OK",L618/INDEX(L$5:L$1258,'Stock Price'!$I$9)-1,"")</f>
        <v>-0.11259509721048178</v>
      </c>
      <c r="Z618" s="19">
        <f ca="1">IF('Stock Price'!$I$11="OK",M618/INDEX(M$5:M$1258,'Stock Price'!$I$9)-1,"")</f>
        <v>-2.3185862890087172E-3</v>
      </c>
    </row>
    <row r="619" spans="1:26" x14ac:dyDescent="0.2">
      <c r="A619" s="16">
        <f>'Stock Price'!A619</f>
        <v>45366</v>
      </c>
      <c r="B619" s="17">
        <f>'Stock Price'!E619</f>
        <v>177.88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754.17</v>
      </c>
      <c r="L619" s="18">
        <v>52.34</v>
      </c>
      <c r="M619" s="18">
        <v>158.18</v>
      </c>
      <c r="O619" s="19">
        <f ca="1">IF('Stock Price'!$I$11="OK",B619/INDEX(B$5:B$1258,'Stock Price'!$I$9)-1,"")</f>
        <v>0.62432654552095679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2.2657948296020436</v>
      </c>
      <c r="Y619" s="19">
        <f ca="1">IF('Stock Price'!$I$11="OK",L619/INDEX(L$5:L$1258,'Stock Price'!$I$9)-1,"")</f>
        <v>-0.11513102282333043</v>
      </c>
      <c r="Z619" s="19">
        <f ca="1">IF('Stock Price'!$I$11="OK",M619/INDEX(M$5:M$1258,'Stock Price'!$I$9)-1,"")</f>
        <v>-8.7730292016543476E-3</v>
      </c>
    </row>
    <row r="620" spans="1:26" x14ac:dyDescent="0.2">
      <c r="A620" s="16">
        <f>'Stock Price'!A620</f>
        <v>45369</v>
      </c>
      <c r="B620" s="17">
        <f>'Stock Price'!E620</f>
        <v>178.49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762.66</v>
      </c>
      <c r="L620" s="18">
        <v>51.59</v>
      </c>
      <c r="M620" s="18">
        <v>156.76</v>
      </c>
      <c r="O620" s="19">
        <f ca="1">IF('Stock Price'!$I$11="OK",B620/INDEX(B$5:B$1258,'Stock Price'!$I$9)-1,"")</f>
        <v>0.62989681307643131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2.3025592170787683</v>
      </c>
      <c r="Y620" s="19">
        <f ca="1">IF('Stock Price'!$I$11="OK",L620/INDEX(L$5:L$1258,'Stock Price'!$I$9)-1,"")</f>
        <v>-0.12781065088757393</v>
      </c>
      <c r="Z620" s="19">
        <f ca="1">IF('Stock Price'!$I$11="OK",M620/INDEX(M$5:M$1258,'Stock Price'!$I$9)-1,"")</f>
        <v>-1.7671387391903881E-2</v>
      </c>
    </row>
    <row r="621" spans="1:26" x14ac:dyDescent="0.2">
      <c r="A621" s="16">
        <f>'Stock Price'!A621</f>
        <v>45370</v>
      </c>
      <c r="B621" s="17">
        <f>'Stock Price'!E621</f>
        <v>179.66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772.78</v>
      </c>
      <c r="L621" s="18">
        <v>51.8</v>
      </c>
      <c r="M621" s="18">
        <v>156.21</v>
      </c>
      <c r="O621" s="19">
        <f ca="1">IF('Stock Price'!$I$11="OK",B621/INDEX(B$5:B$1258,'Stock Price'!$I$9)-1,"")</f>
        <v>0.64058076887955417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2.3463820205257</v>
      </c>
      <c r="Y621" s="19">
        <f ca="1">IF('Stock Price'!$I$11="OK",L621/INDEX(L$5:L$1258,'Stock Price'!$I$9)-1,"")</f>
        <v>-0.12426035502958588</v>
      </c>
      <c r="Z621" s="19">
        <f ca="1">IF('Stock Price'!$I$11="OK",M621/INDEX(M$5:M$1258,'Stock Price'!$I$9)-1,"")</f>
        <v>-2.1117934578267938E-2</v>
      </c>
    </row>
    <row r="622" spans="1:26" x14ac:dyDescent="0.2">
      <c r="A622" s="16">
        <f>'Stock Price'!A622</f>
        <v>45371</v>
      </c>
      <c r="B622" s="17">
        <f>'Stock Price'!E622</f>
        <v>176.27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772.86</v>
      </c>
      <c r="L622" s="18">
        <v>51.88</v>
      </c>
      <c r="M622" s="18">
        <v>155.76</v>
      </c>
      <c r="O622" s="19">
        <f ca="1">IF('Stock Price'!$I$11="OK",B622/INDEX(B$5:B$1258,'Stock Price'!$I$9)-1,"")</f>
        <v>0.60962469180896717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2.3467284458493913</v>
      </c>
      <c r="Y622" s="19">
        <f ca="1">IF('Stock Price'!$I$11="OK",L622/INDEX(L$5:L$1258,'Stock Price'!$I$9)-1,"")</f>
        <v>-0.1229078613693998</v>
      </c>
      <c r="Z622" s="19">
        <f ca="1">IF('Stock Price'!$I$11="OK",M622/INDEX(M$5:M$1258,'Stock Price'!$I$9)-1,"")</f>
        <v>-2.3937836821656955E-2</v>
      </c>
    </row>
    <row r="623" spans="1:26" x14ac:dyDescent="0.2">
      <c r="A623" s="16">
        <f>'Stock Price'!A623</f>
        <v>45372</v>
      </c>
      <c r="B623" s="17">
        <f>'Stock Price'!E623</f>
        <v>177.5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770.26</v>
      </c>
      <c r="L623" s="18">
        <v>51.59</v>
      </c>
      <c r="M623" s="18">
        <v>155.75</v>
      </c>
      <c r="O623" s="19">
        <f ca="1">IF('Stock Price'!$I$11="OK",B623/INDEX(B$5:B$1258,'Stock Price'!$I$9)-1,"")</f>
        <v>0.62085654278148117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2.3354696228294287</v>
      </c>
      <c r="Y623" s="19">
        <f ca="1">IF('Stock Price'!$I$11="OK",L623/INDEX(L$5:L$1258,'Stock Price'!$I$9)-1,"")</f>
        <v>-0.12781065088757393</v>
      </c>
      <c r="Z623" s="19">
        <f ca="1">IF('Stock Price'!$I$11="OK",M623/INDEX(M$5:M$1258,'Stock Price'!$I$9)-1,"")</f>
        <v>-2.4000501315954437E-2</v>
      </c>
    </row>
    <row r="624" spans="1:26" x14ac:dyDescent="0.2">
      <c r="A624" s="16">
        <f>'Stock Price'!A624</f>
        <v>45373</v>
      </c>
      <c r="B624" s="17">
        <f>'Stock Price'!E624</f>
        <v>178.45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770.61</v>
      </c>
      <c r="L624" s="18">
        <v>51.93</v>
      </c>
      <c r="M624" s="18">
        <v>155.22999999999999</v>
      </c>
      <c r="O624" s="19">
        <f ca="1">IF('Stock Price'!$I$11="OK",B624/INDEX(B$5:B$1258,'Stock Price'!$I$9)-1,"")</f>
        <v>0.62953154963017055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2.3369852336205774</v>
      </c>
      <c r="Y624" s="19">
        <f ca="1">IF('Stock Price'!$I$11="OK",L624/INDEX(L$5:L$1258,'Stock Price'!$I$9)-1,"")</f>
        <v>-0.12206255283178358</v>
      </c>
      <c r="Z624" s="19">
        <f ca="1">IF('Stock Price'!$I$11="OK",M624/INDEX(M$5:M$1258,'Stock Price'!$I$9)-1,"")</f>
        <v>-2.7259055019426159E-2</v>
      </c>
    </row>
    <row r="625" spans="1:26" x14ac:dyDescent="0.2">
      <c r="A625" s="16">
        <f>'Stock Price'!A625</f>
        <v>45376</v>
      </c>
      <c r="B625" s="17">
        <f>'Stock Price'!E625</f>
        <v>178.53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773.14</v>
      </c>
      <c r="L625" s="18">
        <v>52.25</v>
      </c>
      <c r="M625" s="18">
        <v>155.22</v>
      </c>
      <c r="O625" s="19">
        <f ca="1">IF('Stock Price'!$I$11="OK",B625/INDEX(B$5:B$1258,'Stock Price'!$I$9)-1,"")</f>
        <v>0.63026207652269184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2.3479409344823106</v>
      </c>
      <c r="Y625" s="19">
        <f ca="1">IF('Stock Price'!$I$11="OK",L625/INDEX(L$5:L$1258,'Stock Price'!$I$9)-1,"")</f>
        <v>-0.11665257819103969</v>
      </c>
      <c r="Z625" s="19">
        <f ca="1">IF('Stock Price'!$I$11="OK",M625/INDEX(M$5:M$1258,'Stock Price'!$I$9)-1,"")</f>
        <v>-2.7321719513723641E-2</v>
      </c>
    </row>
    <row r="626" spans="1:26" x14ac:dyDescent="0.2">
      <c r="A626" s="16">
        <f>'Stock Price'!A626</f>
        <v>45377</v>
      </c>
      <c r="B626" s="17">
        <f>'Stock Price'!E626</f>
        <v>179.19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774.9</v>
      </c>
      <c r="L626" s="18">
        <v>52.55</v>
      </c>
      <c r="M626" s="18">
        <v>155.77000000000001</v>
      </c>
      <c r="O626" s="19">
        <f ca="1">IF('Stock Price'!$I$11="OK",B626/INDEX(B$5:B$1258,'Stock Price'!$I$9)-1,"")</f>
        <v>0.63628892338599208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2.3555622916035159</v>
      </c>
      <c r="Y626" s="19">
        <f ca="1">IF('Stock Price'!$I$11="OK",L626/INDEX(L$5:L$1258,'Stock Price'!$I$9)-1,"")</f>
        <v>-0.11158072696534238</v>
      </c>
      <c r="Z626" s="19">
        <f ca="1">IF('Stock Price'!$I$11="OK",M626/INDEX(M$5:M$1258,'Stock Price'!$I$9)-1,"")</f>
        <v>-2.3875172327359362E-2</v>
      </c>
    </row>
    <row r="627" spans="1:26" x14ac:dyDescent="0.2">
      <c r="A627" s="16">
        <f>'Stock Price'!A627</f>
        <v>45378</v>
      </c>
      <c r="B627" s="17">
        <f>'Stock Price'!E627</f>
        <v>180.35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778.18</v>
      </c>
      <c r="L627" s="18">
        <v>53.25</v>
      </c>
      <c r="M627" s="18">
        <v>157.96</v>
      </c>
      <c r="O627" s="19">
        <f ca="1">IF('Stock Price'!$I$11="OK",B627/INDEX(B$5:B$1258,'Stock Price'!$I$9)-1,"")</f>
        <v>0.64688156332754976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2.3697657298748536</v>
      </c>
      <c r="Y627" s="19">
        <f ca="1">IF('Stock Price'!$I$11="OK",L627/INDEX(L$5:L$1258,'Stock Price'!$I$9)-1,"")</f>
        <v>-9.9746407438715101E-2</v>
      </c>
      <c r="Z627" s="19">
        <f ca="1">IF('Stock Price'!$I$11="OK",M627/INDEX(M$5:M$1258,'Stock Price'!$I$9)-1,"")</f>
        <v>-1.0151648076200059E-2</v>
      </c>
    </row>
    <row r="628" spans="1:26" x14ac:dyDescent="0.2">
      <c r="A628" s="16">
        <f>'Stock Price'!A628</f>
        <v>45379</v>
      </c>
      <c r="B628" s="17">
        <f>'Stock Price'!E628</f>
        <v>182.1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777.96</v>
      </c>
      <c r="L628" s="18">
        <v>54.23</v>
      </c>
      <c r="M628" s="18">
        <v>158.19</v>
      </c>
      <c r="O628" s="19">
        <f ca="1">IF('Stock Price'!$I$11="OK",B628/INDEX(B$5:B$1258,'Stock Price'!$I$9)-1,"")</f>
        <v>0.6628618391014518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2.3688130602347033</v>
      </c>
      <c r="Y628" s="19">
        <f ca="1">IF('Stock Price'!$I$11="OK",L628/INDEX(L$5:L$1258,'Stock Price'!$I$9)-1,"")</f>
        <v>-8.3178360101437088E-2</v>
      </c>
      <c r="Z628" s="19">
        <f ca="1">IF('Stock Price'!$I$11="OK",M628/INDEX(M$5:M$1258,'Stock Price'!$I$9)-1,"")</f>
        <v>-8.7103647073568657E-3</v>
      </c>
    </row>
    <row r="629" spans="1:26" x14ac:dyDescent="0.2">
      <c r="A629" s="16">
        <f>'Stock Price'!A629</f>
        <v>45383</v>
      </c>
      <c r="B629" s="17">
        <f>'Stock Price'!E629</f>
        <v>180.76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760.55</v>
      </c>
      <c r="L629" s="18">
        <v>52.99</v>
      </c>
      <c r="M629" s="18">
        <v>157.78</v>
      </c>
      <c r="O629" s="19">
        <f ca="1">IF('Stock Price'!$I$11="OK",B629/INDEX(B$5:B$1258,'Stock Price'!$I$9)-1,"")</f>
        <v>0.65062551365172117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2.2934222491664138</v>
      </c>
      <c r="Y629" s="19">
        <f ca="1">IF('Stock Price'!$I$11="OK",L629/INDEX(L$5:L$1258,'Stock Price'!$I$9)-1,"")</f>
        <v>-0.10414201183431948</v>
      </c>
      <c r="Z629" s="19">
        <f ca="1">IF('Stock Price'!$I$11="OK",M629/INDEX(M$5:M$1258,'Stock Price'!$I$9)-1,"")</f>
        <v>-1.1279608973555622E-2</v>
      </c>
    </row>
    <row r="630" spans="1:26" x14ac:dyDescent="0.2">
      <c r="A630" s="16">
        <f>'Stock Price'!A630</f>
        <v>45384</v>
      </c>
      <c r="B630" s="17">
        <f>'Stock Price'!E630</f>
        <v>180.69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763.96</v>
      </c>
      <c r="L630" s="18">
        <v>52.74</v>
      </c>
      <c r="M630" s="18">
        <v>157.72999999999999</v>
      </c>
      <c r="O630" s="19">
        <f ca="1">IF('Stock Price'!$I$11="OK",B630/INDEX(B$5:B$1258,'Stock Price'!$I$9)-1,"")</f>
        <v>0.64998630262076507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2.3081886285887498</v>
      </c>
      <c r="Y630" s="19">
        <f ca="1">IF('Stock Price'!$I$11="OK",L630/INDEX(L$5:L$1258,'Stock Price'!$I$9)-1,"")</f>
        <v>-0.10836855452240057</v>
      </c>
      <c r="Z630" s="19">
        <f ca="1">IF('Stock Price'!$I$11="OK",M630/INDEX(M$5:M$1258,'Stock Price'!$I$9)-1,"")</f>
        <v>-1.1592931445043364E-2</v>
      </c>
    </row>
    <row r="631" spans="1:26" x14ac:dyDescent="0.2">
      <c r="A631" s="16">
        <f>'Stock Price'!A631</f>
        <v>45385</v>
      </c>
      <c r="B631" s="17">
        <f>'Stock Price'!E631</f>
        <v>177.33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775.99</v>
      </c>
      <c r="L631" s="18">
        <v>52.18</v>
      </c>
      <c r="M631" s="18">
        <v>154.26</v>
      </c>
      <c r="O631" s="19">
        <f ca="1">IF('Stock Price'!$I$11="OK",B631/INDEX(B$5:B$1258,'Stock Price'!$I$9)-1,"")</f>
        <v>0.61930417313487363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2.3602823366388082</v>
      </c>
      <c r="Y631" s="19">
        <f ca="1">IF('Stock Price'!$I$11="OK",L631/INDEX(L$5:L$1258,'Stock Price'!$I$9)-1,"")</f>
        <v>-0.11783601014370249</v>
      </c>
      <c r="Z631" s="19">
        <f ca="1">IF('Stock Price'!$I$11="OK",M631/INDEX(M$5:M$1258,'Stock Price'!$I$9)-1,"")</f>
        <v>-3.3337510966286676E-2</v>
      </c>
    </row>
    <row r="632" spans="1:26" x14ac:dyDescent="0.2">
      <c r="A632" s="16">
        <f>'Stock Price'!A632</f>
        <v>45386</v>
      </c>
      <c r="B632" s="17">
        <f>'Stock Price'!E632</f>
        <v>167.9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768.08</v>
      </c>
      <c r="L632" s="18">
        <v>51.4</v>
      </c>
      <c r="M632" s="18">
        <v>152.5</v>
      </c>
      <c r="O632" s="19">
        <f ca="1">IF('Stock Price'!$I$11="OK",B632/INDEX(B$5:B$1258,'Stock Price'!$I$9)-1,"")</f>
        <v>0.53319331567893347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2.3260295327588447</v>
      </c>
      <c r="Y632" s="19">
        <f ca="1">IF('Stock Price'!$I$11="OK",L632/INDEX(L$5:L$1258,'Stock Price'!$I$9)-1,"")</f>
        <v>-0.13102282333051563</v>
      </c>
      <c r="Z632" s="19">
        <f ca="1">IF('Stock Price'!$I$11="OK",M632/INDEX(M$5:M$1258,'Stock Price'!$I$9)-1,"")</f>
        <v>-4.4366461962652037E-2</v>
      </c>
    </row>
    <row r="633" spans="1:26" x14ac:dyDescent="0.2">
      <c r="A633" s="16">
        <f>'Stock Price'!A633</f>
        <v>45387</v>
      </c>
      <c r="B633" s="17">
        <f>'Stock Price'!E633</f>
        <v>170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784.21</v>
      </c>
      <c r="L633" s="18">
        <v>51.32</v>
      </c>
      <c r="M633" s="18">
        <v>152.38999999999999</v>
      </c>
      <c r="O633" s="19">
        <f ca="1">IF('Stock Price'!$I$11="OK",B633/INDEX(B$5:B$1258,'Stock Price'!$I$9)-1,"")</f>
        <v>0.55236964660761556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2.3958775386480751</v>
      </c>
      <c r="Y633" s="19">
        <f ca="1">IF('Stock Price'!$I$11="OK",L633/INDEX(L$5:L$1258,'Stock Price'!$I$9)-1,"")</f>
        <v>-0.1323753169907016</v>
      </c>
      <c r="Z633" s="19">
        <f ca="1">IF('Stock Price'!$I$11="OK",M633/INDEX(M$5:M$1258,'Stock Price'!$I$9)-1,"")</f>
        <v>-4.5055771399925004E-2</v>
      </c>
    </row>
    <row r="634" spans="1:26" x14ac:dyDescent="0.2">
      <c r="A634" s="16">
        <f>'Stock Price'!A634</f>
        <v>45390</v>
      </c>
      <c r="B634" s="17">
        <f>'Stock Price'!E634</f>
        <v>169.8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777.29</v>
      </c>
      <c r="L634" s="18">
        <v>51.1</v>
      </c>
      <c r="M634" s="18">
        <v>151.59</v>
      </c>
      <c r="O634" s="19">
        <f ca="1">IF('Stock Price'!$I$11="OK",B634/INDEX(B$5:B$1258,'Stock Price'!$I$9)-1,"")</f>
        <v>0.55054332937631267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2.3659117481487892</v>
      </c>
      <c r="Y634" s="19">
        <f ca="1">IF('Stock Price'!$I$11="OK",L634/INDEX(L$5:L$1258,'Stock Price'!$I$9)-1,"")</f>
        <v>-0.13609467455621294</v>
      </c>
      <c r="Z634" s="19">
        <f ca="1">IF('Stock Price'!$I$11="OK",M634/INDEX(M$5:M$1258,'Stock Price'!$I$9)-1,"")</f>
        <v>-5.006893094372733E-2</v>
      </c>
    </row>
    <row r="635" spans="1:26" x14ac:dyDescent="0.2">
      <c r="A635" s="16">
        <f>'Stock Price'!A635</f>
        <v>45391</v>
      </c>
      <c r="B635" s="17">
        <f>'Stock Price'!E635</f>
        <v>170.14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757.24</v>
      </c>
      <c r="L635" s="18">
        <v>51.6</v>
      </c>
      <c r="M635" s="18">
        <v>152.29</v>
      </c>
      <c r="O635" s="19">
        <f ca="1">IF('Stock Price'!$I$11="OK",B635/INDEX(B$5:B$1258,'Stock Price'!$I$9)-1,"")</f>
        <v>0.55364806866952776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2.2790889013986924</v>
      </c>
      <c r="Y635" s="19">
        <f ca="1">IF('Stock Price'!$I$11="OK",L635/INDEX(L$5:L$1258,'Stock Price'!$I$9)-1,"")</f>
        <v>-0.12764158918005064</v>
      </c>
      <c r="Z635" s="19">
        <f ca="1">IF('Stock Price'!$I$11="OK",M635/INDEX(M$5:M$1258,'Stock Price'!$I$9)-1,"")</f>
        <v>-4.5682416342900267E-2</v>
      </c>
    </row>
    <row r="636" spans="1:26" x14ac:dyDescent="0.2">
      <c r="A636" s="16">
        <f>'Stock Price'!A636</f>
        <v>45392</v>
      </c>
      <c r="B636" s="17">
        <f>'Stock Price'!E636</f>
        <v>169.03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761.98</v>
      </c>
      <c r="L636" s="18">
        <v>50.29</v>
      </c>
      <c r="M636" s="18">
        <v>150.19999999999999</v>
      </c>
      <c r="O636" s="19">
        <f ca="1">IF('Stock Price'!$I$11="OK",B636/INDEX(B$5:B$1258,'Stock Price'!$I$9)-1,"")</f>
        <v>0.5435120080357958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2.2996146018273937</v>
      </c>
      <c r="Y636" s="19">
        <f ca="1">IF('Stock Price'!$I$11="OK",L636/INDEX(L$5:L$1258,'Stock Price'!$I$9)-1,"")</f>
        <v>-0.14978867286559594</v>
      </c>
      <c r="Z636" s="19">
        <f ca="1">IF('Stock Price'!$I$11="OK",M636/INDEX(M$5:M$1258,'Stock Price'!$I$9)-1,"")</f>
        <v>-5.8779295651084196E-2</v>
      </c>
    </row>
    <row r="637" spans="1:26" x14ac:dyDescent="0.2">
      <c r="A637" s="16">
        <f>'Stock Price'!A637</f>
        <v>45393</v>
      </c>
      <c r="B637" s="17">
        <f>'Stock Price'!E637</f>
        <v>167.52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759.59</v>
      </c>
      <c r="L637" s="18">
        <v>49.12</v>
      </c>
      <c r="M637" s="18">
        <v>148.79</v>
      </c>
      <c r="O637" s="19">
        <f ca="1">IF('Stock Price'!$I$11="OK",B637/INDEX(B$5:B$1258,'Stock Price'!$I$9)-1,"")</f>
        <v>0.52972331293945762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2.28926514528212</v>
      </c>
      <c r="Y637" s="19">
        <f ca="1">IF('Stock Price'!$I$11="OK",L637/INDEX(L$5:L$1258,'Stock Price'!$I$9)-1,"")</f>
        <v>-0.16956889264581576</v>
      </c>
      <c r="Z637" s="19">
        <f ca="1">IF('Stock Price'!$I$11="OK",M637/INDEX(M$5:M$1258,'Stock Price'!$I$9)-1,"")</f>
        <v>-6.7614989347036136E-2</v>
      </c>
    </row>
    <row r="638" spans="1:26" x14ac:dyDescent="0.2">
      <c r="A638" s="16">
        <f>'Stock Price'!A638</f>
        <v>45394</v>
      </c>
      <c r="B638" s="17">
        <f>'Stock Price'!E638</f>
        <v>162.28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751.64</v>
      </c>
      <c r="L638" s="18">
        <v>48.28</v>
      </c>
      <c r="M638" s="18">
        <v>147.52000000000001</v>
      </c>
      <c r="O638" s="19">
        <f ca="1">IF('Stock Price'!$I$11="OK",B638/INDEX(B$5:B$1258,'Stock Price'!$I$9)-1,"")</f>
        <v>0.48187380147931691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2.2548391287403109</v>
      </c>
      <c r="Y638" s="19">
        <f ca="1">IF('Stock Price'!$I$11="OK",L638/INDEX(L$5:L$1258,'Stock Price'!$I$9)-1,"")</f>
        <v>-0.1837700760777683</v>
      </c>
      <c r="Z638" s="19">
        <f ca="1">IF('Stock Price'!$I$11="OK",M638/INDEX(M$5:M$1258,'Stock Price'!$I$9)-1,"")</f>
        <v>-7.5573380122822442E-2</v>
      </c>
    </row>
    <row r="639" spans="1:26" x14ac:dyDescent="0.2">
      <c r="A639" s="16">
        <f>'Stock Price'!A639</f>
        <v>45397</v>
      </c>
      <c r="B639" s="17">
        <f>'Stock Price'!E639</f>
        <v>161.66999999999999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750.77</v>
      </c>
      <c r="L639" s="18">
        <v>48.51</v>
      </c>
      <c r="M639" s="18">
        <v>147.59</v>
      </c>
      <c r="O639" s="19">
        <f ca="1">IF('Stock Price'!$I$11="OK",B639/INDEX(B$5:B$1258,'Stock Price'!$I$9)-1,"")</f>
        <v>0.47630353392384239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2.2510717533451694</v>
      </c>
      <c r="Y639" s="19">
        <f ca="1">IF('Stock Price'!$I$11="OK",L639/INDEX(L$5:L$1258,'Stock Price'!$I$9)-1,"")</f>
        <v>-0.17988165680473378</v>
      </c>
      <c r="Z639" s="19">
        <f ca="1">IF('Stock Price'!$I$11="OK",M639/INDEX(M$5:M$1258,'Stock Price'!$I$9)-1,"")</f>
        <v>-7.5134728662739736E-2</v>
      </c>
    </row>
    <row r="640" spans="1:26" x14ac:dyDescent="0.2">
      <c r="A640" s="16">
        <f>'Stock Price'!A640</f>
        <v>45398</v>
      </c>
      <c r="B640" s="17">
        <f>'Stock Price'!E640</f>
        <v>162.54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746.74</v>
      </c>
      <c r="L640" s="18">
        <v>48.26</v>
      </c>
      <c r="M640" s="18">
        <v>144.44999999999999</v>
      </c>
      <c r="O640" s="19">
        <f ca="1">IF('Stock Price'!$I$11="OK",B640/INDEX(B$5:B$1258,'Stock Price'!$I$9)-1,"")</f>
        <v>0.48424801388001071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2.2336205776642273</v>
      </c>
      <c r="Y640" s="19">
        <f ca="1">IF('Stock Price'!$I$11="OK",L640/INDEX(L$5:L$1258,'Stock Price'!$I$9)-1,"")</f>
        <v>-0.18410819949281487</v>
      </c>
      <c r="Z640" s="19">
        <f ca="1">IF('Stock Price'!$I$11="OK",M640/INDEX(M$5:M$1258,'Stock Price'!$I$9)-1,"")</f>
        <v>-9.4811379872164592E-2</v>
      </c>
    </row>
    <row r="641" spans="1:26" x14ac:dyDescent="0.2">
      <c r="A641" s="16">
        <f>'Stock Price'!A641</f>
        <v>45399</v>
      </c>
      <c r="B641" s="17">
        <f>'Stock Price'!E641</f>
        <v>164.25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750.77</v>
      </c>
      <c r="L641" s="18">
        <v>47.84</v>
      </c>
      <c r="M641" s="18">
        <v>144.77000000000001</v>
      </c>
      <c r="O641" s="19">
        <f ca="1">IF('Stock Price'!$I$11="OK",B641/INDEX(B$5:B$1258,'Stock Price'!$I$9)-1,"")</f>
        <v>0.49986302620765222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2.2510717533451694</v>
      </c>
      <c r="Y641" s="19">
        <f ca="1">IF('Stock Price'!$I$11="OK",L641/INDEX(L$5:L$1258,'Stock Price'!$I$9)-1,"")</f>
        <v>-0.19120879120879108</v>
      </c>
      <c r="Z641" s="19">
        <f ca="1">IF('Stock Price'!$I$11="OK",M641/INDEX(M$5:M$1258,'Stock Price'!$I$9)-1,"")</f>
        <v>-9.2806116054643395E-2</v>
      </c>
    </row>
    <row r="642" spans="1:26" x14ac:dyDescent="0.2">
      <c r="A642" s="16">
        <f>'Stock Price'!A642</f>
        <v>45400</v>
      </c>
      <c r="B642" s="17">
        <f>'Stock Price'!E642</f>
        <v>164.66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745.95</v>
      </c>
      <c r="L642" s="18">
        <v>48.3</v>
      </c>
      <c r="M642" s="18">
        <v>145.74</v>
      </c>
      <c r="O642" s="19">
        <f ca="1">IF('Stock Price'!$I$11="OK",B642/INDEX(B$5:B$1258,'Stock Price'!$I$9)-1,"")</f>
        <v>0.5036069765318234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2.2301996275927771</v>
      </c>
      <c r="Y642" s="19">
        <f ca="1">IF('Stock Price'!$I$11="OK",L642/INDEX(L$5:L$1258,'Stock Price'!$I$9)-1,"")</f>
        <v>-0.18343195266272194</v>
      </c>
      <c r="Z642" s="19">
        <f ca="1">IF('Stock Price'!$I$11="OK",M642/INDEX(M$5:M$1258,'Stock Price'!$I$9)-1,"")</f>
        <v>-8.6727660107782989E-2</v>
      </c>
    </row>
    <row r="643" spans="1:26" x14ac:dyDescent="0.2">
      <c r="A643" s="16">
        <f>'Stock Price'!A643</f>
        <v>45401</v>
      </c>
      <c r="B643" s="17">
        <f>'Stock Price'!E643</f>
        <v>166.41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726.31</v>
      </c>
      <c r="L643" s="18">
        <v>48.93</v>
      </c>
      <c r="M643" s="18">
        <v>147.91</v>
      </c>
      <c r="O643" s="19">
        <f ca="1">IF('Stock Price'!$I$11="OK",B643/INDEX(B$5:B$1258,'Stock Price'!$I$9)-1,"")</f>
        <v>0.51958725230572544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2.1451522106265966</v>
      </c>
      <c r="Y643" s="19">
        <f ca="1">IF('Stock Price'!$I$11="OK",L643/INDEX(L$5:L$1258,'Stock Price'!$I$9)-1,"")</f>
        <v>-0.17278106508875735</v>
      </c>
      <c r="Z643" s="19">
        <f ca="1">IF('Stock Price'!$I$11="OK",M643/INDEX(M$5:M$1258,'Stock Price'!$I$9)-1,"")</f>
        <v>-7.3129464845218761E-2</v>
      </c>
    </row>
    <row r="644" spans="1:26" x14ac:dyDescent="0.2">
      <c r="A644" s="16">
        <f>'Stock Price'!A644</f>
        <v>45404</v>
      </c>
      <c r="B644" s="17">
        <f>'Stock Price'!E644</f>
        <v>167.89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731.33</v>
      </c>
      <c r="L644" s="18">
        <v>49.14</v>
      </c>
      <c r="M644" s="18">
        <v>149.12</v>
      </c>
      <c r="O644" s="19">
        <f ca="1">IF('Stock Price'!$I$11="OK",B644/INDEX(B$5:B$1258,'Stock Price'!$I$9)-1,"")</f>
        <v>0.53310199981736806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2.1668903996882172</v>
      </c>
      <c r="Y644" s="19">
        <f ca="1">IF('Stock Price'!$I$11="OK",L644/INDEX(L$5:L$1258,'Stock Price'!$I$9)-1,"")</f>
        <v>-0.16923076923076918</v>
      </c>
      <c r="Z644" s="19">
        <f ca="1">IF('Stock Price'!$I$11="OK",M644/INDEX(M$5:M$1258,'Stock Price'!$I$9)-1,"")</f>
        <v>-6.5547061035217458E-2</v>
      </c>
    </row>
    <row r="645" spans="1:26" x14ac:dyDescent="0.2">
      <c r="A645" s="16">
        <f>'Stock Price'!A645</f>
        <v>45405</v>
      </c>
      <c r="B645" s="17">
        <f>'Stock Price'!E645</f>
        <v>169.54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745.69</v>
      </c>
      <c r="L645" s="18">
        <v>48.99</v>
      </c>
      <c r="M645" s="18">
        <v>149.56</v>
      </c>
      <c r="O645" s="19">
        <f ca="1">IF('Stock Price'!$I$11="OK",B645/INDEX(B$5:B$1258,'Stock Price'!$I$9)-1,"")</f>
        <v>0.54816911697561843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2.2290737452907807</v>
      </c>
      <c r="Y645" s="19">
        <f ca="1">IF('Stock Price'!$I$11="OK",L645/INDEX(L$5:L$1258,'Stock Price'!$I$9)-1,"")</f>
        <v>-0.17176669484361784</v>
      </c>
      <c r="Z645" s="19">
        <f ca="1">IF('Stock Price'!$I$11="OK",M645/INDEX(M$5:M$1258,'Stock Price'!$I$9)-1,"")</f>
        <v>-6.2789823286126145E-2</v>
      </c>
    </row>
    <row r="646" spans="1:26" x14ac:dyDescent="0.2">
      <c r="A646" s="16">
        <f>'Stock Price'!A646</f>
        <v>45406</v>
      </c>
      <c r="B646" s="17">
        <f>'Stock Price'!E646</f>
        <v>167.8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732.2</v>
      </c>
      <c r="L646" s="18">
        <v>48.86</v>
      </c>
      <c r="M646" s="18">
        <v>148.53</v>
      </c>
      <c r="O646" s="19">
        <f ca="1">IF('Stock Price'!$I$11="OK",B646/INDEX(B$5:B$1258,'Stock Price'!$I$9)-1,"")</f>
        <v>0.53228015706328202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2.1706577750833587</v>
      </c>
      <c r="Y646" s="19">
        <f ca="1">IF('Stock Price'!$I$11="OK",L646/INDEX(L$5:L$1258,'Stock Price'!$I$9)-1,"")</f>
        <v>-0.17396449704142014</v>
      </c>
      <c r="Z646" s="19">
        <f ca="1">IF('Stock Price'!$I$11="OK",M646/INDEX(M$5:M$1258,'Stock Price'!$I$9)-1,"")</f>
        <v>-6.9244266198771887E-2</v>
      </c>
    </row>
    <row r="647" spans="1:26" x14ac:dyDescent="0.2">
      <c r="A647" s="16">
        <f>'Stock Price'!A647</f>
        <v>45407</v>
      </c>
      <c r="B647" s="17">
        <f>'Stock Price'!E647</f>
        <v>167.29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724.87</v>
      </c>
      <c r="L647" s="18">
        <v>44.7</v>
      </c>
      <c r="M647" s="18">
        <v>146.82</v>
      </c>
      <c r="O647" s="19">
        <f ca="1">IF('Stock Price'!$I$11="OK",B647/INDEX(B$5:B$1258,'Stock Price'!$I$9)-1,"")</f>
        <v>0.52762304812345895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2.1389165548001556</v>
      </c>
      <c r="Y647" s="19">
        <f ca="1">IF('Stock Price'!$I$11="OK",L647/INDEX(L$5:L$1258,'Stock Price'!$I$9)-1,"")</f>
        <v>-0.24429416737109033</v>
      </c>
      <c r="Z647" s="19">
        <f ca="1">IF('Stock Price'!$I$11="OK",M647/INDEX(M$5:M$1258,'Stock Price'!$I$9)-1,"")</f>
        <v>-7.9959894723649727E-2</v>
      </c>
    </row>
    <row r="648" spans="1:26" x14ac:dyDescent="0.2">
      <c r="A648" s="16">
        <f>'Stock Price'!A648</f>
        <v>45408</v>
      </c>
      <c r="B648" s="17">
        <f>'Stock Price'!E648</f>
        <v>159.62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733.51</v>
      </c>
      <c r="L648" s="18">
        <v>44.85</v>
      </c>
      <c r="M648" s="18">
        <v>146.13999999999999</v>
      </c>
      <c r="O648" s="19">
        <f ca="1">IF('Stock Price'!$I$11="OK",B648/INDEX(B$5:B$1258,'Stock Price'!$I$9)-1,"")</f>
        <v>0.45758378230298602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2.1763304897588012</v>
      </c>
      <c r="Y648" s="19">
        <f ca="1">IF('Stock Price'!$I$11="OK",L648/INDEX(L$5:L$1258,'Stock Price'!$I$9)-1,"")</f>
        <v>-0.24175824175824168</v>
      </c>
      <c r="Z648" s="19">
        <f ca="1">IF('Stock Price'!$I$11="OK",M648/INDEX(M$5:M$1258,'Stock Price'!$I$9)-1,"")</f>
        <v>-8.4221080335881826E-2</v>
      </c>
    </row>
    <row r="649" spans="1:26" x14ac:dyDescent="0.2">
      <c r="A649" s="16">
        <f>'Stock Price'!A649</f>
        <v>45411</v>
      </c>
      <c r="B649" s="17">
        <f>'Stock Price'!E649</f>
        <v>161.52000000000001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737.2</v>
      </c>
      <c r="L649" s="18">
        <v>44.64</v>
      </c>
      <c r="M649" s="18">
        <v>146.82</v>
      </c>
      <c r="O649" s="19">
        <f ca="1">IF('Stock Price'!$I$11="OK",B649/INDEX(B$5:B$1258,'Stock Price'!$I$9)-1,"")</f>
        <v>0.47493379600036523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2.1923093578140564</v>
      </c>
      <c r="Y649" s="19">
        <f ca="1">IF('Stock Price'!$I$11="OK",L649/INDEX(L$5:L$1258,'Stock Price'!$I$9)-1,"")</f>
        <v>-0.24530853761622995</v>
      </c>
      <c r="Z649" s="19">
        <f ca="1">IF('Stock Price'!$I$11="OK",M649/INDEX(M$5:M$1258,'Stock Price'!$I$9)-1,"")</f>
        <v>-7.9959894723649727E-2</v>
      </c>
    </row>
    <row r="650" spans="1:26" x14ac:dyDescent="0.2">
      <c r="A650" s="16">
        <f>'Stock Price'!A650</f>
        <v>45412</v>
      </c>
      <c r="B650" s="17">
        <f>'Stock Price'!E650</f>
        <v>162.63999999999999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781.1</v>
      </c>
      <c r="L650" s="18">
        <v>43.94</v>
      </c>
      <c r="M650" s="18">
        <v>144.59</v>
      </c>
      <c r="O650" s="19">
        <f ca="1">IF('Stock Price'!$I$11="OK",B650/INDEX(B$5:B$1258,'Stock Price'!$I$9)-1,"")</f>
        <v>0.48516117249566237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2.3824102541895811</v>
      </c>
      <c r="Y650" s="19">
        <f ca="1">IF('Stock Price'!$I$11="OK",L650/INDEX(L$5:L$1258,'Stock Price'!$I$9)-1,"")</f>
        <v>-0.25714285714285712</v>
      </c>
      <c r="Z650" s="19">
        <f ca="1">IF('Stock Price'!$I$11="OK",M650/INDEX(M$5:M$1258,'Stock Price'!$I$9)-1,"")</f>
        <v>-9.3934076951999068E-2</v>
      </c>
    </row>
    <row r="651" spans="1:26" x14ac:dyDescent="0.2">
      <c r="A651" s="16">
        <f>'Stock Price'!A651</f>
        <v>45413</v>
      </c>
      <c r="B651" s="17">
        <f>'Stock Price'!E651</f>
        <v>161.72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776.75</v>
      </c>
      <c r="L651" s="18">
        <v>44.21</v>
      </c>
      <c r="M651" s="18">
        <v>151.18</v>
      </c>
      <c r="O651" s="19">
        <f ca="1">IF('Stock Price'!$I$11="OK",B651/INDEX(B$5:B$1258,'Stock Price'!$I$9)-1,"")</f>
        <v>0.47676011323166834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2.3635733772138741</v>
      </c>
      <c r="Y651" s="19">
        <f ca="1">IF('Stock Price'!$I$11="OK",L651/INDEX(L$5:L$1258,'Stock Price'!$I$9)-1,"")</f>
        <v>-0.25257819103972945</v>
      </c>
      <c r="Z651" s="19">
        <f ca="1">IF('Stock Price'!$I$11="OK",M651/INDEX(M$5:M$1258,'Stock Price'!$I$9)-1,"")</f>
        <v>-5.2638175209926086E-2</v>
      </c>
    </row>
    <row r="652" spans="1:26" x14ac:dyDescent="0.2">
      <c r="A652" s="16">
        <f>'Stock Price'!A652</f>
        <v>45414</v>
      </c>
      <c r="B652" s="17">
        <f>'Stock Price'!E652</f>
        <v>160.81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755.91</v>
      </c>
      <c r="L652" s="18">
        <v>43.7</v>
      </c>
      <c r="M652" s="18">
        <v>149.91999999999999</v>
      </c>
      <c r="O652" s="19">
        <f ca="1">IF('Stock Price'!$I$11="OK",B652/INDEX(B$5:B$1258,'Stock Price'!$I$9)-1,"")</f>
        <v>0.46845036982923927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2.2733295803923266</v>
      </c>
      <c r="Y652" s="19">
        <f ca="1">IF('Stock Price'!$I$11="OK",L652/INDEX(L$5:L$1258,'Stock Price'!$I$9)-1,"")</f>
        <v>-0.26120033812341503</v>
      </c>
      <c r="Z652" s="19">
        <f ca="1">IF('Stock Price'!$I$11="OK",M652/INDEX(M$5:M$1258,'Stock Price'!$I$9)-1,"")</f>
        <v>-6.0533901491415132E-2</v>
      </c>
    </row>
    <row r="653" spans="1:26" x14ac:dyDescent="0.2">
      <c r="A653" s="16">
        <f>'Stock Price'!A653</f>
        <v>45415</v>
      </c>
      <c r="B653" s="17">
        <f>'Stock Price'!E653</f>
        <v>163.79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734.97</v>
      </c>
      <c r="L653" s="18">
        <v>43.99</v>
      </c>
      <c r="M653" s="18">
        <v>149.27000000000001</v>
      </c>
      <c r="O653" s="19">
        <f ca="1">IF('Stock Price'!$I$11="OK",B653/INDEX(B$5:B$1258,'Stock Price'!$I$9)-1,"")</f>
        <v>0.49566249657565509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2.1826527519161649</v>
      </c>
      <c r="Y653" s="19">
        <f ca="1">IF('Stock Price'!$I$11="OK",L653/INDEX(L$5:L$1258,'Stock Price'!$I$9)-1,"")</f>
        <v>-0.2562975486052409</v>
      </c>
      <c r="Z653" s="19">
        <f ca="1">IF('Stock Price'!$I$11="OK",M653/INDEX(M$5:M$1258,'Stock Price'!$I$9)-1,"")</f>
        <v>-6.4607093620754452E-2</v>
      </c>
    </row>
    <row r="654" spans="1:26" x14ac:dyDescent="0.2">
      <c r="A654" s="16">
        <f>'Stock Price'!A654</f>
        <v>45418</v>
      </c>
      <c r="B654" s="17">
        <f>'Stock Price'!E654</f>
        <v>162.72999999999999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766.68</v>
      </c>
      <c r="L654" s="18">
        <v>43.9</v>
      </c>
      <c r="M654" s="18">
        <v>148.58000000000001</v>
      </c>
      <c r="O654" s="19">
        <f ca="1">IF('Stock Price'!$I$11="OK",B654/INDEX(B$5:B$1258,'Stock Price'!$I$9)-1,"")</f>
        <v>0.48598301524974863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2.319967089594249</v>
      </c>
      <c r="Y654" s="19">
        <f ca="1">IF('Stock Price'!$I$11="OK",L654/INDEX(L$5:L$1258,'Stock Price'!$I$9)-1,"")</f>
        <v>-0.25781910397295016</v>
      </c>
      <c r="Z654" s="19">
        <f ca="1">IF('Stock Price'!$I$11="OK",M654/INDEX(M$5:M$1258,'Stock Price'!$I$9)-1,"")</f>
        <v>-6.8930943727284144E-2</v>
      </c>
    </row>
    <row r="655" spans="1:26" x14ac:dyDescent="0.2">
      <c r="A655" s="16">
        <f>'Stock Price'!A655</f>
        <v>45419</v>
      </c>
      <c r="B655" s="17">
        <f>'Stock Price'!E655</f>
        <v>162.55000000000001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777.77</v>
      </c>
      <c r="L655" s="18">
        <v>44.04</v>
      </c>
      <c r="M655" s="18">
        <v>148.72</v>
      </c>
      <c r="O655" s="19">
        <f ca="1">IF('Stock Price'!$I$11="OK",B655/INDEX(B$5:B$1258,'Stock Price'!$I$9)-1,"")</f>
        <v>0.48433932974157612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2.3679903000909364</v>
      </c>
      <c r="Y655" s="19">
        <f ca="1">IF('Stock Price'!$I$11="OK",L655/INDEX(L$5:L$1258,'Stock Price'!$I$9)-1,"")</f>
        <v>-0.25545224006762468</v>
      </c>
      <c r="Z655" s="19">
        <f ca="1">IF('Stock Price'!$I$11="OK",M655/INDEX(M$5:M$1258,'Stock Price'!$I$9)-1,"")</f>
        <v>-6.8053640807118732E-2</v>
      </c>
    </row>
    <row r="656" spans="1:26" x14ac:dyDescent="0.2">
      <c r="A656" s="16">
        <f>'Stock Price'!A656</f>
        <v>45420</v>
      </c>
      <c r="B656" s="17">
        <f>'Stock Price'!E656</f>
        <v>160.44999999999999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775</v>
      </c>
      <c r="L656" s="18">
        <v>43.67</v>
      </c>
      <c r="M656" s="18">
        <v>148.94999999999999</v>
      </c>
      <c r="O656" s="19">
        <f ca="1">IF('Stock Price'!$I$11="OK",B656/INDEX(B$5:B$1258,'Stock Price'!$I$9)-1,"")</f>
        <v>0.46516299881289358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2.3559953232581301</v>
      </c>
      <c r="Y656" s="19">
        <f ca="1">IF('Stock Price'!$I$11="OK",L656/INDEX(L$5:L$1258,'Stock Price'!$I$9)-1,"")</f>
        <v>-0.26170752324598479</v>
      </c>
      <c r="Z656" s="19">
        <f ca="1">IF('Stock Price'!$I$11="OK",M656/INDEX(M$5:M$1258,'Stock Price'!$I$9)-1,"")</f>
        <v>-6.6612357438275649E-2</v>
      </c>
    </row>
    <row r="657" spans="1:26" x14ac:dyDescent="0.2">
      <c r="A657" s="16">
        <f>'Stock Price'!A657</f>
        <v>45421</v>
      </c>
      <c r="B657" s="17">
        <f>'Stock Price'!E657</f>
        <v>160.4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771.55</v>
      </c>
      <c r="L657" s="18">
        <v>44.74</v>
      </c>
      <c r="M657" s="18">
        <v>149.85</v>
      </c>
      <c r="O657" s="19">
        <f ca="1">IF('Stock Price'!$I$11="OK",B657/INDEX(B$5:B$1258,'Stock Price'!$I$9)-1,"")</f>
        <v>0.46470641950506808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2.3410557311739484</v>
      </c>
      <c r="Y657" s="19">
        <f ca="1">IF('Stock Price'!$I$11="OK",L657/INDEX(L$5:L$1258,'Stock Price'!$I$9)-1,"")</f>
        <v>-0.2436179205409974</v>
      </c>
      <c r="Z657" s="19">
        <f ca="1">IF('Stock Price'!$I$11="OK",M657/INDEX(M$5:M$1258,'Stock Price'!$I$9)-1,"")</f>
        <v>-6.0972552951497838E-2</v>
      </c>
    </row>
    <row r="658" spans="1:26" x14ac:dyDescent="0.2">
      <c r="A658" s="16">
        <f>'Stock Price'!A658</f>
        <v>45422</v>
      </c>
      <c r="B658" s="17">
        <f>'Stock Price'!E658</f>
        <v>160.75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760</v>
      </c>
      <c r="L658" s="18">
        <v>44.94</v>
      </c>
      <c r="M658" s="18">
        <v>149.91</v>
      </c>
      <c r="O658" s="19">
        <f ca="1">IF('Stock Price'!$I$11="OK",B658/INDEX(B$5:B$1258,'Stock Price'!$I$9)-1,"")</f>
        <v>0.46790247465984836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2.2910405750660372</v>
      </c>
      <c r="Y658" s="19">
        <f ca="1">IF('Stock Price'!$I$11="OK",L658/INDEX(L$5:L$1258,'Stock Price'!$I$9)-1,"")</f>
        <v>-0.24023668639053253</v>
      </c>
      <c r="Z658" s="19">
        <f ca="1">IF('Stock Price'!$I$11="OK",M658/INDEX(M$5:M$1258,'Stock Price'!$I$9)-1,"")</f>
        <v>-6.0596565985712614E-2</v>
      </c>
    </row>
    <row r="659" spans="1:26" x14ac:dyDescent="0.2">
      <c r="A659" s="16">
        <f>'Stock Price'!A659</f>
        <v>45425</v>
      </c>
      <c r="B659" s="17">
        <f>'Stock Price'!E659</f>
        <v>161.28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757.7</v>
      </c>
      <c r="L659" s="18">
        <v>45.06</v>
      </c>
      <c r="M659" s="18">
        <v>151.22</v>
      </c>
      <c r="O659" s="19">
        <f ca="1">IF('Stock Price'!$I$11="OK",B659/INDEX(B$5:B$1258,'Stock Price'!$I$9)-1,"")</f>
        <v>0.47274221532280158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2.2810808470099166</v>
      </c>
      <c r="Y659" s="19">
        <f ca="1">IF('Stock Price'!$I$11="OK",L659/INDEX(L$5:L$1258,'Stock Price'!$I$9)-1,"")</f>
        <v>-0.23820794590025351</v>
      </c>
      <c r="Z659" s="19">
        <f ca="1">IF('Stock Price'!$I$11="OK",M659/INDEX(M$5:M$1258,'Stock Price'!$I$9)-1,"")</f>
        <v>-5.2387517232736047E-2</v>
      </c>
    </row>
    <row r="660" spans="1:26" x14ac:dyDescent="0.2">
      <c r="A660" s="16">
        <f>'Stock Price'!A660</f>
        <v>45426</v>
      </c>
      <c r="B660" s="17">
        <f>'Stock Price'!E660</f>
        <v>161.59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763.98</v>
      </c>
      <c r="L660" s="18">
        <v>44.71</v>
      </c>
      <c r="M660" s="18">
        <v>151.38</v>
      </c>
      <c r="O660" s="19">
        <f ca="1">IF('Stock Price'!$I$11="OK",B660/INDEX(B$5:B$1258,'Stock Price'!$I$9)-1,"")</f>
        <v>0.47557300703132133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2.3082752349196727</v>
      </c>
      <c r="Y660" s="19">
        <f ca="1">IF('Stock Price'!$I$11="OK",L660/INDEX(L$5:L$1258,'Stock Price'!$I$9)-1,"")</f>
        <v>-0.24412510566356715</v>
      </c>
      <c r="Z660" s="19">
        <f ca="1">IF('Stock Price'!$I$11="OK",M660/INDEX(M$5:M$1258,'Stock Price'!$I$9)-1,"")</f>
        <v>-5.138488532397556E-2</v>
      </c>
    </row>
    <row r="661" spans="1:26" x14ac:dyDescent="0.2">
      <c r="A661" s="16">
        <f>'Stock Price'!A661</f>
        <v>45427</v>
      </c>
      <c r="B661" s="17">
        <f>'Stock Price'!E661</f>
        <v>163.79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787.02</v>
      </c>
      <c r="L661" s="18">
        <v>44.55</v>
      </c>
      <c r="M661" s="18">
        <v>152.66999999999999</v>
      </c>
      <c r="O661" s="19">
        <f ca="1">IF('Stock Price'!$I$11="OK",B661/INDEX(B$5:B$1258,'Stock Price'!$I$9)-1,"")</f>
        <v>0.49566249657565509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2.408045728142727</v>
      </c>
      <c r="Y661" s="19">
        <f ca="1">IF('Stock Price'!$I$11="OK",L661/INDEX(L$5:L$1258,'Stock Price'!$I$9)-1,"")</f>
        <v>-0.24683009298393921</v>
      </c>
      <c r="Z661" s="19">
        <f ca="1">IF('Stock Price'!$I$11="OK",M661/INDEX(M$5:M$1258,'Stock Price'!$I$9)-1,"")</f>
        <v>-4.3301165559594068E-2</v>
      </c>
    </row>
    <row r="662" spans="1:26" x14ac:dyDescent="0.2">
      <c r="A662" s="16">
        <f>'Stock Price'!A662</f>
        <v>45428</v>
      </c>
      <c r="B662" s="17">
        <f>'Stock Price'!E662</f>
        <v>164.35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771.12</v>
      </c>
      <c r="L662" s="18">
        <v>44.11</v>
      </c>
      <c r="M662" s="18">
        <v>154.28</v>
      </c>
      <c r="O662" s="19">
        <f ca="1">IF('Stock Price'!$I$11="OK",B662/INDEX(B$5:B$1258,'Stock Price'!$I$9)-1,"")</f>
        <v>0.50077618482330366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2.3391936950591088</v>
      </c>
      <c r="Y662" s="19">
        <f ca="1">IF('Stock Price'!$I$11="OK",L662/INDEX(L$5:L$1258,'Stock Price'!$I$9)-1,"")</f>
        <v>-0.254268808114962</v>
      </c>
      <c r="Z662" s="19">
        <f ca="1">IF('Stock Price'!$I$11="OK",M662/INDEX(M$5:M$1258,'Stock Price'!$I$9)-1,"")</f>
        <v>-3.3212181977691491E-2</v>
      </c>
    </row>
    <row r="663" spans="1:26" x14ac:dyDescent="0.2">
      <c r="A663" s="16">
        <f>'Stock Price'!A663</f>
        <v>45429</v>
      </c>
      <c r="B663" s="17">
        <f>'Stock Price'!E663</f>
        <v>166.42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770</v>
      </c>
      <c r="L663" s="18">
        <v>44.03</v>
      </c>
      <c r="M663" s="18">
        <v>154.63999999999999</v>
      </c>
      <c r="O663" s="19">
        <f ca="1">IF('Stock Price'!$I$11="OK",B663/INDEX(B$5:B$1258,'Stock Price'!$I$9)-1,"")</f>
        <v>0.51967856816729041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2.3343437405274323</v>
      </c>
      <c r="Y663" s="19">
        <f ca="1">IF('Stock Price'!$I$11="OK",L663/INDEX(L$5:L$1258,'Stock Price'!$I$9)-1,"")</f>
        <v>-0.25562130177514786</v>
      </c>
      <c r="Z663" s="19">
        <f ca="1">IF('Stock Price'!$I$11="OK",M663/INDEX(M$5:M$1258,'Stock Price'!$I$9)-1,"")</f>
        <v>-3.0956260182980477E-2</v>
      </c>
    </row>
    <row r="664" spans="1:26" x14ac:dyDescent="0.2">
      <c r="A664" s="16">
        <f>'Stock Price'!A664</f>
        <v>45432</v>
      </c>
      <c r="B664" s="17">
        <f>'Stock Price'!E664</f>
        <v>164.56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783.18</v>
      </c>
      <c r="L664" s="18">
        <v>43.36</v>
      </c>
      <c r="M664" s="18">
        <v>151.27000000000001</v>
      </c>
      <c r="O664" s="19">
        <f ca="1">IF('Stock Price'!$I$11="OK",B664/INDEX(B$5:B$1258,'Stock Price'!$I$9)-1,"")</f>
        <v>0.50269381791617196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2.3914173126055513</v>
      </c>
      <c r="Y664" s="19">
        <f ca="1">IF('Stock Price'!$I$11="OK",L664/INDEX(L$5:L$1258,'Stock Price'!$I$9)-1,"")</f>
        <v>-0.26694843617920538</v>
      </c>
      <c r="Z664" s="19">
        <f ca="1">IF('Stock Price'!$I$11="OK",M664/INDEX(M$5:M$1258,'Stock Price'!$I$9)-1,"")</f>
        <v>-5.2074194761248305E-2</v>
      </c>
    </row>
    <row r="665" spans="1:26" x14ac:dyDescent="0.2">
      <c r="A665" s="16">
        <f>'Stock Price'!A665</f>
        <v>45433</v>
      </c>
      <c r="B665" s="17">
        <f>'Stock Price'!E665</f>
        <v>162.93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803.17</v>
      </c>
      <c r="L665" s="18">
        <v>42.27</v>
      </c>
      <c r="M665" s="18">
        <v>151.24</v>
      </c>
      <c r="O665" s="19">
        <f ca="1">IF('Stock Price'!$I$11="OK",B665/INDEX(B$5:B$1258,'Stock Price'!$I$9)-1,"")</f>
        <v>0.48780933248105196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2.4779803403628802</v>
      </c>
      <c r="Y665" s="19">
        <f ca="1">IF('Stock Price'!$I$11="OK",L665/INDEX(L$5:L$1258,'Stock Price'!$I$9)-1,"")</f>
        <v>-0.28537616229923912</v>
      </c>
      <c r="Z665" s="19">
        <f ca="1">IF('Stock Price'!$I$11="OK",M665/INDEX(M$5:M$1258,'Stock Price'!$I$9)-1,"")</f>
        <v>-5.2262188244140861E-2</v>
      </c>
    </row>
    <row r="666" spans="1:26" x14ac:dyDescent="0.2">
      <c r="A666" s="16">
        <f>'Stock Price'!A666</f>
        <v>45434</v>
      </c>
      <c r="B666" s="17">
        <f>'Stock Price'!E666</f>
        <v>159.61000000000001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802.91</v>
      </c>
      <c r="L666" s="18">
        <v>42.34</v>
      </c>
      <c r="M666" s="18">
        <v>153.5</v>
      </c>
      <c r="O666" s="19">
        <f ca="1">IF('Stock Price'!$I$11="OK",B666/INDEX(B$5:B$1258,'Stock Price'!$I$9)-1,"")</f>
        <v>0.45749246644142083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2.4768544580608842</v>
      </c>
      <c r="Y666" s="19">
        <f ca="1">IF('Stock Price'!$I$11="OK",L666/INDEX(L$5:L$1258,'Stock Price'!$I$9)-1,"")</f>
        <v>-0.28419273034657644</v>
      </c>
      <c r="Z666" s="19">
        <f ca="1">IF('Stock Price'!$I$11="OK",M666/INDEX(M$5:M$1258,'Stock Price'!$I$9)-1,"")</f>
        <v>-3.8100012532898964E-2</v>
      </c>
    </row>
    <row r="667" spans="1:26" x14ac:dyDescent="0.2">
      <c r="A667" s="16">
        <f>'Stock Price'!A667</f>
        <v>45435</v>
      </c>
      <c r="B667" s="17">
        <f>'Stock Price'!E667</f>
        <v>158.26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808.45</v>
      </c>
      <c r="L667" s="18">
        <v>41.54</v>
      </c>
      <c r="M667" s="18">
        <v>149.69999999999999</v>
      </c>
      <c r="O667" s="19">
        <f ca="1">IF('Stock Price'!$I$11="OK",B667/INDEX(B$5:B$1258,'Stock Price'!$I$9)-1,"")</f>
        <v>0.44516482513012501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2.5008444117264972</v>
      </c>
      <c r="Y667" s="19">
        <f ca="1">IF('Stock Price'!$I$11="OK",L667/INDEX(L$5:L$1258,'Stock Price'!$I$9)-1,"")</f>
        <v>-0.29771766694843615</v>
      </c>
      <c r="Z667" s="19">
        <f ca="1">IF('Stock Price'!$I$11="OK",M667/INDEX(M$5:M$1258,'Stock Price'!$I$9)-1,"")</f>
        <v>-6.1912520365960844E-2</v>
      </c>
    </row>
    <row r="668" spans="1:26" x14ac:dyDescent="0.2">
      <c r="A668" s="16">
        <f>'Stock Price'!A668</f>
        <v>45436</v>
      </c>
      <c r="B668" s="17">
        <f>'Stock Price'!E668</f>
        <v>157.06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807.43</v>
      </c>
      <c r="L668" s="18">
        <v>41.24</v>
      </c>
      <c r="M668" s="18">
        <v>146.97</v>
      </c>
      <c r="O668" s="19">
        <f ca="1">IF('Stock Price'!$I$11="OK",B668/INDEX(B$5:B$1258,'Stock Price'!$I$9)-1,"")</f>
        <v>0.43420692174230657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2.4964274888494344</v>
      </c>
      <c r="Y668" s="19">
        <f ca="1">IF('Stock Price'!$I$11="OK",L668/INDEX(L$5:L$1258,'Stock Price'!$I$9)-1,"")</f>
        <v>-0.30278951817413347</v>
      </c>
      <c r="Z668" s="19">
        <f ca="1">IF('Stock Price'!$I$11="OK",M668/INDEX(M$5:M$1258,'Stock Price'!$I$9)-1,"")</f>
        <v>-7.9019927309186722E-2</v>
      </c>
    </row>
    <row r="669" spans="1:26" x14ac:dyDescent="0.2">
      <c r="A669" s="16">
        <f>'Stock Price'!A669</f>
        <v>45440</v>
      </c>
      <c r="B669" s="17">
        <f>'Stock Price'!E669</f>
        <v>155.34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807.86</v>
      </c>
      <c r="L669" s="18">
        <v>40.49</v>
      </c>
      <c r="M669" s="18">
        <v>144.38</v>
      </c>
      <c r="O669" s="19">
        <f ca="1">IF('Stock Price'!$I$11="OK",B669/INDEX(B$5:B$1258,'Stock Price'!$I$9)-1,"")</f>
        <v>0.4185005935531001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2.4982895249642749</v>
      </c>
      <c r="Y669" s="19">
        <f ca="1">IF('Stock Price'!$I$11="OK",L669/INDEX(L$5:L$1258,'Stock Price'!$I$9)-1,"")</f>
        <v>-0.31546914623837696</v>
      </c>
      <c r="Z669" s="19">
        <f ca="1">IF('Stock Price'!$I$11="OK",M669/INDEX(M$5:M$1258,'Stock Price'!$I$9)-1,"")</f>
        <v>-9.5250031332247298E-2</v>
      </c>
    </row>
    <row r="670" spans="1:26" x14ac:dyDescent="0.2">
      <c r="A670" s="16">
        <f>'Stock Price'!A670</f>
        <v>45441</v>
      </c>
      <c r="B670" s="17">
        <f>'Stock Price'!E670</f>
        <v>154.79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811.53</v>
      </c>
      <c r="L670" s="18">
        <v>40.25</v>
      </c>
      <c r="M670" s="18">
        <v>144.44</v>
      </c>
      <c r="O670" s="19">
        <f ca="1">IF('Stock Price'!$I$11="OK",B670/INDEX(B$5:B$1258,'Stock Price'!$I$9)-1,"")</f>
        <v>0.41347822116701649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2.5141817866886069</v>
      </c>
      <c r="Y670" s="19">
        <f ca="1">IF('Stock Price'!$I$11="OK",L670/INDEX(L$5:L$1258,'Stock Price'!$I$9)-1,"")</f>
        <v>-0.31952662721893488</v>
      </c>
      <c r="Z670" s="19">
        <f ca="1">IF('Stock Price'!$I$11="OK",M670/INDEX(M$5:M$1258,'Stock Price'!$I$9)-1,"")</f>
        <v>-9.4874044366462074E-2</v>
      </c>
    </row>
    <row r="671" spans="1:26" x14ac:dyDescent="0.2">
      <c r="A671" s="16">
        <f>'Stock Price'!A671</f>
        <v>45442</v>
      </c>
      <c r="B671" s="17">
        <f>'Stock Price'!E671</f>
        <v>156.31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815.06</v>
      </c>
      <c r="L671" s="18">
        <v>40.25</v>
      </c>
      <c r="M671" s="18">
        <v>145.28</v>
      </c>
      <c r="O671" s="19">
        <f ca="1">IF('Stock Price'!$I$11="OK",B671/INDEX(B$5:B$1258,'Stock Price'!$I$9)-1,"")</f>
        <v>0.42735823212492008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2.5294678040964791</v>
      </c>
      <c r="Y671" s="19">
        <f ca="1">IF('Stock Price'!$I$11="OK",L671/INDEX(L$5:L$1258,'Stock Price'!$I$9)-1,"")</f>
        <v>-0.31952662721893488</v>
      </c>
      <c r="Z671" s="19">
        <f ca="1">IF('Stock Price'!$I$11="OK",M671/INDEX(M$5:M$1258,'Stock Price'!$I$9)-1,"")</f>
        <v>-8.9610226845469376E-2</v>
      </c>
    </row>
    <row r="672" spans="1:26" x14ac:dyDescent="0.2">
      <c r="A672" s="16">
        <f>'Stock Price'!A672</f>
        <v>45443</v>
      </c>
      <c r="B672" s="17">
        <f>'Stock Price'!E672</f>
        <v>161.24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820.34</v>
      </c>
      <c r="L672" s="18">
        <v>41.09</v>
      </c>
      <c r="M672" s="18">
        <v>146.66999999999999</v>
      </c>
      <c r="O672" s="19">
        <f ca="1">IF('Stock Price'!$I$11="OK",B672/INDEX(B$5:B$1258,'Stock Price'!$I$9)-1,"")</f>
        <v>0.47237695187654105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2.5523318754600961</v>
      </c>
      <c r="Y672" s="19">
        <f ca="1">IF('Stock Price'!$I$11="OK",L672/INDEX(L$5:L$1258,'Stock Price'!$I$9)-1,"")</f>
        <v>-0.30532544378698212</v>
      </c>
      <c r="Z672" s="19">
        <f ca="1">IF('Stock Price'!$I$11="OK",M672/INDEX(M$5:M$1258,'Stock Price'!$I$9)-1,"")</f>
        <v>-8.0899862138112733E-2</v>
      </c>
    </row>
    <row r="673" spans="1:26" x14ac:dyDescent="0.2">
      <c r="A673" s="16">
        <f>'Stock Price'!A673</f>
        <v>45446</v>
      </c>
      <c r="B673" s="17">
        <f>'Stock Price'!E673</f>
        <v>160.19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831.26</v>
      </c>
      <c r="L673" s="18">
        <v>41.77</v>
      </c>
      <c r="M673" s="18">
        <v>147.74</v>
      </c>
      <c r="O673" s="19">
        <f ca="1">IF('Stock Price'!$I$11="OK",B673/INDEX(B$5:B$1258,'Stock Price'!$I$9)-1,"")</f>
        <v>0.46278878641219978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2.5996189321439398</v>
      </c>
      <c r="Y673" s="19">
        <f ca="1">IF('Stock Price'!$I$11="OK",L673/INDEX(L$5:L$1258,'Stock Price'!$I$9)-1,"")</f>
        <v>-0.29382924767540142</v>
      </c>
      <c r="Z673" s="19">
        <f ca="1">IF('Stock Price'!$I$11="OK",M673/INDEX(M$5:M$1258,'Stock Price'!$I$9)-1,"")</f>
        <v>-7.419476124827673E-2</v>
      </c>
    </row>
    <row r="674" spans="1:26" x14ac:dyDescent="0.2">
      <c r="A674" s="16">
        <f>'Stock Price'!A674</f>
        <v>45447</v>
      </c>
      <c r="B674" s="17">
        <f>'Stock Price'!E674</f>
        <v>162.13999999999999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832.59</v>
      </c>
      <c r="L674" s="18">
        <v>41.75</v>
      </c>
      <c r="M674" s="18">
        <v>147.80000000000001</v>
      </c>
      <c r="O674" s="19">
        <f ca="1">IF('Stock Price'!$I$11="OK",B674/INDEX(B$5:B$1258,'Stock Price'!$I$9)-1,"")</f>
        <v>0.48059537941740471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2.6053782531503051</v>
      </c>
      <c r="Y674" s="19">
        <f ca="1">IF('Stock Price'!$I$11="OK",L674/INDEX(L$5:L$1258,'Stock Price'!$I$9)-1,"")</f>
        <v>-0.29416737109044799</v>
      </c>
      <c r="Z674" s="19">
        <f ca="1">IF('Stock Price'!$I$11="OK",M674/INDEX(M$5:M$1258,'Stock Price'!$I$9)-1,"")</f>
        <v>-7.3818774282491506E-2</v>
      </c>
    </row>
    <row r="675" spans="1:26" x14ac:dyDescent="0.2">
      <c r="A675" s="16">
        <f>'Stock Price'!A675</f>
        <v>45448</v>
      </c>
      <c r="B675" s="17">
        <f>'Stock Price'!E675</f>
        <v>165.44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831.76</v>
      </c>
      <c r="L675" s="18">
        <v>41.24</v>
      </c>
      <c r="M675" s="18">
        <v>145.97</v>
      </c>
      <c r="O675" s="19">
        <f ca="1">IF('Stock Price'!$I$11="OK",B675/INDEX(B$5:B$1258,'Stock Price'!$I$9)-1,"")</f>
        <v>0.51072961373390546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2.6017840904170093</v>
      </c>
      <c r="Y675" s="19">
        <f ca="1">IF('Stock Price'!$I$11="OK",L675/INDEX(L$5:L$1258,'Stock Price'!$I$9)-1,"")</f>
        <v>-0.30278951817413347</v>
      </c>
      <c r="Z675" s="19">
        <f ca="1">IF('Stock Price'!$I$11="OK",M675/INDEX(M$5:M$1258,'Stock Price'!$I$9)-1,"")</f>
        <v>-8.5286376738939795E-2</v>
      </c>
    </row>
    <row r="676" spans="1:26" x14ac:dyDescent="0.2">
      <c r="A676" s="16">
        <f>'Stock Price'!A676</f>
        <v>45449</v>
      </c>
      <c r="B676" s="17">
        <f>'Stock Price'!E676</f>
        <v>168.57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837.29</v>
      </c>
      <c r="L676" s="18">
        <v>40.880000000000003</v>
      </c>
      <c r="M676" s="18">
        <v>146.41999999999999</v>
      </c>
      <c r="O676" s="19">
        <f ca="1">IF('Stock Price'!$I$11="OK",B676/INDEX(B$5:B$1258,'Stock Price'!$I$9)-1,"")</f>
        <v>0.53931147840379867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2.6257307409171609</v>
      </c>
      <c r="Y676" s="19">
        <f ca="1">IF('Stock Price'!$I$11="OK",L676/INDEX(L$5:L$1258,'Stock Price'!$I$9)-1,"")</f>
        <v>-0.30887573964497039</v>
      </c>
      <c r="Z676" s="19">
        <f ca="1">IF('Stock Price'!$I$11="OK",M676/INDEX(M$5:M$1258,'Stock Price'!$I$9)-1,"")</f>
        <v>-8.2466474495551001E-2</v>
      </c>
    </row>
    <row r="677" spans="1:26" x14ac:dyDescent="0.2">
      <c r="A677" s="16">
        <f>'Stock Price'!A677</f>
        <v>45450</v>
      </c>
      <c r="B677" s="17">
        <f>'Stock Price'!E677</f>
        <v>169.42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849.99</v>
      </c>
      <c r="L677" s="18">
        <v>41.48</v>
      </c>
      <c r="M677" s="18">
        <v>147.08000000000001</v>
      </c>
      <c r="O677" s="19">
        <f ca="1">IF('Stock Price'!$I$11="OK",B677/INDEX(B$5:B$1258,'Stock Price'!$I$9)-1,"")</f>
        <v>0.54707332663683661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2.6807257610531328</v>
      </c>
      <c r="Y677" s="19">
        <f ca="1">IF('Stock Price'!$I$11="OK",L677/INDEX(L$5:L$1258,'Stock Price'!$I$9)-1,"")</f>
        <v>-0.29873203719357566</v>
      </c>
      <c r="Z677" s="19">
        <f ca="1">IF('Stock Price'!$I$11="OK",M677/INDEX(M$5:M$1258,'Stock Price'!$I$9)-1,"")</f>
        <v>-7.8330617871913755E-2</v>
      </c>
    </row>
    <row r="678" spans="1:26" x14ac:dyDescent="0.2">
      <c r="A678" s="16">
        <f>'Stock Price'!A678</f>
        <v>45453</v>
      </c>
      <c r="B678" s="17">
        <f>'Stock Price'!E678</f>
        <v>170.46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865</v>
      </c>
      <c r="L678" s="18">
        <v>42.57</v>
      </c>
      <c r="M678" s="18">
        <v>147.13</v>
      </c>
      <c r="O678" s="19">
        <f ca="1">IF('Stock Price'!$I$11="OK",B678/INDEX(B$5:B$1258,'Stock Price'!$I$9)-1,"")</f>
        <v>0.55657017623961291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2.7457238124106871</v>
      </c>
      <c r="Y678" s="19">
        <f ca="1">IF('Stock Price'!$I$11="OK",L678/INDEX(L$5:L$1258,'Stock Price'!$I$9)-1,"")</f>
        <v>-0.28030431107354181</v>
      </c>
      <c r="Z678" s="19">
        <f ca="1">IF('Stock Price'!$I$11="OK",M678/INDEX(M$5:M$1258,'Stock Price'!$I$9)-1,"")</f>
        <v>-7.8017295400426234E-2</v>
      </c>
    </row>
    <row r="679" spans="1:26" x14ac:dyDescent="0.2">
      <c r="A679" s="16">
        <f>'Stock Price'!A679</f>
        <v>45454</v>
      </c>
      <c r="B679" s="17">
        <f>'Stock Price'!E679</f>
        <v>167.7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865.82</v>
      </c>
      <c r="L679" s="18">
        <v>43.02</v>
      </c>
      <c r="M679" s="18">
        <v>146.76</v>
      </c>
      <c r="O679" s="19">
        <f ca="1">IF('Stock Price'!$I$11="OK",B679/INDEX(B$5:B$1258,'Stock Price'!$I$9)-1,"")</f>
        <v>0.53136699844763013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2.7492746719785219</v>
      </c>
      <c r="Y679" s="19">
        <f ca="1">IF('Stock Price'!$I$11="OK",L679/INDEX(L$5:L$1258,'Stock Price'!$I$9)-1,"")</f>
        <v>-0.27269653423499574</v>
      </c>
      <c r="Z679" s="19">
        <f ca="1">IF('Stock Price'!$I$11="OK",M679/INDEX(M$5:M$1258,'Stock Price'!$I$9)-1,"")</f>
        <v>-8.033588168943484E-2</v>
      </c>
    </row>
    <row r="680" spans="1:26" x14ac:dyDescent="0.2">
      <c r="A680" s="16">
        <f>'Stock Price'!A680</f>
        <v>45455</v>
      </c>
      <c r="B680" s="17">
        <f>'Stock Price'!E680</f>
        <v>166.09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867.3</v>
      </c>
      <c r="L680" s="18">
        <v>42.41</v>
      </c>
      <c r="M680" s="18">
        <v>145.41</v>
      </c>
      <c r="O680" s="19">
        <f ca="1">IF('Stock Price'!$I$11="OK",B680/INDEX(B$5:B$1258,'Stock Price'!$I$9)-1,"")</f>
        <v>0.51666514473564051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2.7556835404668076</v>
      </c>
      <c r="Y680" s="19">
        <f ca="1">IF('Stock Price'!$I$11="OK",L680/INDEX(L$5:L$1258,'Stock Price'!$I$9)-1,"")</f>
        <v>-0.28300929839391387</v>
      </c>
      <c r="Z680" s="19">
        <f ca="1">IF('Stock Price'!$I$11="OK",M680/INDEX(M$5:M$1258,'Stock Price'!$I$9)-1,"")</f>
        <v>-8.8795588419601557E-2</v>
      </c>
    </row>
    <row r="681" spans="1:26" x14ac:dyDescent="0.2">
      <c r="A681" s="16">
        <f>'Stock Price'!A681</f>
        <v>45456</v>
      </c>
      <c r="B681" s="17">
        <f>'Stock Price'!E681</f>
        <v>166.56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883.33</v>
      </c>
      <c r="L681" s="18">
        <v>41.48</v>
      </c>
      <c r="M681" s="18">
        <v>145.44999999999999</v>
      </c>
      <c r="O681" s="19">
        <f ca="1">IF('Stock Price'!$I$11="OK",B681/INDEX(B$5:B$1258,'Stock Price'!$I$9)-1,"")</f>
        <v>0.52095699022920283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2.8250985147014247</v>
      </c>
      <c r="Y681" s="19">
        <f ca="1">IF('Stock Price'!$I$11="OK",L681/INDEX(L$5:L$1258,'Stock Price'!$I$9)-1,"")</f>
        <v>-0.29873203719357566</v>
      </c>
      <c r="Z681" s="19">
        <f ca="1">IF('Stock Price'!$I$11="OK",M681/INDEX(M$5:M$1258,'Stock Price'!$I$9)-1,"")</f>
        <v>-8.8544930442411518E-2</v>
      </c>
    </row>
    <row r="682" spans="1:26" x14ac:dyDescent="0.2">
      <c r="A682" s="16">
        <f>'Stock Price'!A682</f>
        <v>45457</v>
      </c>
      <c r="B682" s="17">
        <f>'Stock Price'!E682</f>
        <v>168.59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878.45</v>
      </c>
      <c r="L682" s="18">
        <v>41.2</v>
      </c>
      <c r="M682" s="18">
        <v>145.54</v>
      </c>
      <c r="O682" s="19">
        <f ca="1">IF('Stock Price'!$I$11="OK",B682/INDEX(B$5:B$1258,'Stock Price'!$I$9)-1,"")</f>
        <v>0.53949411012692905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2.8039665699562639</v>
      </c>
      <c r="Y682" s="19">
        <f ca="1">IF('Stock Price'!$I$11="OK",L682/INDEX(L$5:L$1258,'Stock Price'!$I$9)-1,"")</f>
        <v>-0.30346576500422651</v>
      </c>
      <c r="Z682" s="19">
        <f ca="1">IF('Stock Price'!$I$11="OK",M682/INDEX(M$5:M$1258,'Stock Price'!$I$9)-1,"")</f>
        <v>-8.7980949993733626E-2</v>
      </c>
    </row>
    <row r="683" spans="1:26" x14ac:dyDescent="0.2">
      <c r="A683" s="16">
        <f>'Stock Price'!A683</f>
        <v>45460</v>
      </c>
      <c r="B683" s="17">
        <f>'Stock Price'!E683</f>
        <v>169.68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885.01</v>
      </c>
      <c r="L683" s="18">
        <v>40.97</v>
      </c>
      <c r="M683" s="18">
        <v>145.94999999999999</v>
      </c>
      <c r="O683" s="19">
        <f ca="1">IF('Stock Price'!$I$11="OK",B683/INDEX(B$5:B$1258,'Stock Price'!$I$9)-1,"")</f>
        <v>0.54944753903753085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2.8323734464989387</v>
      </c>
      <c r="Y683" s="19">
        <f ca="1">IF('Stock Price'!$I$11="OK",L683/INDEX(L$5:L$1258,'Stock Price'!$I$9)-1,"")</f>
        <v>-0.30735418427726124</v>
      </c>
      <c r="Z683" s="19">
        <f ca="1">IF('Stock Price'!$I$11="OK",M683/INDEX(M$5:M$1258,'Stock Price'!$I$9)-1,"")</f>
        <v>-8.541170572753487E-2</v>
      </c>
    </row>
    <row r="684" spans="1:26" x14ac:dyDescent="0.2">
      <c r="A684" s="16">
        <f>'Stock Price'!A684</f>
        <v>45461</v>
      </c>
      <c r="B684" s="17">
        <f>'Stock Price'!E684</f>
        <v>171.36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891.46</v>
      </c>
      <c r="L684" s="18">
        <v>40.81</v>
      </c>
      <c r="M684" s="18">
        <v>145.65</v>
      </c>
      <c r="O684" s="19">
        <f ca="1">IF('Stock Price'!$I$11="OK",B684/INDEX(B$5:B$1258,'Stock Price'!$I$9)-1,"")</f>
        <v>0.56478860378047679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2.8603039882215389</v>
      </c>
      <c r="Y684" s="19">
        <f ca="1">IF('Stock Price'!$I$11="OK",L684/INDEX(L$5:L$1258,'Stock Price'!$I$9)-1,"")</f>
        <v>-0.31005917159763308</v>
      </c>
      <c r="Z684" s="19">
        <f ca="1">IF('Stock Price'!$I$11="OK",M684/INDEX(M$5:M$1258,'Stock Price'!$I$9)-1,"")</f>
        <v>-8.729164055646077E-2</v>
      </c>
    </row>
    <row r="685" spans="1:26" x14ac:dyDescent="0.2">
      <c r="A685" s="16">
        <f>'Stock Price'!A685</f>
        <v>45463</v>
      </c>
      <c r="B685" s="17">
        <f>'Stock Price'!E685</f>
        <v>172.13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885.99</v>
      </c>
      <c r="L685" s="18">
        <v>41.04</v>
      </c>
      <c r="M685" s="18">
        <v>147.78</v>
      </c>
      <c r="O685" s="19">
        <f ca="1">IF('Stock Price'!$I$11="OK",B685/INDEX(B$5:B$1258,'Stock Price'!$I$9)-1,"")</f>
        <v>0.57181992512099344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2.8366171567141558</v>
      </c>
      <c r="Y685" s="19">
        <f ca="1">IF('Stock Price'!$I$11="OK",L685/INDEX(L$5:L$1258,'Stock Price'!$I$9)-1,"")</f>
        <v>-0.30617075232459845</v>
      </c>
      <c r="Z685" s="19">
        <f ca="1">IF('Stock Price'!$I$11="OK",M685/INDEX(M$5:M$1258,'Stock Price'!$I$9)-1,"")</f>
        <v>-7.3944103271086692E-2</v>
      </c>
    </row>
    <row r="686" spans="1:26" x14ac:dyDescent="0.2">
      <c r="A686" s="16">
        <f>'Stock Price'!A686</f>
        <v>45464</v>
      </c>
      <c r="B686" s="17">
        <f>'Stock Price'!E686</f>
        <v>170.39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883.88</v>
      </c>
      <c r="L686" s="18">
        <v>41.93</v>
      </c>
      <c r="M686" s="18">
        <v>148.75</v>
      </c>
      <c r="O686" s="19">
        <f ca="1">IF('Stock Price'!$I$11="OK",B686/INDEX(B$5:B$1258,'Stock Price'!$I$9)-1,"")</f>
        <v>0.55593096520865659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2.8274801888018013</v>
      </c>
      <c r="Y686" s="19">
        <f ca="1">IF('Stock Price'!$I$11="OK",L686/INDEX(L$5:L$1258,'Stock Price'!$I$9)-1,"")</f>
        <v>-0.29112426035502958</v>
      </c>
      <c r="Z686" s="19">
        <f ca="1">IF('Stock Price'!$I$11="OK",M686/INDEX(M$5:M$1258,'Stock Price'!$I$9)-1,"")</f>
        <v>-6.7865647324226175E-2</v>
      </c>
    </row>
    <row r="687" spans="1:26" x14ac:dyDescent="0.2">
      <c r="A687" s="16">
        <f>'Stock Price'!A687</f>
        <v>45467</v>
      </c>
      <c r="B687" s="17">
        <f>'Stock Price'!E687</f>
        <v>172.74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890.11</v>
      </c>
      <c r="L687" s="18">
        <v>42.23</v>
      </c>
      <c r="M687" s="18">
        <v>149.12</v>
      </c>
      <c r="O687" s="19">
        <f ca="1">IF('Stock Price'!$I$11="OK",B687/INDEX(B$5:B$1258,'Stock Price'!$I$9)-1,"")</f>
        <v>0.57739019267646796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2.8544580608842507</v>
      </c>
      <c r="Y687" s="19">
        <f ca="1">IF('Stock Price'!$I$11="OK",L687/INDEX(L$5:L$1258,'Stock Price'!$I$9)-1,"")</f>
        <v>-0.28605240912933227</v>
      </c>
      <c r="Z687" s="19">
        <f ca="1">IF('Stock Price'!$I$11="OK",M687/INDEX(M$5:M$1258,'Stock Price'!$I$9)-1,"")</f>
        <v>-6.5547061035217458E-2</v>
      </c>
    </row>
    <row r="688" spans="1:26" x14ac:dyDescent="0.2">
      <c r="A688" s="16">
        <f>'Stock Price'!A688</f>
        <v>45468</v>
      </c>
      <c r="B688" s="17">
        <f>'Stock Price'!E688</f>
        <v>170.75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904.61</v>
      </c>
      <c r="L688" s="18">
        <v>42.19</v>
      </c>
      <c r="M688" s="18">
        <v>147.19</v>
      </c>
      <c r="O688" s="19">
        <f ca="1">IF('Stock Price'!$I$11="OK",B688/INDEX(B$5:B$1258,'Stock Price'!$I$9)-1,"")</f>
        <v>0.55921833622500228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2.9172476508032736</v>
      </c>
      <c r="Y688" s="19">
        <f ca="1">IF('Stock Price'!$I$11="OK",L688/INDEX(L$5:L$1258,'Stock Price'!$I$9)-1,"")</f>
        <v>-0.2867286559594252</v>
      </c>
      <c r="Z688" s="19">
        <f ca="1">IF('Stock Price'!$I$11="OK",M688/INDEX(M$5:M$1258,'Stock Price'!$I$9)-1,"")</f>
        <v>-7.764130843464101E-2</v>
      </c>
    </row>
    <row r="689" spans="1:26" x14ac:dyDescent="0.2">
      <c r="A689" s="16">
        <f>'Stock Price'!A689</f>
        <v>45469</v>
      </c>
      <c r="B689" s="17">
        <f>'Stock Price'!E689</f>
        <v>171.15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901.26</v>
      </c>
      <c r="L689" s="18">
        <v>42.5</v>
      </c>
      <c r="M689" s="18">
        <v>146.82</v>
      </c>
      <c r="O689" s="19">
        <f ca="1">IF('Stock Price'!$I$11="OK",B689/INDEX(B$5:B$1258,'Stock Price'!$I$9)-1,"")</f>
        <v>0.5628709706876085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2.9027410903737061</v>
      </c>
      <c r="Y689" s="19">
        <f ca="1">IF('Stock Price'!$I$11="OK",L689/INDEX(L$5:L$1258,'Stock Price'!$I$9)-1,"")</f>
        <v>-0.2814877430262045</v>
      </c>
      <c r="Z689" s="19">
        <f ca="1">IF('Stock Price'!$I$11="OK",M689/INDEX(M$5:M$1258,'Stock Price'!$I$9)-1,"")</f>
        <v>-7.9959894723649727E-2</v>
      </c>
    </row>
    <row r="690" spans="1:26" x14ac:dyDescent="0.2">
      <c r="A690" s="16">
        <f>'Stock Price'!A690</f>
        <v>45470</v>
      </c>
      <c r="B690" s="17">
        <f>'Stock Price'!E690</f>
        <v>168.99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909.04</v>
      </c>
      <c r="L690" s="18">
        <v>41.51</v>
      </c>
      <c r="M690" s="18">
        <v>145.80000000000001</v>
      </c>
      <c r="O690" s="19">
        <f ca="1">IF('Stock Price'!$I$11="OK",B690/INDEX(B$5:B$1258,'Stock Price'!$I$9)-1,"")</f>
        <v>0.54314674458953527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2.9364309531026715</v>
      </c>
      <c r="Y690" s="19">
        <f ca="1">IF('Stock Price'!$I$11="OK",L690/INDEX(L$5:L$1258,'Stock Price'!$I$9)-1,"")</f>
        <v>-0.29822485207100591</v>
      </c>
      <c r="Z690" s="19">
        <f ca="1">IF('Stock Price'!$I$11="OK",M690/INDEX(M$5:M$1258,'Stock Price'!$I$9)-1,"")</f>
        <v>-8.6351673141997765E-2</v>
      </c>
    </row>
    <row r="691" spans="1:26" x14ac:dyDescent="0.2">
      <c r="A691" s="16">
        <f>'Stock Price'!A691</f>
        <v>45471</v>
      </c>
      <c r="B691" s="17">
        <f>'Stock Price'!E691</f>
        <v>171.52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905.38</v>
      </c>
      <c r="L691" s="18">
        <v>41.53</v>
      </c>
      <c r="M691" s="18">
        <v>146.16</v>
      </c>
      <c r="O691" s="19">
        <f ca="1">IF('Stock Price'!$I$11="OK",B691/INDEX(B$5:B$1258,'Stock Price'!$I$9)-1,"")</f>
        <v>0.56624965756551915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2.920581994543801</v>
      </c>
      <c r="Y691" s="19">
        <f ca="1">IF('Stock Price'!$I$11="OK",L691/INDEX(L$5:L$1258,'Stock Price'!$I$9)-1,"")</f>
        <v>-0.29788672865595944</v>
      </c>
      <c r="Z691" s="19">
        <f ca="1">IF('Stock Price'!$I$11="OK",M691/INDEX(M$5:M$1258,'Stock Price'!$I$9)-1,"")</f>
        <v>-8.4095751347286751E-2</v>
      </c>
    </row>
    <row r="692" spans="1:26" x14ac:dyDescent="0.2">
      <c r="A692" s="16">
        <f>'Stock Price'!A692</f>
        <v>45474</v>
      </c>
      <c r="B692" s="17">
        <f>'Stock Price'!E692</f>
        <v>170.37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914.37</v>
      </c>
      <c r="L692" s="18">
        <v>41.3</v>
      </c>
      <c r="M692" s="18">
        <v>146.44</v>
      </c>
      <c r="O692" s="19">
        <f ca="1">IF('Stock Price'!$I$11="OK",B692/INDEX(B$5:B$1258,'Stock Price'!$I$9)-1,"")</f>
        <v>0.55574833348552644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2.9595115402935952</v>
      </c>
      <c r="Y692" s="19">
        <f ca="1">IF('Stock Price'!$I$11="OK",L692/INDEX(L$5:L$1258,'Stock Price'!$I$9)-1,"")</f>
        <v>-0.30177514792899407</v>
      </c>
      <c r="Z692" s="19">
        <f ca="1">IF('Stock Price'!$I$11="OK",M692/INDEX(M$5:M$1258,'Stock Price'!$I$9)-1,"")</f>
        <v>-8.2341145506955815E-2</v>
      </c>
    </row>
    <row r="693" spans="1:26" x14ac:dyDescent="0.2">
      <c r="A693" s="16">
        <f>'Stock Price'!A693</f>
        <v>45475</v>
      </c>
      <c r="B693" s="17">
        <f>'Stock Price'!E693</f>
        <v>165.96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906.71</v>
      </c>
      <c r="L693" s="18">
        <v>40.450000000000003</v>
      </c>
      <c r="M693" s="18">
        <v>146.03</v>
      </c>
      <c r="O693" s="19">
        <f ca="1">IF('Stock Price'!$I$11="OK",B693/INDEX(B$5:B$1258,'Stock Price'!$I$9)-1,"")</f>
        <v>0.5154780385352935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2.9263413155501667</v>
      </c>
      <c r="Y693" s="19">
        <f ca="1">IF('Stock Price'!$I$11="OK",L693/INDEX(L$5:L$1258,'Stock Price'!$I$9)-1,"")</f>
        <v>-0.31614539306846989</v>
      </c>
      <c r="Z693" s="19">
        <f ca="1">IF('Stock Price'!$I$11="OK",M693/INDEX(M$5:M$1258,'Stock Price'!$I$9)-1,"")</f>
        <v>-8.4910389773154571E-2</v>
      </c>
    </row>
    <row r="694" spans="1:26" x14ac:dyDescent="0.2">
      <c r="A694" s="16">
        <f>'Stock Price'!A694</f>
        <v>45476</v>
      </c>
      <c r="B694" s="17">
        <f>'Stock Price'!E694</f>
        <v>163.84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898.1</v>
      </c>
      <c r="L694" s="18">
        <v>40.06</v>
      </c>
      <c r="M694" s="18">
        <v>145.69</v>
      </c>
      <c r="O694" s="19">
        <f ca="1">IF('Stock Price'!$I$11="OK",B694/INDEX(B$5:B$1258,'Stock Price'!$I$9)-1,"")</f>
        <v>0.49611907588348103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2.8890572900879055</v>
      </c>
      <c r="Y694" s="19">
        <f ca="1">IF('Stock Price'!$I$11="OK",L694/INDEX(L$5:L$1258,'Stock Price'!$I$9)-1,"")</f>
        <v>-0.32273879966187657</v>
      </c>
      <c r="Z694" s="19">
        <f ca="1">IF('Stock Price'!$I$11="OK",M694/INDEX(M$5:M$1258,'Stock Price'!$I$9)-1,"")</f>
        <v>-8.704098257927062E-2</v>
      </c>
    </row>
    <row r="695" spans="1:26" x14ac:dyDescent="0.2">
      <c r="A695" s="16">
        <f>'Stock Price'!A695</f>
        <v>45478</v>
      </c>
      <c r="B695" s="17">
        <f>'Stock Price'!E695</f>
        <v>167.25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914.57</v>
      </c>
      <c r="L695" s="18">
        <v>39.659999999999997</v>
      </c>
      <c r="M695" s="18">
        <v>146.47999999999999</v>
      </c>
      <c r="O695" s="19">
        <f ca="1">IF('Stock Price'!$I$11="OK",B695/INDEX(B$5:B$1258,'Stock Price'!$I$9)-1,"")</f>
        <v>0.52725778467719842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2.9603776036028235</v>
      </c>
      <c r="Y695" s="19">
        <f ca="1">IF('Stock Price'!$I$11="OK",L695/INDEX(L$5:L$1258,'Stock Price'!$I$9)-1,"")</f>
        <v>-0.32950126796280643</v>
      </c>
      <c r="Z695" s="19">
        <f ca="1">IF('Stock Price'!$I$11="OK",M695/INDEX(M$5:M$1258,'Stock Price'!$I$9)-1,"")</f>
        <v>-8.2090487529765777E-2</v>
      </c>
    </row>
    <row r="696" spans="1:26" x14ac:dyDescent="0.2">
      <c r="A696" s="16">
        <f>'Stock Price'!A696</f>
        <v>45481</v>
      </c>
      <c r="B696" s="17">
        <f>'Stock Price'!E696</f>
        <v>166.52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918</v>
      </c>
      <c r="L696" s="18">
        <v>39.99</v>
      </c>
      <c r="M696" s="18">
        <v>145.47999999999999</v>
      </c>
      <c r="O696" s="19">
        <f ca="1">IF('Stock Price'!$I$11="OK",B696/INDEX(B$5:B$1258,'Stock Price'!$I$9)-1,"")</f>
        <v>0.5205917267829423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2.975230589356082</v>
      </c>
      <c r="Y696" s="19">
        <f ca="1">IF('Stock Price'!$I$11="OK",L696/INDEX(L$5:L$1258,'Stock Price'!$I$9)-1,"")</f>
        <v>-0.32392223161453926</v>
      </c>
      <c r="Z696" s="19">
        <f ca="1">IF('Stock Price'!$I$11="OK",M696/INDEX(M$5:M$1258,'Stock Price'!$I$9)-1,"")</f>
        <v>-8.835693695951885E-2</v>
      </c>
    </row>
    <row r="697" spans="1:26" x14ac:dyDescent="0.2">
      <c r="A697" s="16">
        <f>'Stock Price'!A697</f>
        <v>45482</v>
      </c>
      <c r="B697" s="17">
        <f>'Stock Price'!E697</f>
        <v>168.05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932.5</v>
      </c>
      <c r="L697" s="18">
        <v>40.86</v>
      </c>
      <c r="M697" s="18">
        <v>147.05000000000001</v>
      </c>
      <c r="O697" s="19">
        <f ca="1">IF('Stock Price'!$I$11="OK",B697/INDEX(B$5:B$1258,'Stock Price'!$I$9)-1,"")</f>
        <v>0.53456305360241085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3.0380201792751045</v>
      </c>
      <c r="Y697" s="19">
        <f ca="1">IF('Stock Price'!$I$11="OK",L697/INDEX(L$5:L$1258,'Stock Price'!$I$9)-1,"")</f>
        <v>-0.30921386306001686</v>
      </c>
      <c r="Z697" s="19">
        <f ca="1">IF('Stock Price'!$I$11="OK",M697/INDEX(M$5:M$1258,'Stock Price'!$I$9)-1,"")</f>
        <v>-7.8518611354806422E-2</v>
      </c>
    </row>
    <row r="698" spans="1:26" x14ac:dyDescent="0.2">
      <c r="A698" s="16">
        <f>'Stock Price'!A698</f>
        <v>45483</v>
      </c>
      <c r="B698" s="17">
        <f>'Stock Price'!E698</f>
        <v>168.14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939.78</v>
      </c>
      <c r="L698" s="18">
        <v>41.12</v>
      </c>
      <c r="M698" s="18">
        <v>149.43</v>
      </c>
      <c r="O698" s="19">
        <f ca="1">IF('Stock Price'!$I$11="OK",B698/INDEX(B$5:B$1258,'Stock Price'!$I$9)-1,"")</f>
        <v>0.53538489635649689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3.0695448837310009</v>
      </c>
      <c r="Y698" s="19">
        <f ca="1">IF('Stock Price'!$I$11="OK",L698/INDEX(L$5:L$1258,'Stock Price'!$I$9)-1,"")</f>
        <v>-0.30481825866441259</v>
      </c>
      <c r="Z698" s="19">
        <f ca="1">IF('Stock Price'!$I$11="OK",M698/INDEX(M$5:M$1258,'Stock Price'!$I$9)-1,"")</f>
        <v>-6.3604461711993965E-2</v>
      </c>
    </row>
    <row r="699" spans="1:26" x14ac:dyDescent="0.2">
      <c r="A699" s="16">
        <f>'Stock Price'!A699</f>
        <v>45484</v>
      </c>
      <c r="B699" s="17">
        <f>'Stock Price'!E699</f>
        <v>169.91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934.14</v>
      </c>
      <c r="L699" s="18">
        <v>40.75</v>
      </c>
      <c r="M699" s="18">
        <v>149.69999999999999</v>
      </c>
      <c r="O699" s="19">
        <f ca="1">IF('Stock Price'!$I$11="OK",B699/INDEX(B$5:B$1258,'Stock Price'!$I$9)-1,"")</f>
        <v>0.55154780385352931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3.0451218984107733</v>
      </c>
      <c r="Y699" s="19">
        <f ca="1">IF('Stock Price'!$I$11="OK",L699/INDEX(L$5:L$1258,'Stock Price'!$I$9)-1,"")</f>
        <v>-0.31107354184277258</v>
      </c>
      <c r="Z699" s="19">
        <f ca="1">IF('Stock Price'!$I$11="OK",M699/INDEX(M$5:M$1258,'Stock Price'!$I$9)-1,"")</f>
        <v>-6.1912520365960844E-2</v>
      </c>
    </row>
    <row r="700" spans="1:26" x14ac:dyDescent="0.2">
      <c r="A700" s="16">
        <f>'Stock Price'!A700</f>
        <v>45485</v>
      </c>
      <c r="B700" s="17">
        <f>'Stock Price'!E700</f>
        <v>170.28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948.4</v>
      </c>
      <c r="L700" s="18">
        <v>40.46</v>
      </c>
      <c r="M700" s="18">
        <v>149.88</v>
      </c>
      <c r="O700" s="19">
        <f ca="1">IF('Stock Price'!$I$11="OK",B700/INDEX(B$5:B$1258,'Stock Price'!$I$9)-1,"")</f>
        <v>0.55492649073143996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3.1068722123587236</v>
      </c>
      <c r="Y700" s="19">
        <f ca="1">IF('Stock Price'!$I$11="OK",L700/INDEX(L$5:L$1258,'Stock Price'!$I$9)-1,"")</f>
        <v>-0.31597633136094672</v>
      </c>
      <c r="Z700" s="19">
        <f ca="1">IF('Stock Price'!$I$11="OK",M700/INDEX(M$5:M$1258,'Stock Price'!$I$9)-1,"")</f>
        <v>-6.078455946860517E-2</v>
      </c>
    </row>
    <row r="701" spans="1:26" x14ac:dyDescent="0.2">
      <c r="A701" s="16">
        <f>'Stock Price'!A701</f>
        <v>45488</v>
      </c>
      <c r="B701" s="17">
        <f>'Stock Price'!E701</f>
        <v>168.03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950.46</v>
      </c>
      <c r="L701" s="18">
        <v>40.15</v>
      </c>
      <c r="M701" s="18">
        <v>149.24</v>
      </c>
      <c r="O701" s="19">
        <f ca="1">IF('Stock Price'!$I$11="OK",B701/INDEX(B$5:B$1258,'Stock Price'!$I$9)-1,"")</f>
        <v>0.53438042187928048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3.115792664443771</v>
      </c>
      <c r="Y701" s="19">
        <f ca="1">IF('Stock Price'!$I$11="OK",L701/INDEX(L$5:L$1258,'Stock Price'!$I$9)-1,"")</f>
        <v>-0.32121724429416743</v>
      </c>
      <c r="Z701" s="19">
        <f ca="1">IF('Stock Price'!$I$11="OK",M701/INDEX(M$5:M$1258,'Stock Price'!$I$9)-1,"")</f>
        <v>-6.479508710364712E-2</v>
      </c>
    </row>
    <row r="702" spans="1:26" x14ac:dyDescent="0.2">
      <c r="A702" s="16">
        <f>'Stock Price'!A702</f>
        <v>45489</v>
      </c>
      <c r="B702" s="17">
        <f>'Stock Price'!E702</f>
        <v>169.2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941.6</v>
      </c>
      <c r="L702" s="18">
        <v>41.2</v>
      </c>
      <c r="M702" s="18">
        <v>151.01</v>
      </c>
      <c r="O702" s="19">
        <f ca="1">IF('Stock Price'!$I$11="OK",B702/INDEX(B$5:B$1258,'Stock Price'!$I$9)-1,"")</f>
        <v>0.54506437768240334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3.0774260598449743</v>
      </c>
      <c r="Y702" s="19">
        <f ca="1">IF('Stock Price'!$I$11="OK",L702/INDEX(L$5:L$1258,'Stock Price'!$I$9)-1,"")</f>
        <v>-0.30346576500422651</v>
      </c>
      <c r="Z702" s="19">
        <f ca="1">IF('Stock Price'!$I$11="OK",M702/INDEX(M$5:M$1258,'Stock Price'!$I$9)-1,"")</f>
        <v>-5.3703471612984166E-2</v>
      </c>
    </row>
    <row r="703" spans="1:26" x14ac:dyDescent="0.2">
      <c r="A703" s="16">
        <f>'Stock Price'!A703</f>
        <v>45490</v>
      </c>
      <c r="B703" s="17">
        <f>'Stock Price'!E703</f>
        <v>175.27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905.59</v>
      </c>
      <c r="L703" s="18">
        <v>43.15</v>
      </c>
      <c r="M703" s="18">
        <v>156.58000000000001</v>
      </c>
      <c r="O703" s="19">
        <f ca="1">IF('Stock Price'!$I$11="OK",B703/INDEX(B$5:B$1258,'Stock Price'!$I$9)-1,"")</f>
        <v>0.60049310565245184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2.9214913610184903</v>
      </c>
      <c r="Y703" s="19">
        <f ca="1">IF('Stock Price'!$I$11="OK",L703/INDEX(L$5:L$1258,'Stock Price'!$I$9)-1,"")</f>
        <v>-0.27049873203719355</v>
      </c>
      <c r="Z703" s="19">
        <f ca="1">IF('Stock Price'!$I$11="OK",M703/INDEX(M$5:M$1258,'Stock Price'!$I$9)-1,"")</f>
        <v>-1.8799348289259332E-2</v>
      </c>
    </row>
    <row r="704" spans="1:26" x14ac:dyDescent="0.2">
      <c r="A704" s="16">
        <f>'Stock Price'!A704</f>
        <v>45491</v>
      </c>
      <c r="B704" s="17">
        <f>'Stock Price'!E704</f>
        <v>171.14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848.9</v>
      </c>
      <c r="L704" s="18">
        <v>42.39</v>
      </c>
      <c r="M704" s="18">
        <v>155.41999999999999</v>
      </c>
      <c r="O704" s="19">
        <f ca="1">IF('Stock Price'!$I$11="OK",B704/INDEX(B$5:B$1258,'Stock Price'!$I$9)-1,"")</f>
        <v>0.56277965482604309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2.6760057160178405</v>
      </c>
      <c r="Y704" s="19">
        <f ca="1">IF('Stock Price'!$I$11="OK",L704/INDEX(L$5:L$1258,'Stock Price'!$I$9)-1,"")</f>
        <v>-0.28334742180896022</v>
      </c>
      <c r="Z704" s="19">
        <f ca="1">IF('Stock Price'!$I$11="OK",M704/INDEX(M$5:M$1258,'Stock Price'!$I$9)-1,"")</f>
        <v>-2.6068429627773004E-2</v>
      </c>
    </row>
    <row r="705" spans="1:26" x14ac:dyDescent="0.2">
      <c r="A705" s="16">
        <f>'Stock Price'!A705</f>
        <v>45492</v>
      </c>
      <c r="B705" s="17">
        <f>'Stock Price'!E705</f>
        <v>172.32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857.47</v>
      </c>
      <c r="L705" s="18">
        <v>42.64</v>
      </c>
      <c r="M705" s="18">
        <v>154.69</v>
      </c>
      <c r="O705" s="19">
        <f ca="1">IF('Stock Price'!$I$11="OK",B705/INDEX(B$5:B$1258,'Stock Price'!$I$9)-1,"")</f>
        <v>0.57355492649073136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2.7131165288182566</v>
      </c>
      <c r="Y705" s="19">
        <f ca="1">IF('Stock Price'!$I$11="OK",L705/INDEX(L$5:L$1258,'Stock Price'!$I$9)-1,"")</f>
        <v>-0.27912087912087913</v>
      </c>
      <c r="Z705" s="19">
        <f ca="1">IF('Stock Price'!$I$11="OK",M705/INDEX(M$5:M$1258,'Stock Price'!$I$9)-1,"")</f>
        <v>-3.0642937711492735E-2</v>
      </c>
    </row>
    <row r="706" spans="1:26" x14ac:dyDescent="0.2">
      <c r="A706" s="16">
        <f>'Stock Price'!A706</f>
        <v>45495</v>
      </c>
      <c r="B706" s="17">
        <f>'Stock Price'!E706</f>
        <v>173.61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865.97</v>
      </c>
      <c r="L706" s="18">
        <v>42.67</v>
      </c>
      <c r="M706" s="18">
        <v>154.24</v>
      </c>
      <c r="O706" s="19">
        <f ca="1">IF('Stock Price'!$I$11="OK",B706/INDEX(B$5:B$1258,'Stock Price'!$I$9)-1,"")</f>
        <v>0.58533467263263628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2.7499242194604427</v>
      </c>
      <c r="Y706" s="19">
        <f ca="1">IF('Stock Price'!$I$11="OK",L706/INDEX(L$5:L$1258,'Stock Price'!$I$9)-1,"")</f>
        <v>-0.27861369399830938</v>
      </c>
      <c r="Z706" s="19">
        <f ca="1">IF('Stock Price'!$I$11="OK",M706/INDEX(M$5:M$1258,'Stock Price'!$I$9)-1,"")</f>
        <v>-3.3462839954881529E-2</v>
      </c>
    </row>
    <row r="707" spans="1:26" x14ac:dyDescent="0.2">
      <c r="A707" s="16">
        <f>'Stock Price'!A707</f>
        <v>45496</v>
      </c>
      <c r="B707" s="17">
        <f>'Stock Price'!E707</f>
        <v>173.15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878.29</v>
      </c>
      <c r="L707" s="18">
        <v>42.98</v>
      </c>
      <c r="M707" s="18">
        <v>152.35</v>
      </c>
      <c r="O707" s="19">
        <f ca="1">IF('Stock Price'!$I$11="OK",B707/INDEX(B$5:B$1258,'Stock Price'!$I$9)-1,"")</f>
        <v>0.58113414300063915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2.8032737193088813</v>
      </c>
      <c r="Y707" s="19">
        <f ca="1">IF('Stock Price'!$I$11="OK",L707/INDEX(L$5:L$1258,'Stock Price'!$I$9)-1,"")</f>
        <v>-0.27337278106508878</v>
      </c>
      <c r="Z707" s="19">
        <f ca="1">IF('Stock Price'!$I$11="OK",M707/INDEX(M$5:M$1258,'Stock Price'!$I$9)-1,"")</f>
        <v>-4.5306429377115043E-2</v>
      </c>
    </row>
    <row r="708" spans="1:26" x14ac:dyDescent="0.2">
      <c r="A708" s="16">
        <f>'Stock Price'!A708</f>
        <v>45497</v>
      </c>
      <c r="B708" s="17">
        <f>'Stock Price'!E708</f>
        <v>176.21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859.88</v>
      </c>
      <c r="L708" s="18">
        <v>44.66</v>
      </c>
      <c r="M708" s="18">
        <v>156.28</v>
      </c>
      <c r="O708" s="19">
        <f ca="1">IF('Stock Price'!$I$11="OK",B708/INDEX(B$5:B$1258,'Stock Price'!$I$9)-1,"")</f>
        <v>0.60907679663957626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2.7235525916944527</v>
      </c>
      <c r="Y708" s="19">
        <f ca="1">IF('Stock Price'!$I$11="OK",L708/INDEX(L$5:L$1258,'Stock Price'!$I$9)-1,"")</f>
        <v>-0.24497041420118348</v>
      </c>
      <c r="Z708" s="19">
        <f ca="1">IF('Stock Price'!$I$11="OK",M708/INDEX(M$5:M$1258,'Stock Price'!$I$9)-1,"")</f>
        <v>-2.0679283118185343E-2</v>
      </c>
    </row>
    <row r="709" spans="1:26" x14ac:dyDescent="0.2">
      <c r="A709" s="16">
        <f>'Stock Price'!A709</f>
        <v>45498</v>
      </c>
      <c r="B709" s="17">
        <f>'Stock Price'!E709</f>
        <v>182.17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821.19</v>
      </c>
      <c r="L709" s="18">
        <v>45.27</v>
      </c>
      <c r="M709" s="18">
        <v>159.63999999999999</v>
      </c>
      <c r="O709" s="19">
        <f ca="1">IF('Stock Price'!$I$11="OK",B709/INDEX(B$5:B$1258,'Stock Price'!$I$9)-1,"")</f>
        <v>0.6635010501324079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2.5560126445243148</v>
      </c>
      <c r="Y709" s="19">
        <f ca="1">IF('Stock Price'!$I$11="OK",L709/INDEX(L$5:L$1258,'Stock Price'!$I$9)-1,"")</f>
        <v>-0.23465765004226535</v>
      </c>
      <c r="Z709" s="19">
        <f ca="1">IF('Stock Price'!$I$11="OK",M709/INDEX(M$5:M$1258,'Stock Price'!$I$9)-1,"")</f>
        <v>3.7598696578511337E-4</v>
      </c>
    </row>
    <row r="710" spans="1:26" x14ac:dyDescent="0.2">
      <c r="A710" s="16">
        <f>'Stock Price'!A710</f>
        <v>45499</v>
      </c>
      <c r="B710" s="17">
        <f>'Stock Price'!E710</f>
        <v>185.16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804.62</v>
      </c>
      <c r="L710" s="18">
        <v>50.45</v>
      </c>
      <c r="M710" s="18">
        <v>160.63999999999999</v>
      </c>
      <c r="O710" s="19">
        <f ca="1">IF('Stock Price'!$I$11="OK",B710/INDEX(B$5:B$1258,'Stock Price'!$I$9)-1,"")</f>
        <v>0.69080449274038891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2.484259299354783</v>
      </c>
      <c r="Y710" s="19">
        <f ca="1">IF('Stock Price'!$I$11="OK",L710/INDEX(L$5:L$1258,'Stock Price'!$I$9)-1,"")</f>
        <v>-0.14708368554522389</v>
      </c>
      <c r="Z710" s="19">
        <f ca="1">IF('Stock Price'!$I$11="OK",M710/INDEX(M$5:M$1258,'Stock Price'!$I$9)-1,"")</f>
        <v>6.6424363955381871E-3</v>
      </c>
    </row>
    <row r="711" spans="1:26" x14ac:dyDescent="0.2">
      <c r="A711" s="16">
        <f>'Stock Price'!A711</f>
        <v>45502</v>
      </c>
      <c r="B711" s="17">
        <f>'Stock Price'!E711</f>
        <v>181.94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807.79</v>
      </c>
      <c r="L711" s="18">
        <v>48.98</v>
      </c>
      <c r="M711" s="18">
        <v>158.56</v>
      </c>
      <c r="O711" s="19">
        <f ca="1">IF('Stock Price'!$I$11="OK",B711/INDEX(B$5:B$1258,'Stock Price'!$I$9)-1,"")</f>
        <v>0.66140078531640945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2.497986402806045</v>
      </c>
      <c r="Y711" s="19">
        <f ca="1">IF('Stock Price'!$I$11="OK",L711/INDEX(L$5:L$1258,'Stock Price'!$I$9)-1,"")</f>
        <v>-0.17193575655114124</v>
      </c>
      <c r="Z711" s="19">
        <f ca="1">IF('Stock Price'!$I$11="OK",M711/INDEX(M$5:M$1258,'Stock Price'!$I$9)-1,"")</f>
        <v>-6.3917784183482595E-3</v>
      </c>
    </row>
    <row r="712" spans="1:26" x14ac:dyDescent="0.2">
      <c r="A712" s="16">
        <f>'Stock Price'!A712</f>
        <v>45503</v>
      </c>
      <c r="B712" s="17">
        <f>'Stock Price'!E712</f>
        <v>186.78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790.21</v>
      </c>
      <c r="L712" s="18">
        <v>49.05</v>
      </c>
      <c r="M712" s="18">
        <v>161.33000000000001</v>
      </c>
      <c r="O712" s="19">
        <f ca="1">IF('Stock Price'!$I$11="OK",B712/INDEX(B$5:B$1258,'Stock Price'!$I$9)-1,"")</f>
        <v>0.70559766231394394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2.4218594379249123</v>
      </c>
      <c r="Y712" s="19">
        <f ca="1">IF('Stock Price'!$I$11="OK",L712/INDEX(L$5:L$1258,'Stock Price'!$I$9)-1,"")</f>
        <v>-0.17075232459847844</v>
      </c>
      <c r="Z712" s="19">
        <f ca="1">IF('Stock Price'!$I$11="OK",M712/INDEX(M$5:M$1258,'Stock Price'!$I$9)-1,"")</f>
        <v>1.0966286502067879E-2</v>
      </c>
    </row>
    <row r="713" spans="1:26" x14ac:dyDescent="0.2">
      <c r="A713" s="16">
        <f>'Stock Price'!A713</f>
        <v>45504</v>
      </c>
      <c r="B713" s="17">
        <f>'Stock Price'!E713</f>
        <v>185.32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804.27</v>
      </c>
      <c r="L713" s="18">
        <v>47.56</v>
      </c>
      <c r="M713" s="18">
        <v>157.85</v>
      </c>
      <c r="O713" s="19">
        <f ca="1">IF('Stock Price'!$I$11="OK",B713/INDEX(B$5:B$1258,'Stock Price'!$I$9)-1,"")</f>
        <v>0.69226554652543126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2.4827436885636338</v>
      </c>
      <c r="Y713" s="19">
        <f ca="1">IF('Stock Price'!$I$11="OK",L713/INDEX(L$5:L$1258,'Stock Price'!$I$9)-1,"")</f>
        <v>-0.19594251901944204</v>
      </c>
      <c r="Z713" s="19">
        <f ca="1">IF('Stock Price'!$I$11="OK",M713/INDEX(M$5:M$1258,'Stock Price'!$I$9)-1,"")</f>
        <v>-1.0840957513473026E-2</v>
      </c>
    </row>
    <row r="714" spans="1:26" x14ac:dyDescent="0.2">
      <c r="A714" s="16">
        <f>'Stock Price'!A714</f>
        <v>45505</v>
      </c>
      <c r="B714" s="17">
        <f>'Stock Price'!E714</f>
        <v>189.71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832.44</v>
      </c>
      <c r="L714" s="18">
        <v>48.17</v>
      </c>
      <c r="M714" s="18">
        <v>160.76</v>
      </c>
      <c r="O714" s="19">
        <f ca="1">IF('Stock Price'!$I$11="OK",B714/INDEX(B$5:B$1258,'Stock Price'!$I$9)-1,"")</f>
        <v>0.73235320975253404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2.6047287056683843</v>
      </c>
      <c r="Y714" s="19">
        <f ca="1">IF('Stock Price'!$I$11="OK",L714/INDEX(L$5:L$1258,'Stock Price'!$I$9)-1,"")</f>
        <v>-0.18562975486052402</v>
      </c>
      <c r="Z714" s="19">
        <f ca="1">IF('Stock Price'!$I$11="OK",M714/INDEX(M$5:M$1258,'Stock Price'!$I$9)-1,"")</f>
        <v>7.3944103271084138E-3</v>
      </c>
    </row>
    <row r="715" spans="1:26" x14ac:dyDescent="0.2">
      <c r="A715" s="16">
        <f>'Stock Price'!A715</f>
        <v>45506</v>
      </c>
      <c r="B715" s="17">
        <f>'Stock Price'!E715</f>
        <v>189.29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804.46</v>
      </c>
      <c r="L715" s="18">
        <v>48.77</v>
      </c>
      <c r="M715" s="18">
        <v>164.14</v>
      </c>
      <c r="O715" s="19">
        <f ca="1">IF('Stock Price'!$I$11="OK",B715/INDEX(B$5:B$1258,'Stock Price'!$I$9)-1,"")</f>
        <v>0.72851794356679744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2.4835664487074007</v>
      </c>
      <c r="Y715" s="19">
        <f ca="1">IF('Stock Price'!$I$11="OK",L715/INDEX(L$5:L$1258,'Stock Price'!$I$9)-1,"")</f>
        <v>-0.17548605240912929</v>
      </c>
      <c r="Z715" s="19">
        <f ca="1">IF('Stock Price'!$I$11="OK",M715/INDEX(M$5:M$1258,'Stock Price'!$I$9)-1,"")</f>
        <v>2.8575009399673945E-2</v>
      </c>
    </row>
    <row r="716" spans="1:26" x14ac:dyDescent="0.2">
      <c r="A716" s="16">
        <f>'Stock Price'!A716</f>
        <v>45509</v>
      </c>
      <c r="B716" s="17">
        <f>'Stock Price'!E716</f>
        <v>184.36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775.26</v>
      </c>
      <c r="L716" s="18">
        <v>47.59</v>
      </c>
      <c r="M716" s="18">
        <v>161.25</v>
      </c>
      <c r="O716" s="19">
        <f ca="1">IF('Stock Price'!$I$11="OK",B716/INDEX(B$5:B$1258,'Stock Price'!$I$9)-1,"")</f>
        <v>0.68349922381517669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2.3571212055601265</v>
      </c>
      <c r="Y716" s="19">
        <f ca="1">IF('Stock Price'!$I$11="OK",L716/INDEX(L$5:L$1258,'Stock Price'!$I$9)-1,"")</f>
        <v>-0.19543533389687229</v>
      </c>
      <c r="Z716" s="19">
        <f ca="1">IF('Stock Price'!$I$11="OK",M716/INDEX(M$5:M$1258,'Stock Price'!$I$9)-1,"")</f>
        <v>1.046497054768758E-2</v>
      </c>
    </row>
    <row r="717" spans="1:26" x14ac:dyDescent="0.2">
      <c r="A717" s="16">
        <f>'Stock Price'!A717</f>
        <v>45510</v>
      </c>
      <c r="B717" s="17">
        <f>'Stock Price'!E717</f>
        <v>185.71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793.18</v>
      </c>
      <c r="L717" s="18">
        <v>47.31</v>
      </c>
      <c r="M717" s="18">
        <v>158.97</v>
      </c>
      <c r="O717" s="19">
        <f ca="1">IF('Stock Price'!$I$11="OK",B717/INDEX(B$5:B$1258,'Stock Price'!$I$9)-1,"")</f>
        <v>0.69582686512647252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2.4347204780669465</v>
      </c>
      <c r="Y717" s="19">
        <f ca="1">IF('Stock Price'!$I$11="OK",L717/INDEX(L$5:L$1258,'Stock Price'!$I$9)-1,"")</f>
        <v>-0.20016906170752324</v>
      </c>
      <c r="Z717" s="19">
        <f ca="1">IF('Stock Price'!$I$11="OK",M717/INDEX(M$5:M$1258,'Stock Price'!$I$9)-1,"")</f>
        <v>-3.8225341521495038E-3</v>
      </c>
    </row>
    <row r="718" spans="1:26" x14ac:dyDescent="0.2">
      <c r="A718" s="16">
        <f>'Stock Price'!A718</f>
        <v>45511</v>
      </c>
      <c r="B718" s="17">
        <f>'Stock Price'!E718</f>
        <v>187.51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772.14</v>
      </c>
      <c r="L718" s="18">
        <v>46.5</v>
      </c>
      <c r="M718" s="18">
        <v>158.9</v>
      </c>
      <c r="O718" s="19">
        <f ca="1">IF('Stock Price'!$I$11="OK",B718/INDEX(B$5:B$1258,'Stock Price'!$I$9)-1,"")</f>
        <v>0.71226372020820006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2.3436106179361711</v>
      </c>
      <c r="Y718" s="19">
        <f ca="1">IF('Stock Price'!$I$11="OK",L718/INDEX(L$5:L$1258,'Stock Price'!$I$9)-1,"")</f>
        <v>-0.21386306001690614</v>
      </c>
      <c r="Z718" s="19">
        <f ca="1">IF('Stock Price'!$I$11="OK",M718/INDEX(M$5:M$1258,'Stock Price'!$I$9)-1,"")</f>
        <v>-4.261185612232099E-3</v>
      </c>
    </row>
    <row r="719" spans="1:26" x14ac:dyDescent="0.2">
      <c r="A719" s="16">
        <f>'Stock Price'!A719</f>
        <v>45512</v>
      </c>
      <c r="B719" s="17">
        <f>'Stock Price'!E719</f>
        <v>190.4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845.31</v>
      </c>
      <c r="L719" s="18">
        <v>46.85</v>
      </c>
      <c r="M719" s="18">
        <v>160.22</v>
      </c>
      <c r="O719" s="19">
        <f ca="1">IF('Stock Price'!$I$11="OK",B719/INDEX(B$5:B$1258,'Stock Price'!$I$9)-1,"")</f>
        <v>0.73865400420052962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2.6604598796171999</v>
      </c>
      <c r="Y719" s="19">
        <f ca="1">IF('Stock Price'!$I$11="OK",L719/INDEX(L$5:L$1258,'Stock Price'!$I$9)-1,"")</f>
        <v>-0.2079459002535925</v>
      </c>
      <c r="Z719" s="19">
        <f ca="1">IF('Stock Price'!$I$11="OK",M719/INDEX(M$5:M$1258,'Stock Price'!$I$9)-1,"")</f>
        <v>4.0105276350419494E-3</v>
      </c>
    </row>
    <row r="720" spans="1:26" x14ac:dyDescent="0.2">
      <c r="A720" s="16">
        <f>'Stock Price'!A720</f>
        <v>45513</v>
      </c>
      <c r="B720" s="17">
        <f>'Stock Price'!E720</f>
        <v>189.93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891.68</v>
      </c>
      <c r="L720" s="18">
        <v>46.72</v>
      </c>
      <c r="M720" s="18">
        <v>160.62</v>
      </c>
      <c r="O720" s="19">
        <f ca="1">IF('Stock Price'!$I$11="OK",B720/INDEX(B$5:B$1258,'Stock Price'!$I$9)-1,"")</f>
        <v>0.73436215870696731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2.8612566578616891</v>
      </c>
      <c r="Y720" s="19">
        <f ca="1">IF('Stock Price'!$I$11="OK",L720/INDEX(L$5:L$1258,'Stock Price'!$I$9)-1,"")</f>
        <v>-0.2101437024513948</v>
      </c>
      <c r="Z720" s="19">
        <f ca="1">IF('Stock Price'!$I$11="OK",M720/INDEX(M$5:M$1258,'Stock Price'!$I$9)-1,"")</f>
        <v>6.5171074069432233E-3</v>
      </c>
    </row>
    <row r="721" spans="1:26" x14ac:dyDescent="0.2">
      <c r="A721" s="16">
        <f>'Stock Price'!A721</f>
        <v>45516</v>
      </c>
      <c r="B721" s="17">
        <f>'Stock Price'!E721</f>
        <v>190.18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884.38</v>
      </c>
      <c r="L721" s="18">
        <v>47.06</v>
      </c>
      <c r="M721" s="18">
        <v>159.88</v>
      </c>
      <c r="O721" s="19">
        <f ca="1">IF('Stock Price'!$I$11="OK",B721/INDEX(B$5:B$1258,'Stock Price'!$I$9)-1,"")</f>
        <v>0.73664505524609614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2.8296453470748713</v>
      </c>
      <c r="Y721" s="19">
        <f ca="1">IF('Stock Price'!$I$11="OK",L721/INDEX(L$5:L$1258,'Stock Price'!$I$9)-1,"")</f>
        <v>-0.20439560439560434</v>
      </c>
      <c r="Z721" s="19">
        <f ca="1">IF('Stock Price'!$I$11="OK",M721/INDEX(M$5:M$1258,'Stock Price'!$I$9)-1,"")</f>
        <v>1.8799348289257889E-3</v>
      </c>
    </row>
    <row r="722" spans="1:26" x14ac:dyDescent="0.2">
      <c r="A722" s="16">
        <f>'Stock Price'!A722</f>
        <v>45517</v>
      </c>
      <c r="B722" s="17">
        <f>'Stock Price'!E722</f>
        <v>191.23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908.05</v>
      </c>
      <c r="L722" s="18">
        <v>49.06</v>
      </c>
      <c r="M722" s="18">
        <v>158.38999999999999</v>
      </c>
      <c r="O722" s="19">
        <f ca="1">IF('Stock Price'!$I$11="OK",B722/INDEX(B$5:B$1258,'Stock Price'!$I$9)-1,"")</f>
        <v>0.74623322071043718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2.9321439397219935</v>
      </c>
      <c r="Y722" s="19">
        <f ca="1">IF('Stock Price'!$I$11="OK",L722/INDEX(L$5:L$1258,'Stock Price'!$I$9)-1,"")</f>
        <v>-0.17058326289095516</v>
      </c>
      <c r="Z722" s="19">
        <f ca="1">IF('Stock Price'!$I$11="OK",M722/INDEX(M$5:M$1258,'Stock Price'!$I$9)-1,"")</f>
        <v>-7.4570748214063398E-3</v>
      </c>
    </row>
    <row r="723" spans="1:26" x14ac:dyDescent="0.2">
      <c r="A723" s="16">
        <f>'Stock Price'!A723</f>
        <v>45518</v>
      </c>
      <c r="B723" s="17">
        <f>'Stock Price'!E723</f>
        <v>193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931.68</v>
      </c>
      <c r="L723" s="18">
        <v>48.41</v>
      </c>
      <c r="M723" s="18">
        <v>158.47999999999999</v>
      </c>
      <c r="O723" s="19">
        <f ca="1">IF('Stock Price'!$I$11="OK",B723/INDEX(B$5:B$1258,'Stock Price'!$I$9)-1,"")</f>
        <v>0.7623961282074696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3.0344693197072701</v>
      </c>
      <c r="Y723" s="19">
        <f ca="1">IF('Stock Price'!$I$11="OK",L723/INDEX(L$5:L$1258,'Stock Price'!$I$9)-1,"")</f>
        <v>-0.18157227387996622</v>
      </c>
      <c r="Z723" s="19">
        <f ca="1">IF('Stock Price'!$I$11="OK",M723/INDEX(M$5:M$1258,'Stock Price'!$I$9)-1,"")</f>
        <v>-6.8930943727285587E-3</v>
      </c>
    </row>
    <row r="724" spans="1:26" x14ac:dyDescent="0.2">
      <c r="A724" s="16">
        <f>'Stock Price'!A724</f>
        <v>45519</v>
      </c>
      <c r="B724" s="17">
        <f>'Stock Price'!E724</f>
        <v>193.4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931.58</v>
      </c>
      <c r="L724" s="18">
        <v>49.11</v>
      </c>
      <c r="M724" s="18">
        <v>159.09</v>
      </c>
      <c r="O724" s="19">
        <f ca="1">IF('Stock Price'!$I$11="OK",B724/INDEX(B$5:B$1258,'Stock Price'!$I$9)-1,"")</f>
        <v>0.76604876267007582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3.0340362880526568</v>
      </c>
      <c r="Y724" s="19">
        <f ca="1">IF('Stock Price'!$I$11="OK",L724/INDEX(L$5:L$1258,'Stock Price'!$I$9)-1,"")</f>
        <v>-0.16973795435333894</v>
      </c>
      <c r="Z724" s="19">
        <f ca="1">IF('Stock Price'!$I$11="OK",M724/INDEX(M$5:M$1258,'Stock Price'!$I$9)-1,"")</f>
        <v>-3.070560220579055E-3</v>
      </c>
    </row>
    <row r="725" spans="1:26" x14ac:dyDescent="0.2">
      <c r="A725" s="16">
        <f>'Stock Price'!A725</f>
        <v>45520</v>
      </c>
      <c r="B725" s="17">
        <f>'Stock Price'!E725</f>
        <v>193.9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922.12</v>
      </c>
      <c r="L725" s="18">
        <v>49.36</v>
      </c>
      <c r="M725" s="18">
        <v>159.38999999999999</v>
      </c>
      <c r="O725" s="19">
        <f ca="1">IF('Stock Price'!$I$11="OK",B725/INDEX(B$5:B$1258,'Stock Price'!$I$9)-1,"")</f>
        <v>0.77061455574833349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2.9930714935261769</v>
      </c>
      <c r="Y725" s="19">
        <f ca="1">IF('Stock Price'!$I$11="OK",L725/INDEX(L$5:L$1258,'Stock Price'!$I$9)-1,"")</f>
        <v>-0.16551141166525785</v>
      </c>
      <c r="Z725" s="19">
        <f ca="1">IF('Stock Price'!$I$11="OK",M725/INDEX(M$5:M$1258,'Stock Price'!$I$9)-1,"")</f>
        <v>-1.1906253916532661E-3</v>
      </c>
    </row>
    <row r="726" spans="1:26" x14ac:dyDescent="0.2">
      <c r="A726" s="16">
        <f>'Stock Price'!A726</f>
        <v>45523</v>
      </c>
      <c r="B726" s="17">
        <f>'Stock Price'!E726</f>
        <v>196.87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921.81</v>
      </c>
      <c r="L726" s="18">
        <v>49.3</v>
      </c>
      <c r="M726" s="18">
        <v>159.63</v>
      </c>
      <c r="O726" s="19">
        <f ca="1">IF('Stock Price'!$I$11="OK",B726/INDEX(B$5:B$1258,'Stock Price'!$I$9)-1,"")</f>
        <v>0.79773536663318412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2.9917290953968734</v>
      </c>
      <c r="Y726" s="19">
        <f ca="1">IF('Stock Price'!$I$11="OK",L726/INDEX(L$5:L$1258,'Stock Price'!$I$9)-1,"")</f>
        <v>-0.16652578191039735</v>
      </c>
      <c r="Z726" s="19">
        <f ca="1">IF('Stock Price'!$I$11="OK",M726/INDEX(M$5:M$1258,'Stock Price'!$I$9)-1,"")</f>
        <v>3.1332247148752046E-4</v>
      </c>
    </row>
    <row r="727" spans="1:26" x14ac:dyDescent="0.2">
      <c r="A727" s="16">
        <f>'Stock Price'!A727</f>
        <v>45524</v>
      </c>
      <c r="B727" s="17">
        <f>'Stock Price'!E727</f>
        <v>196.15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949.97</v>
      </c>
      <c r="L727" s="18">
        <v>48.98</v>
      </c>
      <c r="M727" s="18">
        <v>160.16</v>
      </c>
      <c r="O727" s="19">
        <f ca="1">IF('Stock Price'!$I$11="OK",B727/INDEX(B$5:B$1258,'Stock Price'!$I$9)-1,"")</f>
        <v>0.79116062460049297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3.1136708093361625</v>
      </c>
      <c r="Y727" s="19">
        <f ca="1">IF('Stock Price'!$I$11="OK",L727/INDEX(L$5:L$1258,'Stock Price'!$I$9)-1,"")</f>
        <v>-0.17193575655114124</v>
      </c>
      <c r="Z727" s="19">
        <f ca="1">IF('Stock Price'!$I$11="OK",M727/INDEX(M$5:M$1258,'Stock Price'!$I$9)-1,"")</f>
        <v>3.634540669256614E-3</v>
      </c>
    </row>
    <row r="728" spans="1:26" x14ac:dyDescent="0.2">
      <c r="A728" s="16">
        <f>'Stock Price'!A728</f>
        <v>45525</v>
      </c>
      <c r="B728" s="17">
        <f>'Stock Price'!E728</f>
        <v>196.53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951.97</v>
      </c>
      <c r="L728" s="18">
        <v>48.44</v>
      </c>
      <c r="M728" s="18">
        <v>161.43</v>
      </c>
      <c r="O728" s="19">
        <f ca="1">IF('Stock Price'!$I$11="OK",B728/INDEX(B$5:B$1258,'Stock Price'!$I$9)-1,"")</f>
        <v>0.79463062733996881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3.1223314424284414</v>
      </c>
      <c r="Y728" s="19">
        <f ca="1">IF('Stock Price'!$I$11="OK",L728/INDEX(L$5:L$1258,'Stock Price'!$I$9)-1,"")</f>
        <v>-0.18106508875739646</v>
      </c>
      <c r="Z728" s="19">
        <f ca="1">IF('Stock Price'!$I$11="OK",M728/INDEX(M$5:M$1258,'Stock Price'!$I$9)-1,"")</f>
        <v>1.1592931445043142E-2</v>
      </c>
    </row>
    <row r="729" spans="1:26" x14ac:dyDescent="0.2">
      <c r="A729" s="16">
        <f>'Stock Price'!A729</f>
        <v>45526</v>
      </c>
      <c r="B729" s="17">
        <f>'Stock Price'!E729</f>
        <v>196.37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954.17</v>
      </c>
      <c r="L729" s="18">
        <v>47.62</v>
      </c>
      <c r="M729" s="18">
        <v>162.35</v>
      </c>
      <c r="O729" s="19">
        <f ca="1">IF('Stock Price'!$I$11="OK",B729/INDEX(B$5:B$1258,'Stock Price'!$I$9)-1,"")</f>
        <v>0.79316957355492645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3.1318581388299478</v>
      </c>
      <c r="Y729" s="19">
        <f ca="1">IF('Stock Price'!$I$11="OK",L729/INDEX(L$5:L$1258,'Stock Price'!$I$9)-1,"")</f>
        <v>-0.19492814877430265</v>
      </c>
      <c r="Z729" s="19">
        <f ca="1">IF('Stock Price'!$I$11="OK",M729/INDEX(M$5:M$1258,'Stock Price'!$I$9)-1,"")</f>
        <v>1.7358064920415917E-2</v>
      </c>
    </row>
    <row r="730" spans="1:26" x14ac:dyDescent="0.2">
      <c r="A730" s="16">
        <f>'Stock Price'!A730</f>
        <v>45527</v>
      </c>
      <c r="B730" s="17">
        <f>'Stock Price'!E730</f>
        <v>197.55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952.74</v>
      </c>
      <c r="L730" s="18">
        <v>48.11</v>
      </c>
      <c r="M730" s="18">
        <v>164.13</v>
      </c>
      <c r="O730" s="19">
        <f ca="1">IF('Stock Price'!$I$11="OK",B730/INDEX(B$5:B$1258,'Stock Price'!$I$9)-1,"")</f>
        <v>0.80394484521961473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3.1256657861689687</v>
      </c>
      <c r="Y730" s="19">
        <f ca="1">IF('Stock Price'!$I$11="OK",L730/INDEX(L$5:L$1258,'Stock Price'!$I$9)-1,"")</f>
        <v>-0.18664412510566353</v>
      </c>
      <c r="Z730" s="19">
        <f ca="1">IF('Stock Price'!$I$11="OK",M730/INDEX(M$5:M$1258,'Stock Price'!$I$9)-1,"")</f>
        <v>2.8512344905376574E-2</v>
      </c>
    </row>
    <row r="731" spans="1:26" x14ac:dyDescent="0.2">
      <c r="A731" s="16">
        <f>'Stock Price'!A731</f>
        <v>45530</v>
      </c>
      <c r="B731" s="17">
        <f>'Stock Price'!E731</f>
        <v>197.44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950.53</v>
      </c>
      <c r="L731" s="18">
        <v>48.24</v>
      </c>
      <c r="M731" s="18">
        <v>164.61</v>
      </c>
      <c r="O731" s="19">
        <f ca="1">IF('Stock Price'!$I$11="OK",B731/INDEX(B$5:B$1258,'Stock Price'!$I$9)-1,"")</f>
        <v>0.80294037074239788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3.116095786602</v>
      </c>
      <c r="Y731" s="19">
        <f ca="1">IF('Stock Price'!$I$11="OK",L731/INDEX(L$5:L$1258,'Stock Price'!$I$9)-1,"")</f>
        <v>-0.18444632290786134</v>
      </c>
      <c r="Z731" s="19">
        <f ca="1">IF('Stock Price'!$I$11="OK",M731/INDEX(M$5:M$1258,'Stock Price'!$I$9)-1,"")</f>
        <v>3.1520240631658147E-2</v>
      </c>
    </row>
    <row r="732" spans="1:26" x14ac:dyDescent="0.2">
      <c r="A732" s="16">
        <f>'Stock Price'!A732</f>
        <v>45531</v>
      </c>
      <c r="B732" s="17">
        <f>'Stock Price'!E732</f>
        <v>195.92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954.48</v>
      </c>
      <c r="L732" s="18">
        <v>48.12</v>
      </c>
      <c r="M732" s="18">
        <v>162.94999999999999</v>
      </c>
      <c r="O732" s="19">
        <f ca="1">IF('Stock Price'!$I$11="OK",B732/INDEX(B$5:B$1258,'Stock Price'!$I$9)-1,"")</f>
        <v>0.78906035978449429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3.1332005369592517</v>
      </c>
      <c r="Y732" s="19">
        <f ca="1">IF('Stock Price'!$I$11="OK",L732/INDEX(L$5:L$1258,'Stock Price'!$I$9)-1,"")</f>
        <v>-0.18647506339814035</v>
      </c>
      <c r="Z732" s="19">
        <f ca="1">IF('Stock Price'!$I$11="OK",M732/INDEX(M$5:M$1258,'Stock Price'!$I$9)-1,"")</f>
        <v>2.1117934578267716E-2</v>
      </c>
    </row>
    <row r="733" spans="1:26" x14ac:dyDescent="0.2">
      <c r="A733" s="16">
        <f>'Stock Price'!A733</f>
        <v>45532</v>
      </c>
      <c r="B733" s="17">
        <f>'Stock Price'!E733</f>
        <v>195.4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948.94</v>
      </c>
      <c r="L733" s="18">
        <v>49.06</v>
      </c>
      <c r="M733" s="18">
        <v>163.92</v>
      </c>
      <c r="O733" s="19">
        <f ca="1">IF('Stock Price'!$I$11="OK",B733/INDEX(B$5:B$1258,'Stock Price'!$I$9)-1,"")</f>
        <v>0.78431193498310647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3.1092105832936392</v>
      </c>
      <c r="Y733" s="19">
        <f ca="1">IF('Stock Price'!$I$11="OK",L733/INDEX(L$5:L$1258,'Stock Price'!$I$9)-1,"")</f>
        <v>-0.17058326289095516</v>
      </c>
      <c r="Z733" s="19">
        <f ca="1">IF('Stock Price'!$I$11="OK",M733/INDEX(M$5:M$1258,'Stock Price'!$I$9)-1,"")</f>
        <v>2.7196390525128233E-2</v>
      </c>
    </row>
    <row r="734" spans="1:26" x14ac:dyDescent="0.2">
      <c r="A734" s="16">
        <f>'Stock Price'!A734</f>
        <v>45533</v>
      </c>
      <c r="B734" s="17">
        <f>'Stock Price'!E734</f>
        <v>195.18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940.2</v>
      </c>
      <c r="L734" s="18">
        <v>49.72</v>
      </c>
      <c r="M734" s="18">
        <v>164.23</v>
      </c>
      <c r="O734" s="19">
        <f ca="1">IF('Stock Price'!$I$11="OK",B734/INDEX(B$5:B$1258,'Stock Price'!$I$9)-1,"")</f>
        <v>0.78230298602867321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3.0713636166803795</v>
      </c>
      <c r="Y734" s="19">
        <f ca="1">IF('Stock Price'!$I$11="OK",L734/INDEX(L$5:L$1258,'Stock Price'!$I$9)-1,"")</f>
        <v>-0.15942519019442092</v>
      </c>
      <c r="Z734" s="19">
        <f ca="1">IF('Stock Price'!$I$11="OK",M734/INDEX(M$5:M$1258,'Stock Price'!$I$9)-1,"")</f>
        <v>2.9138989848351837E-2</v>
      </c>
    </row>
    <row r="735" spans="1:26" x14ac:dyDescent="0.2">
      <c r="A735" s="16">
        <f>'Stock Price'!A735</f>
        <v>45534</v>
      </c>
      <c r="B735" s="17">
        <f>'Stock Price'!E735</f>
        <v>196.31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960.02</v>
      </c>
      <c r="L735" s="18">
        <v>49.95</v>
      </c>
      <c r="M735" s="18">
        <v>165.86</v>
      </c>
      <c r="O735" s="19">
        <f ca="1">IF('Stock Price'!$I$11="OK",B735/INDEX(B$5:B$1258,'Stock Price'!$I$9)-1,"")</f>
        <v>0.79262167838553554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3.1571904906248642</v>
      </c>
      <c r="Y735" s="19">
        <f ca="1">IF('Stock Price'!$I$11="OK",L735/INDEX(L$5:L$1258,'Stock Price'!$I$9)-1,"")</f>
        <v>-0.15553677092138629</v>
      </c>
      <c r="Z735" s="19">
        <f ca="1">IF('Stock Price'!$I$11="OK",M735/INDEX(M$5:M$1258,'Stock Price'!$I$9)-1,"")</f>
        <v>3.935330241884949E-2</v>
      </c>
    </row>
    <row r="736" spans="1:26" x14ac:dyDescent="0.2">
      <c r="A736" s="16">
        <f>'Stock Price'!A736</f>
        <v>45538</v>
      </c>
      <c r="B736" s="17">
        <f>'Stock Price'!E736</f>
        <v>197.69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956.53</v>
      </c>
      <c r="L736" s="18">
        <v>50.52</v>
      </c>
      <c r="M736" s="18">
        <v>167.16</v>
      </c>
      <c r="O736" s="19">
        <f ca="1">IF('Stock Price'!$I$11="OK",B736/INDEX(B$5:B$1258,'Stock Price'!$I$9)-1,"")</f>
        <v>0.80522326728152671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3.1420776858788377</v>
      </c>
      <c r="Y736" s="19">
        <f ca="1">IF('Stock Price'!$I$11="OK",L736/INDEX(L$5:L$1258,'Stock Price'!$I$9)-1,"")</f>
        <v>-0.1459002535925612</v>
      </c>
      <c r="Z736" s="19">
        <f ca="1">IF('Stock Price'!$I$11="OK",M736/INDEX(M$5:M$1258,'Stock Price'!$I$9)-1,"")</f>
        <v>4.7499686677528352E-2</v>
      </c>
    </row>
    <row r="737" spans="1:26" x14ac:dyDescent="0.2">
      <c r="A737" s="16">
        <f>'Stock Price'!A737</f>
        <v>45539</v>
      </c>
      <c r="B737" s="17">
        <f>'Stock Price'!E737</f>
        <v>197.01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946.31</v>
      </c>
      <c r="L737" s="18">
        <v>49.96</v>
      </c>
      <c r="M737" s="18">
        <v>167.36</v>
      </c>
      <c r="O737" s="19">
        <f ca="1">IF('Stock Price'!$I$11="OK",B737/INDEX(B$5:B$1258,'Stock Price'!$I$9)-1,"")</f>
        <v>0.79901378869509609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3.0978218507772919</v>
      </c>
      <c r="Y737" s="19">
        <f ca="1">IF('Stock Price'!$I$11="OK",L737/INDEX(L$5:L$1258,'Stock Price'!$I$9)-1,"")</f>
        <v>-0.155367709213863</v>
      </c>
      <c r="Z737" s="19">
        <f ca="1">IF('Stock Price'!$I$11="OK",M737/INDEX(M$5:M$1258,'Stock Price'!$I$9)-1,"")</f>
        <v>4.87529765634791E-2</v>
      </c>
    </row>
    <row r="738" spans="1:26" x14ac:dyDescent="0.2">
      <c r="A738" s="16">
        <f>'Stock Price'!A738</f>
        <v>45540</v>
      </c>
      <c r="B738" s="17">
        <f>'Stock Price'!E738</f>
        <v>192.86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912.75</v>
      </c>
      <c r="L738" s="18">
        <v>49.8</v>
      </c>
      <c r="M738" s="18">
        <v>164.99</v>
      </c>
      <c r="O738" s="19">
        <f ca="1">IF('Stock Price'!$I$11="OK",B738/INDEX(B$5:B$1258,'Stock Price'!$I$9)-1,"")</f>
        <v>0.76111770614555763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2.9524964274888492</v>
      </c>
      <c r="Y738" s="19">
        <f ca="1">IF('Stock Price'!$I$11="OK",L738/INDEX(L$5:L$1258,'Stock Price'!$I$9)-1,"")</f>
        <v>-0.15807269653423506</v>
      </c>
      <c r="Z738" s="19">
        <f ca="1">IF('Stock Price'!$I$11="OK",M738/INDEX(M$5:M$1258,'Stock Price'!$I$9)-1,"")</f>
        <v>3.3901491414964235E-2</v>
      </c>
    </row>
    <row r="739" spans="1:26" x14ac:dyDescent="0.2">
      <c r="A739" s="16">
        <f>'Stock Price'!A739</f>
        <v>45541</v>
      </c>
      <c r="B739" s="17">
        <f>'Stock Price'!E739</f>
        <v>193.4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902.71</v>
      </c>
      <c r="L739" s="18">
        <v>48.7</v>
      </c>
      <c r="M739" s="18">
        <v>164.38</v>
      </c>
      <c r="O739" s="19">
        <f ca="1">IF('Stock Price'!$I$11="OK",B739/INDEX(B$5:B$1258,'Stock Price'!$I$9)-1,"")</f>
        <v>0.76604876267007582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2.9090200493656089</v>
      </c>
      <c r="Y739" s="19">
        <f ca="1">IF('Stock Price'!$I$11="OK",L739/INDEX(L$5:L$1258,'Stock Price'!$I$9)-1,"")</f>
        <v>-0.17666948436179197</v>
      </c>
      <c r="Z739" s="19">
        <f ca="1">IF('Stock Price'!$I$11="OK",M739/INDEX(M$5:M$1258,'Stock Price'!$I$9)-1,"")</f>
        <v>3.0078957262814843E-2</v>
      </c>
    </row>
    <row r="740" spans="1:26" x14ac:dyDescent="0.2">
      <c r="A740" s="16">
        <f>'Stock Price'!A740</f>
        <v>45544</v>
      </c>
      <c r="B740" s="17">
        <f>'Stock Price'!E740</f>
        <v>196.42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908.27</v>
      </c>
      <c r="L740" s="18">
        <v>48.5</v>
      </c>
      <c r="M740" s="18">
        <v>166.61</v>
      </c>
      <c r="O740" s="19">
        <f ca="1">IF('Stock Price'!$I$11="OK",B740/INDEX(B$5:B$1258,'Stock Price'!$I$9)-1,"")</f>
        <v>0.79362615286275195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2.9330966093621442</v>
      </c>
      <c r="Y740" s="19">
        <f ca="1">IF('Stock Price'!$I$11="OK",L740/INDEX(L$5:L$1258,'Stock Price'!$I$9)-1,"")</f>
        <v>-0.18005071851225696</v>
      </c>
      <c r="Z740" s="19">
        <f ca="1">IF('Stock Price'!$I$11="OK",M740/INDEX(M$5:M$1258,'Stock Price'!$I$9)-1,"")</f>
        <v>4.4053139491164295E-2</v>
      </c>
    </row>
    <row r="741" spans="1:26" x14ac:dyDescent="0.2">
      <c r="A741" s="16">
        <f>'Stock Price'!A741</f>
        <v>45545</v>
      </c>
      <c r="B741" s="17">
        <f>'Stock Price'!E741</f>
        <v>199.35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901.25</v>
      </c>
      <c r="L741" s="18">
        <v>49.28</v>
      </c>
      <c r="M741" s="18">
        <v>167.38</v>
      </c>
      <c r="O741" s="19">
        <f ca="1">IF('Stock Price'!$I$11="OK",B741/INDEX(B$5:B$1258,'Stock Price'!$I$9)-1,"")</f>
        <v>0.82038170030134228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2.9026977872082447</v>
      </c>
      <c r="Y741" s="19">
        <f ca="1">IF('Stock Price'!$I$11="OK",L741/INDEX(L$5:L$1258,'Stock Price'!$I$9)-1,"")</f>
        <v>-0.16686390532544371</v>
      </c>
      <c r="Z741" s="19">
        <f ca="1">IF('Stock Price'!$I$11="OK",M741/INDEX(M$5:M$1258,'Stock Price'!$I$9)-1,"")</f>
        <v>4.8878305552074064E-2</v>
      </c>
    </row>
    <row r="742" spans="1:26" x14ac:dyDescent="0.2">
      <c r="A742" s="16">
        <f>'Stock Price'!A742</f>
        <v>45546</v>
      </c>
      <c r="B742" s="17">
        <f>'Stock Price'!E742</f>
        <v>194.59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920.89</v>
      </c>
      <c r="L742" s="18">
        <v>48.59</v>
      </c>
      <c r="M742" s="18">
        <v>164.82</v>
      </c>
      <c r="O742" s="19">
        <f ca="1">IF('Stock Price'!$I$11="OK",B742/INDEX(B$5:B$1258,'Stock Price'!$I$9)-1,"")</f>
        <v>0.77691535019632907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2.9877452041744248</v>
      </c>
      <c r="Y742" s="19">
        <f ca="1">IF('Stock Price'!$I$11="OK",L742/INDEX(L$5:L$1258,'Stock Price'!$I$9)-1,"")</f>
        <v>-0.1785291631445477</v>
      </c>
      <c r="Z742" s="19">
        <f ca="1">IF('Stock Price'!$I$11="OK",M742/INDEX(M$5:M$1258,'Stock Price'!$I$9)-1,"")</f>
        <v>3.2836195011906044E-2</v>
      </c>
    </row>
    <row r="743" spans="1:26" x14ac:dyDescent="0.2">
      <c r="A743" s="16">
        <f>'Stock Price'!A743</f>
        <v>45547</v>
      </c>
      <c r="B743" s="17">
        <f>'Stock Price'!E743</f>
        <v>194.02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935.02</v>
      </c>
      <c r="L743" s="18">
        <v>48.24</v>
      </c>
      <c r="M743" s="18">
        <v>164.64</v>
      </c>
      <c r="O743" s="19">
        <f ca="1">IF('Stock Price'!$I$11="OK",B743/INDEX(B$5:B$1258,'Stock Price'!$I$9)-1,"")</f>
        <v>0.77171034608711531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3.0489325769713762</v>
      </c>
      <c r="Y743" s="19">
        <f ca="1">IF('Stock Price'!$I$11="OK",L743/INDEX(L$5:L$1258,'Stock Price'!$I$9)-1,"")</f>
        <v>-0.18444632290786134</v>
      </c>
      <c r="Z743" s="19">
        <f ca="1">IF('Stock Price'!$I$11="OK",M743/INDEX(M$5:M$1258,'Stock Price'!$I$9)-1,"")</f>
        <v>3.1708234114550482E-2</v>
      </c>
    </row>
    <row r="744" spans="1:26" x14ac:dyDescent="0.2">
      <c r="A744" s="16">
        <f>'Stock Price'!A744</f>
        <v>45548</v>
      </c>
      <c r="B744" s="17">
        <f>'Stock Price'!E744</f>
        <v>194.21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923.71</v>
      </c>
      <c r="L744" s="18">
        <v>49.13</v>
      </c>
      <c r="M744" s="18">
        <v>165.52</v>
      </c>
      <c r="O744" s="19">
        <f ca="1">IF('Stock Price'!$I$11="OK",B744/INDEX(B$5:B$1258,'Stock Price'!$I$9)-1,"")</f>
        <v>0.77344534745685323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2.9999566968345386</v>
      </c>
      <c r="Y744" s="19">
        <f ca="1">IF('Stock Price'!$I$11="OK",L744/INDEX(L$5:L$1258,'Stock Price'!$I$9)-1,"")</f>
        <v>-0.16939983093829236</v>
      </c>
      <c r="Z744" s="19">
        <f ca="1">IF('Stock Price'!$I$11="OK",M744/INDEX(M$5:M$1258,'Stock Price'!$I$9)-1,"")</f>
        <v>3.7222709612733329E-2</v>
      </c>
    </row>
    <row r="745" spans="1:26" x14ac:dyDescent="0.2">
      <c r="A745" s="16">
        <f>'Stock Price'!A745</f>
        <v>45551</v>
      </c>
      <c r="B745" s="17">
        <f>'Stock Price'!E745</f>
        <v>195.73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923.54</v>
      </c>
      <c r="L745" s="18">
        <v>49.99</v>
      </c>
      <c r="M745" s="18">
        <v>166.99</v>
      </c>
      <c r="O745" s="19">
        <f ca="1">IF('Stock Price'!$I$11="OK",B745/INDEX(B$5:B$1258,'Stock Price'!$I$9)-1,"")</f>
        <v>0.78732535841475637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2.9992205430216945</v>
      </c>
      <c r="Y745" s="19">
        <f ca="1">IF('Stock Price'!$I$11="OK",L745/INDEX(L$5:L$1258,'Stock Price'!$I$9)-1,"")</f>
        <v>-0.15486052409129325</v>
      </c>
      <c r="Z745" s="19">
        <f ca="1">IF('Stock Price'!$I$11="OK",M745/INDEX(M$5:M$1258,'Stock Price'!$I$9)-1,"")</f>
        <v>4.6434390274470383E-2</v>
      </c>
    </row>
    <row r="746" spans="1:26" x14ac:dyDescent="0.2">
      <c r="A746" s="16">
        <f>'Stock Price'!A746</f>
        <v>45552</v>
      </c>
      <c r="B746" s="17">
        <f>'Stock Price'!E746</f>
        <v>193.45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906.18</v>
      </c>
      <c r="L746" s="18">
        <v>49.49</v>
      </c>
      <c r="M746" s="18">
        <v>167.07</v>
      </c>
      <c r="O746" s="19">
        <f ca="1">IF('Stock Price'!$I$11="OK",B746/INDEX(B$5:B$1258,'Stock Price'!$I$9)-1,"")</f>
        <v>0.76650534197790132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2.9240462477807125</v>
      </c>
      <c r="Y746" s="19">
        <f ca="1">IF('Stock Price'!$I$11="OK",L746/INDEX(L$5:L$1258,'Stock Price'!$I$9)-1,"")</f>
        <v>-0.16331360946745554</v>
      </c>
      <c r="Z746" s="19">
        <f ca="1">IF('Stock Price'!$I$11="OK",M746/INDEX(M$5:M$1258,'Stock Price'!$I$9)-1,"")</f>
        <v>4.6935706228850682E-2</v>
      </c>
    </row>
    <row r="747" spans="1:26" x14ac:dyDescent="0.2">
      <c r="A747" s="16">
        <f>'Stock Price'!A747</f>
        <v>45553</v>
      </c>
      <c r="B747" s="17">
        <f>'Stock Price'!E747</f>
        <v>192.94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904.97</v>
      </c>
      <c r="L747" s="18">
        <v>49.74</v>
      </c>
      <c r="M747" s="18">
        <v>166.15</v>
      </c>
      <c r="O747" s="19">
        <f ca="1">IF('Stock Price'!$I$11="OK",B747/INDEX(B$5:B$1258,'Stock Price'!$I$9)-1,"")</f>
        <v>0.76184823303807869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2.9188065647598838</v>
      </c>
      <c r="Y747" s="19">
        <f ca="1">IF('Stock Price'!$I$11="OK",L747/INDEX(L$5:L$1258,'Stock Price'!$I$9)-1,"")</f>
        <v>-0.15908706677937445</v>
      </c>
      <c r="Z747" s="19">
        <f ca="1">IF('Stock Price'!$I$11="OK",M747/INDEX(M$5:M$1258,'Stock Price'!$I$9)-1,"")</f>
        <v>4.1170572753477908E-2</v>
      </c>
    </row>
    <row r="748" spans="1:26" x14ac:dyDescent="0.2">
      <c r="A748" s="16">
        <f>'Stock Price'!A748</f>
        <v>45554</v>
      </c>
      <c r="B748" s="17">
        <f>'Stock Price'!E748</f>
        <v>193.62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915.04</v>
      </c>
      <c r="L748" s="18">
        <v>49.02</v>
      </c>
      <c r="M748" s="18">
        <v>164.82</v>
      </c>
      <c r="O748" s="19">
        <f ca="1">IF('Stock Price'!$I$11="OK",B748/INDEX(B$5:B$1258,'Stock Price'!$I$9)-1,"")</f>
        <v>0.76805771162450909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2.9624128523795088</v>
      </c>
      <c r="Y748" s="19">
        <f ca="1">IF('Stock Price'!$I$11="OK",L748/INDEX(L$5:L$1258,'Stock Price'!$I$9)-1,"")</f>
        <v>-0.17125950972104809</v>
      </c>
      <c r="Z748" s="19">
        <f ca="1">IF('Stock Price'!$I$11="OK",M748/INDEX(M$5:M$1258,'Stock Price'!$I$9)-1,"")</f>
        <v>3.2836195011906044E-2</v>
      </c>
    </row>
    <row r="749" spans="1:26" x14ac:dyDescent="0.2">
      <c r="A749" s="16">
        <f>'Stock Price'!A749</f>
        <v>45555</v>
      </c>
      <c r="B749" s="17">
        <f>'Stock Price'!E749</f>
        <v>193.47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921.49</v>
      </c>
      <c r="L749" s="18">
        <v>49.41</v>
      </c>
      <c r="M749" s="18">
        <v>164.16</v>
      </c>
      <c r="O749" s="19">
        <f ca="1">IF('Stock Price'!$I$11="OK",B749/INDEX(B$5:B$1258,'Stock Price'!$I$9)-1,"")</f>
        <v>0.7666879737010317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2.9903433941021089</v>
      </c>
      <c r="Y749" s="19">
        <f ca="1">IF('Stock Price'!$I$11="OK",L749/INDEX(L$5:L$1258,'Stock Price'!$I$9)-1,"")</f>
        <v>-0.16466610312764163</v>
      </c>
      <c r="Z749" s="19">
        <f ca="1">IF('Stock Price'!$I$11="OK",M749/INDEX(M$5:M$1258,'Stock Price'!$I$9)-1,"")</f>
        <v>2.8700338388269131E-2</v>
      </c>
    </row>
    <row r="750" spans="1:26" x14ac:dyDescent="0.2">
      <c r="A750" s="16">
        <f>'Stock Price'!A750</f>
        <v>45558</v>
      </c>
      <c r="B750" s="17">
        <f>'Stock Price'!E750</f>
        <v>193.83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918.52</v>
      </c>
      <c r="L750" s="18">
        <v>50.01</v>
      </c>
      <c r="M750" s="18">
        <v>163.22</v>
      </c>
      <c r="O750" s="19">
        <f ca="1">IF('Stock Price'!$I$11="OK",B750/INDEX(B$5:B$1258,'Stock Price'!$I$9)-1,"")</f>
        <v>0.76997534471737739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2.9774823539600743</v>
      </c>
      <c r="Y750" s="19">
        <f ca="1">IF('Stock Price'!$I$11="OK",L750/INDEX(L$5:L$1258,'Stock Price'!$I$9)-1,"")</f>
        <v>-0.1545224006762469</v>
      </c>
      <c r="Z750" s="19">
        <f ca="1">IF('Stock Price'!$I$11="OK",M750/INDEX(M$5:M$1258,'Stock Price'!$I$9)-1,"")</f>
        <v>2.2809875924301171E-2</v>
      </c>
    </row>
    <row r="751" spans="1:26" x14ac:dyDescent="0.2">
      <c r="A751" s="16">
        <f>'Stock Price'!A751</f>
        <v>45559</v>
      </c>
      <c r="B751" s="17">
        <f>'Stock Price'!E751</f>
        <v>193.51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924.43</v>
      </c>
      <c r="L751" s="18">
        <v>50.94</v>
      </c>
      <c r="M751" s="18">
        <v>162.78</v>
      </c>
      <c r="O751" s="19">
        <f ca="1">IF('Stock Price'!$I$11="OK",B751/INDEX(B$5:B$1258,'Stock Price'!$I$9)-1,"")</f>
        <v>0.76705323714729223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3.0030745247477588</v>
      </c>
      <c r="Y751" s="19">
        <f ca="1">IF('Stock Price'!$I$11="OK",L751/INDEX(L$5:L$1258,'Stock Price'!$I$9)-1,"")</f>
        <v>-0.13879966187658499</v>
      </c>
      <c r="Z751" s="19">
        <f ca="1">IF('Stock Price'!$I$11="OK",M751/INDEX(M$5:M$1258,'Stock Price'!$I$9)-1,"")</f>
        <v>2.0052638175209747E-2</v>
      </c>
    </row>
    <row r="752" spans="1:26" x14ac:dyDescent="0.2">
      <c r="A752" s="16">
        <f>'Stock Price'!A752</f>
        <v>45560</v>
      </c>
      <c r="B752" s="17">
        <f>'Stock Price'!E752</f>
        <v>191.26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924.56</v>
      </c>
      <c r="L752" s="18">
        <v>49.95</v>
      </c>
      <c r="M752" s="18">
        <v>160.6</v>
      </c>
      <c r="O752" s="19">
        <f ca="1">IF('Stock Price'!$I$11="OK",B752/INDEX(B$5:B$1258,'Stock Price'!$I$9)-1,"")</f>
        <v>0.74650716829513275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3.0036374658987572</v>
      </c>
      <c r="Y752" s="19">
        <f ca="1">IF('Stock Price'!$I$11="OK",L752/INDEX(L$5:L$1258,'Stock Price'!$I$9)-1,"")</f>
        <v>-0.15553677092138629</v>
      </c>
      <c r="Z752" s="19">
        <f ca="1">IF('Stock Price'!$I$11="OK",M752/INDEX(M$5:M$1258,'Stock Price'!$I$9)-1,"")</f>
        <v>6.3917784183480375E-3</v>
      </c>
    </row>
    <row r="753" spans="1:26" x14ac:dyDescent="0.2">
      <c r="A753" s="16">
        <f>'Stock Price'!A753</f>
        <v>45561</v>
      </c>
      <c r="B753" s="17">
        <f>'Stock Price'!E753</f>
        <v>191.9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909.32</v>
      </c>
      <c r="L753" s="18">
        <v>50.12</v>
      </c>
      <c r="M753" s="18">
        <v>161.38999999999999</v>
      </c>
      <c r="O753" s="19">
        <f ca="1">IF('Stock Price'!$I$11="OK",B753/INDEX(B$5:B$1258,'Stock Price'!$I$9)-1,"")</f>
        <v>0.75235138343530261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2.9376434417355908</v>
      </c>
      <c r="Y753" s="19">
        <f ca="1">IF('Stock Price'!$I$11="OK",L753/INDEX(L$5:L$1258,'Stock Price'!$I$9)-1,"")</f>
        <v>-0.15266272189349117</v>
      </c>
      <c r="Z753" s="19">
        <f ca="1">IF('Stock Price'!$I$11="OK",M753/INDEX(M$5:M$1258,'Stock Price'!$I$9)-1,"")</f>
        <v>1.1342273467852992E-2</v>
      </c>
    </row>
    <row r="754" spans="1:26" x14ac:dyDescent="0.2">
      <c r="A754" s="16">
        <f>'Stock Price'!A754</f>
        <v>45562</v>
      </c>
      <c r="B754" s="17">
        <f>'Stock Price'!E754</f>
        <v>194.79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877.79</v>
      </c>
      <c r="L754" s="18">
        <v>50.91</v>
      </c>
      <c r="M754" s="18">
        <v>161.4</v>
      </c>
      <c r="O754" s="19">
        <f ca="1">IF('Stock Price'!$I$11="OK",B754/INDEX(B$5:B$1258,'Stock Price'!$I$9)-1,"")</f>
        <v>0.77874166742763196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2.8011085610358113</v>
      </c>
      <c r="Y754" s="19">
        <f ca="1">IF('Stock Price'!$I$11="OK",L754/INDEX(L$5:L$1258,'Stock Price'!$I$9)-1,"")</f>
        <v>-0.13930684699915474</v>
      </c>
      <c r="Z754" s="19">
        <f ca="1">IF('Stock Price'!$I$11="OK",M754/INDEX(M$5:M$1258,'Stock Price'!$I$9)-1,"")</f>
        <v>1.1404937962150585E-2</v>
      </c>
    </row>
    <row r="755" spans="1:26" x14ac:dyDescent="0.2">
      <c r="A755" s="16">
        <f>'Stock Price'!A755</f>
        <v>45565</v>
      </c>
      <c r="B755" s="17">
        <f>'Stock Price'!E755</f>
        <v>197.48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885.94</v>
      </c>
      <c r="L755" s="18">
        <v>51.74</v>
      </c>
      <c r="M755" s="18">
        <v>162.06</v>
      </c>
      <c r="O755" s="19">
        <f ca="1">IF('Stock Price'!$I$11="OK",B755/INDEX(B$5:B$1258,'Stock Price'!$I$9)-1,"")</f>
        <v>0.80330563418865841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2.8364006408868487</v>
      </c>
      <c r="Y755" s="19">
        <f ca="1">IF('Stock Price'!$I$11="OK",L755/INDEX(L$5:L$1258,'Stock Price'!$I$9)-1,"")</f>
        <v>-0.12527472527472527</v>
      </c>
      <c r="Z755" s="19">
        <f ca="1">IF('Stock Price'!$I$11="OK",M755/INDEX(M$5:M$1258,'Stock Price'!$I$9)-1,"")</f>
        <v>1.5540794585787721E-2</v>
      </c>
    </row>
    <row r="756" spans="1:26" x14ac:dyDescent="0.2">
      <c r="A756" s="16">
        <f>'Stock Price'!A756</f>
        <v>45566</v>
      </c>
      <c r="B756" s="17">
        <f>'Stock Price'!E756</f>
        <v>196.96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884.48</v>
      </c>
      <c r="L756" s="18">
        <v>52.9</v>
      </c>
      <c r="M756" s="18">
        <v>161.99</v>
      </c>
      <c r="O756" s="19">
        <f ca="1">IF('Stock Price'!$I$11="OK",B756/INDEX(B$5:B$1258,'Stock Price'!$I$9)-1,"")</f>
        <v>0.79855720938727059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2.830078378729485</v>
      </c>
      <c r="Y756" s="19">
        <f ca="1">IF('Stock Price'!$I$11="OK",L756/INDEX(L$5:L$1258,'Stock Price'!$I$9)-1,"")</f>
        <v>-0.10566356720202874</v>
      </c>
      <c r="Z756" s="19">
        <f ca="1">IF('Stock Price'!$I$11="OK",M756/INDEX(M$5:M$1258,'Stock Price'!$I$9)-1,"")</f>
        <v>1.5102143125705014E-2</v>
      </c>
    </row>
    <row r="757" spans="1:26" x14ac:dyDescent="0.2">
      <c r="A757" s="16">
        <f>'Stock Price'!A757</f>
        <v>45567</v>
      </c>
      <c r="B757" s="17">
        <f>'Stock Price'!E757</f>
        <v>196.82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891.07</v>
      </c>
      <c r="L757" s="18">
        <v>53.76</v>
      </c>
      <c r="M757" s="18">
        <v>161.16999999999999</v>
      </c>
      <c r="O757" s="19">
        <f ca="1">IF('Stock Price'!$I$11="OK",B757/INDEX(B$5:B$1258,'Stock Price'!$I$9)-1,"")</f>
        <v>0.79727878732535817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2.8586151647685445</v>
      </c>
      <c r="Y757" s="19">
        <f ca="1">IF('Stock Price'!$I$11="OK",L757/INDEX(L$5:L$1258,'Stock Price'!$I$9)-1,"")</f>
        <v>-9.1124260355029629E-2</v>
      </c>
      <c r="Z757" s="19">
        <f ca="1">IF('Stock Price'!$I$11="OK",M757/INDEX(M$5:M$1258,'Stock Price'!$I$9)-1,"")</f>
        <v>9.9636545933072806E-3</v>
      </c>
    </row>
    <row r="758" spans="1:26" x14ac:dyDescent="0.2">
      <c r="A758" s="16">
        <f>'Stock Price'!A758</f>
        <v>45568</v>
      </c>
      <c r="B758" s="17">
        <f>'Stock Price'!E758</f>
        <v>195.45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885.55</v>
      </c>
      <c r="L758" s="18">
        <v>54.2</v>
      </c>
      <c r="M758" s="18">
        <v>160.5</v>
      </c>
      <c r="O758" s="19">
        <f ca="1">IF('Stock Price'!$I$11="OK",B758/INDEX(B$5:B$1258,'Stock Price'!$I$9)-1,"")</f>
        <v>0.7847685142909322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2.8347118174338539</v>
      </c>
      <c r="Y758" s="19">
        <f ca="1">IF('Stock Price'!$I$11="OK",L758/INDEX(L$5:L$1258,'Stock Price'!$I$9)-1,"")</f>
        <v>-8.368554522400673E-2</v>
      </c>
      <c r="Z758" s="19">
        <f ca="1">IF('Stock Price'!$I$11="OK",M758/INDEX(M$5:M$1258,'Stock Price'!$I$9)-1,"")</f>
        <v>5.7651334753727745E-3</v>
      </c>
    </row>
    <row r="759" spans="1:26" x14ac:dyDescent="0.2">
      <c r="A759" s="16">
        <f>'Stock Price'!A759</f>
        <v>45569</v>
      </c>
      <c r="B759" s="17">
        <f>'Stock Price'!E759</f>
        <v>194.29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887.16</v>
      </c>
      <c r="L759" s="18">
        <v>53.96</v>
      </c>
      <c r="M759" s="18">
        <v>160.29</v>
      </c>
      <c r="O759" s="19">
        <f ca="1">IF('Stock Price'!$I$11="OK",B759/INDEX(B$5:B$1258,'Stock Price'!$I$9)-1,"")</f>
        <v>0.77417587434937429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2.8416836270731389</v>
      </c>
      <c r="Y759" s="19">
        <f ca="1">IF('Stock Price'!$I$11="OK",L759/INDEX(L$5:L$1258,'Stock Price'!$I$9)-1,"")</f>
        <v>-8.7743026204564645E-2</v>
      </c>
      <c r="Z759" s="19">
        <f ca="1">IF('Stock Price'!$I$11="OK",M759/INDEX(M$5:M$1258,'Stock Price'!$I$9)-1,"")</f>
        <v>4.4491790951246557E-3</v>
      </c>
    </row>
    <row r="760" spans="1:26" x14ac:dyDescent="0.2">
      <c r="A760" s="16">
        <f>'Stock Price'!A760</f>
        <v>45572</v>
      </c>
      <c r="B760" s="17">
        <f>'Stock Price'!E760</f>
        <v>193.61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898.4</v>
      </c>
      <c r="L760" s="18">
        <v>53.44</v>
      </c>
      <c r="M760" s="18">
        <v>159.53</v>
      </c>
      <c r="O760" s="19">
        <f ca="1">IF('Stock Price'!$I$11="OK",B760/INDEX(B$5:B$1258,'Stock Price'!$I$9)-1,"")</f>
        <v>0.76796639576294412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2.8903563850517471</v>
      </c>
      <c r="Y760" s="19">
        <f ca="1">IF('Stock Price'!$I$11="OK",L760/INDEX(L$5:L$1258,'Stock Price'!$I$9)-1,"")</f>
        <v>-9.6534234995773516E-2</v>
      </c>
      <c r="Z760" s="19">
        <f ca="1">IF('Stock Price'!$I$11="OK",M760/INDEX(M$5:M$1258,'Stock Price'!$I$9)-1,"")</f>
        <v>-3.133224714877425E-4</v>
      </c>
    </row>
    <row r="761" spans="1:26" x14ac:dyDescent="0.2">
      <c r="A761" s="16">
        <f>'Stock Price'!A761</f>
        <v>45573</v>
      </c>
      <c r="B761" s="17">
        <f>'Stock Price'!E761</f>
        <v>193.01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913.72</v>
      </c>
      <c r="L761" s="18">
        <v>52.48</v>
      </c>
      <c r="M761" s="18">
        <v>159.69</v>
      </c>
      <c r="O761" s="19">
        <f ca="1">IF('Stock Price'!$I$11="OK",B761/INDEX(B$5:B$1258,'Stock Price'!$I$9)-1,"")</f>
        <v>0.76248744406903457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2.9566968345386049</v>
      </c>
      <c r="Y761" s="19">
        <f ca="1">IF('Stock Price'!$I$11="OK",L761/INDEX(L$5:L$1258,'Stock Price'!$I$9)-1,"")</f>
        <v>-0.11276415891800506</v>
      </c>
      <c r="Z761" s="19">
        <f ca="1">IF('Stock Price'!$I$11="OK",M761/INDEX(M$5:M$1258,'Stock Price'!$I$9)-1,"")</f>
        <v>6.8930943727285587E-4</v>
      </c>
    </row>
    <row r="762" spans="1:26" x14ac:dyDescent="0.2">
      <c r="A762" s="16">
        <f>'Stock Price'!A762</f>
        <v>45574</v>
      </c>
      <c r="B762" s="17">
        <f>'Stock Price'!E762</f>
        <v>194.75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919.74</v>
      </c>
      <c r="L762" s="18">
        <v>52.8</v>
      </c>
      <c r="M762" s="18">
        <v>160.65</v>
      </c>
      <c r="O762" s="19">
        <f ca="1">IF('Stock Price'!$I$11="OK",B762/INDEX(B$5:B$1258,'Stock Price'!$I$9)-1,"")</f>
        <v>0.77837640398137142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2.9827653401463645</v>
      </c>
      <c r="Y762" s="19">
        <f ca="1">IF('Stock Price'!$I$11="OK",L762/INDEX(L$5:L$1258,'Stock Price'!$I$9)-1,"")</f>
        <v>-0.10735418427726118</v>
      </c>
      <c r="Z762" s="19">
        <f ca="1">IF('Stock Price'!$I$11="OK",M762/INDEX(M$5:M$1258,'Stock Price'!$I$9)-1,"")</f>
        <v>6.70510088983578E-3</v>
      </c>
    </row>
    <row r="763" spans="1:26" x14ac:dyDescent="0.2">
      <c r="A763" s="16">
        <f>'Stock Price'!A763</f>
        <v>45575</v>
      </c>
      <c r="B763" s="17">
        <f>'Stock Price'!E763</f>
        <v>194.35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910.69</v>
      </c>
      <c r="L763" s="18">
        <v>52.4</v>
      </c>
      <c r="M763" s="18">
        <v>160.51</v>
      </c>
      <c r="O763" s="19">
        <f ca="1">IF('Stock Price'!$I$11="OK",B763/INDEX(B$5:B$1258,'Stock Price'!$I$9)-1,"")</f>
        <v>0.7747237695187652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2.9435759754038022</v>
      </c>
      <c r="Y763" s="19">
        <f ca="1">IF('Stock Price'!$I$11="OK",L763/INDEX(L$5:L$1258,'Stock Price'!$I$9)-1,"")</f>
        <v>-0.11411665257819104</v>
      </c>
      <c r="Z763" s="19">
        <f ca="1">IF('Stock Price'!$I$11="OK",M763/INDEX(M$5:M$1258,'Stock Price'!$I$9)-1,"")</f>
        <v>5.8277979696701454E-3</v>
      </c>
    </row>
    <row r="764" spans="1:26" x14ac:dyDescent="0.2">
      <c r="A764" s="16">
        <f>'Stock Price'!A764</f>
        <v>45576</v>
      </c>
      <c r="B764" s="17">
        <f>'Stock Price'!E764</f>
        <v>194.19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932.06</v>
      </c>
      <c r="L764" s="18">
        <v>52.2</v>
      </c>
      <c r="M764" s="18">
        <v>161.46</v>
      </c>
      <c r="O764" s="19">
        <f ca="1">IF('Stock Price'!$I$11="OK",B764/INDEX(B$5:B$1258,'Stock Price'!$I$9)-1,"")</f>
        <v>0.77326271573372285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3.036114839994803</v>
      </c>
      <c r="Y764" s="19">
        <f ca="1">IF('Stock Price'!$I$11="OK",L764/INDEX(L$5:L$1258,'Stock Price'!$I$9)-1,"")</f>
        <v>-0.11749788672865591</v>
      </c>
      <c r="Z764" s="19">
        <f ca="1">IF('Stock Price'!$I$11="OK",M764/INDEX(M$5:M$1258,'Stock Price'!$I$9)-1,"")</f>
        <v>1.1780924927935699E-2</v>
      </c>
    </row>
    <row r="765" spans="1:26" x14ac:dyDescent="0.2">
      <c r="A765" s="16">
        <f>'Stock Price'!A765</f>
        <v>45579</v>
      </c>
      <c r="B765" s="17">
        <f>'Stock Price'!E765</f>
        <v>195.65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929.51</v>
      </c>
      <c r="L765" s="18">
        <v>52.67</v>
      </c>
      <c r="M765" s="18">
        <v>161.6</v>
      </c>
      <c r="O765" s="19">
        <f ca="1">IF('Stock Price'!$I$11="OK",B765/INDEX(B$5:B$1258,'Stock Price'!$I$9)-1,"")</f>
        <v>0.7865948315222353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3.0250725328021479</v>
      </c>
      <c r="Y765" s="19">
        <f ca="1">IF('Stock Price'!$I$11="OK",L765/INDEX(L$5:L$1258,'Stock Price'!$I$9)-1,"")</f>
        <v>-0.10955198647506337</v>
      </c>
      <c r="Z765" s="19">
        <f ca="1">IF('Stock Price'!$I$11="OK",M765/INDEX(M$5:M$1258,'Stock Price'!$I$9)-1,"")</f>
        <v>1.2658227848101111E-2</v>
      </c>
    </row>
    <row r="766" spans="1:26" x14ac:dyDescent="0.2">
      <c r="A766" s="16">
        <f>'Stock Price'!A766</f>
        <v>45580</v>
      </c>
      <c r="B766" s="17">
        <f>'Stock Price'!E766</f>
        <v>191.86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913.32</v>
      </c>
      <c r="L766" s="18">
        <v>52.76</v>
      </c>
      <c r="M766" s="18">
        <v>164.1</v>
      </c>
      <c r="O766" s="19">
        <f ca="1">IF('Stock Price'!$I$11="OK",B766/INDEX(B$5:B$1258,'Stock Price'!$I$9)-1,"")</f>
        <v>0.75198611998904208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2.9549647079201491</v>
      </c>
      <c r="Y766" s="19">
        <f ca="1">IF('Stock Price'!$I$11="OK",L766/INDEX(L$5:L$1258,'Stock Price'!$I$9)-1,"")</f>
        <v>-0.10803043110735422</v>
      </c>
      <c r="Z766" s="19">
        <f ca="1">IF('Stock Price'!$I$11="OK",M766/INDEX(M$5:M$1258,'Stock Price'!$I$9)-1,"")</f>
        <v>2.8324351422483796E-2</v>
      </c>
    </row>
    <row r="767" spans="1:26" x14ac:dyDescent="0.2">
      <c r="A767" s="16">
        <f>'Stock Price'!A767</f>
        <v>45581</v>
      </c>
      <c r="B767" s="17">
        <f>'Stock Price'!E767</f>
        <v>190.46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916.42</v>
      </c>
      <c r="L767" s="18">
        <v>53.37</v>
      </c>
      <c r="M767" s="18">
        <v>164.28</v>
      </c>
      <c r="O767" s="19">
        <f ca="1">IF('Stock Price'!$I$11="OK",B767/INDEX(B$5:B$1258,'Stock Price'!$I$9)-1,"")</f>
        <v>0.73920189936992053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2.9683886892131812</v>
      </c>
      <c r="Y767" s="19">
        <f ca="1">IF('Stock Price'!$I$11="OK",L767/INDEX(L$5:L$1258,'Stock Price'!$I$9)-1,"")</f>
        <v>-9.7717666948436199E-2</v>
      </c>
      <c r="Z767" s="19">
        <f ca="1">IF('Stock Price'!$I$11="OK",M767/INDEX(M$5:M$1258,'Stock Price'!$I$9)-1,"")</f>
        <v>2.945231231983958E-2</v>
      </c>
    </row>
    <row r="768" spans="1:26" x14ac:dyDescent="0.2">
      <c r="A768" s="16">
        <f>'Stock Price'!A768</f>
        <v>45582</v>
      </c>
      <c r="B768" s="17">
        <f>'Stock Price'!E768</f>
        <v>188.57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917.12</v>
      </c>
      <c r="L768" s="18">
        <v>53.18</v>
      </c>
      <c r="M768" s="18">
        <v>164.47</v>
      </c>
      <c r="O768" s="19">
        <f ca="1">IF('Stock Price'!$I$11="OK",B768/INDEX(B$5:B$1258,'Stock Price'!$I$9)-1,"")</f>
        <v>0.72194320153410629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2.9714199107954791</v>
      </c>
      <c r="Y768" s="19">
        <f ca="1">IF('Stock Price'!$I$11="OK",L768/INDEX(L$5:L$1258,'Stock Price'!$I$9)-1,"")</f>
        <v>-0.10092983939137778</v>
      </c>
      <c r="Z768" s="19">
        <f ca="1">IF('Stock Price'!$I$11="OK",M768/INDEX(M$5:M$1258,'Stock Price'!$I$9)-1,"")</f>
        <v>3.0642937711492513E-2</v>
      </c>
    </row>
    <row r="769" spans="1:26" x14ac:dyDescent="0.2">
      <c r="A769" s="16">
        <f>'Stock Price'!A769</f>
        <v>45583</v>
      </c>
      <c r="B769" s="17">
        <f>'Stock Price'!E769</f>
        <v>188.86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917.97</v>
      </c>
      <c r="L769" s="18">
        <v>53.22</v>
      </c>
      <c r="M769" s="18">
        <v>165.12</v>
      </c>
      <c r="O769" s="19">
        <f ca="1">IF('Stock Price'!$I$11="OK",B769/INDEX(B$5:B$1258,'Stock Price'!$I$9)-1,"")</f>
        <v>0.72459136151949588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2.9751006798596977</v>
      </c>
      <c r="Y769" s="19">
        <f ca="1">IF('Stock Price'!$I$11="OK",L769/INDEX(L$5:L$1258,'Stock Price'!$I$9)-1,"")</f>
        <v>-0.10025359256128485</v>
      </c>
      <c r="Z769" s="19">
        <f ca="1">IF('Stock Price'!$I$11="OK",M769/INDEX(M$5:M$1258,'Stock Price'!$I$9)-1,"")</f>
        <v>3.4716129840832055E-2</v>
      </c>
    </row>
    <row r="770" spans="1:26" x14ac:dyDescent="0.2">
      <c r="A770" s="16">
        <f>'Stock Price'!A770</f>
        <v>45586</v>
      </c>
      <c r="B770" s="17">
        <f>'Stock Price'!E770</f>
        <v>186.54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906.13</v>
      </c>
      <c r="L770" s="18">
        <v>52.12</v>
      </c>
      <c r="M770" s="18">
        <v>162.83000000000001</v>
      </c>
      <c r="O770" s="19">
        <f ca="1">IF('Stock Price'!$I$11="OK",B770/INDEX(B$5:B$1258,'Stock Price'!$I$9)-1,"")</f>
        <v>0.70340608163638008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2.9238297319534055</v>
      </c>
      <c r="Y770" s="19">
        <f ca="1">IF('Stock Price'!$I$11="OK",L770/INDEX(L$5:L$1258,'Stock Price'!$I$9)-1,"")</f>
        <v>-0.11885038038884199</v>
      </c>
      <c r="Z770" s="19">
        <f ca="1">IF('Stock Price'!$I$11="OK",M770/INDEX(M$5:M$1258,'Stock Price'!$I$9)-1,"")</f>
        <v>2.036596064669749E-2</v>
      </c>
    </row>
    <row r="771" spans="1:26" x14ac:dyDescent="0.2">
      <c r="A771" s="16">
        <f>'Stock Price'!A771</f>
        <v>45587</v>
      </c>
      <c r="B771" s="17">
        <f>'Stock Price'!E771</f>
        <v>188.76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909.15</v>
      </c>
      <c r="L771" s="18">
        <v>52.76</v>
      </c>
      <c r="M771" s="18">
        <v>163.44999999999999</v>
      </c>
      <c r="O771" s="19">
        <f ca="1">IF('Stock Price'!$I$11="OK",B771/INDEX(B$5:B$1258,'Stock Price'!$I$9)-1,"")</f>
        <v>0.72367820290384421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2.9369072879227471</v>
      </c>
      <c r="Y771" s="19">
        <f ca="1">IF('Stock Price'!$I$11="OK",L771/INDEX(L$5:L$1258,'Stock Price'!$I$9)-1,"")</f>
        <v>-0.10803043110735422</v>
      </c>
      <c r="Z771" s="19">
        <f ca="1">IF('Stock Price'!$I$11="OK",M771/INDEX(M$5:M$1258,'Stock Price'!$I$9)-1,"")</f>
        <v>2.4251159293144253E-2</v>
      </c>
    </row>
    <row r="772" spans="1:26" x14ac:dyDescent="0.2">
      <c r="A772" s="16">
        <f>'Stock Price'!A772</f>
        <v>45588</v>
      </c>
      <c r="B772" s="17">
        <f>'Stock Price'!E772</f>
        <v>187.88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903.25</v>
      </c>
      <c r="L772" s="18">
        <v>53.06</v>
      </c>
      <c r="M772" s="18">
        <v>165.86</v>
      </c>
      <c r="O772" s="19">
        <f ca="1">IF('Stock Price'!$I$11="OK",B772/INDEX(B$5:B$1258,'Stock Price'!$I$9)-1,"")</f>
        <v>0.71564240708611071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2.9113584203005241</v>
      </c>
      <c r="Y772" s="19">
        <f ca="1">IF('Stock Price'!$I$11="OK",L772/INDEX(L$5:L$1258,'Stock Price'!$I$9)-1,"")</f>
        <v>-0.1029585798816568</v>
      </c>
      <c r="Z772" s="19">
        <f ca="1">IF('Stock Price'!$I$11="OK",M772/INDEX(M$5:M$1258,'Stock Price'!$I$9)-1,"")</f>
        <v>3.935330241884949E-2</v>
      </c>
    </row>
    <row r="773" spans="1:26" x14ac:dyDescent="0.2">
      <c r="A773" s="16">
        <f>'Stock Price'!A773</f>
        <v>45589</v>
      </c>
      <c r="B773" s="17">
        <f>'Stock Price'!E773</f>
        <v>189.65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891.32</v>
      </c>
      <c r="L773" s="18">
        <v>52.92</v>
      </c>
      <c r="M773" s="18">
        <v>163.66999999999999</v>
      </c>
      <c r="O773" s="19">
        <f ca="1">IF('Stock Price'!$I$11="OK",B773/INDEX(B$5:B$1258,'Stock Price'!$I$9)-1,"")</f>
        <v>0.73180531458314313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2.8596977439050795</v>
      </c>
      <c r="Y773" s="19">
        <f ca="1">IF('Stock Price'!$I$11="OK",L773/INDEX(L$5:L$1258,'Stock Price'!$I$9)-1,"")</f>
        <v>-0.10532544378698216</v>
      </c>
      <c r="Z773" s="19">
        <f ca="1">IF('Stock Price'!$I$11="OK",M773/INDEX(M$5:M$1258,'Stock Price'!$I$9)-1,"")</f>
        <v>2.5629778167689965E-2</v>
      </c>
    </row>
    <row r="774" spans="1:26" x14ac:dyDescent="0.2">
      <c r="A774" s="16">
        <f>'Stock Price'!A774</f>
        <v>45590</v>
      </c>
      <c r="B774" s="17">
        <f>'Stock Price'!E774</f>
        <v>187.85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892.7</v>
      </c>
      <c r="L774" s="18">
        <v>51.92</v>
      </c>
      <c r="M774" s="18">
        <v>160.88</v>
      </c>
      <c r="O774" s="19">
        <f ca="1">IF('Stock Price'!$I$11="OK",B774/INDEX(B$5:B$1258,'Stock Price'!$I$9)-1,"")</f>
        <v>0.71536845950141537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2.8656735807387519</v>
      </c>
      <c r="Y774" s="19">
        <f ca="1">IF('Stock Price'!$I$11="OK",L774/INDEX(L$5:L$1258,'Stock Price'!$I$9)-1,"")</f>
        <v>-0.12223161453930675</v>
      </c>
      <c r="Z774" s="19">
        <f ca="1">IF('Stock Price'!$I$11="OK",M774/INDEX(M$5:M$1258,'Stock Price'!$I$9)-1,"")</f>
        <v>8.1463842586788626E-3</v>
      </c>
    </row>
    <row r="775" spans="1:26" x14ac:dyDescent="0.2">
      <c r="A775" s="16">
        <f>'Stock Price'!A775</f>
        <v>45593</v>
      </c>
      <c r="B775" s="17">
        <f>'Stock Price'!E775</f>
        <v>189.68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895.59</v>
      </c>
      <c r="L775" s="18">
        <v>52.64</v>
      </c>
      <c r="M775" s="18">
        <v>161.6</v>
      </c>
      <c r="O775" s="19">
        <f ca="1">IF('Stock Price'!$I$11="OK",B775/INDEX(B$5:B$1258,'Stock Price'!$I$9)-1,"")</f>
        <v>0.73207926216783847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2.8781881955570952</v>
      </c>
      <c r="Y775" s="19">
        <f ca="1">IF('Stock Price'!$I$11="OK",L775/INDEX(L$5:L$1258,'Stock Price'!$I$9)-1,"")</f>
        <v>-0.11005917159763312</v>
      </c>
      <c r="Z775" s="19">
        <f ca="1">IF('Stock Price'!$I$11="OK",M775/INDEX(M$5:M$1258,'Stock Price'!$I$9)-1,"")</f>
        <v>1.2658227848101111E-2</v>
      </c>
    </row>
    <row r="776" spans="1:26" x14ac:dyDescent="0.2">
      <c r="A776" s="16">
        <f>'Stock Price'!A776</f>
        <v>45594</v>
      </c>
      <c r="B776" s="17">
        <f>'Stock Price'!E776</f>
        <v>189.45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903.58</v>
      </c>
      <c r="L776" s="18">
        <v>52.5</v>
      </c>
      <c r="M776" s="18">
        <v>160.09</v>
      </c>
      <c r="O776" s="19">
        <f ca="1">IF('Stock Price'!$I$11="OK",B776/INDEX(B$5:B$1258,'Stock Price'!$I$9)-1,"")</f>
        <v>0.7299789973518398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2.9127874247607499</v>
      </c>
      <c r="Y776" s="19">
        <f ca="1">IF('Stock Price'!$I$11="OK",L776/INDEX(L$5:L$1258,'Stock Price'!$I$9)-1,"")</f>
        <v>-0.1124260355029586</v>
      </c>
      <c r="Z776" s="19">
        <f ca="1">IF('Stock Price'!$I$11="OK",M776/INDEX(M$5:M$1258,'Stock Price'!$I$9)-1,"")</f>
        <v>3.1958892091741298E-3</v>
      </c>
    </row>
    <row r="777" spans="1:26" x14ac:dyDescent="0.2">
      <c r="A777" s="16">
        <f>'Stock Price'!A777</f>
        <v>45595</v>
      </c>
      <c r="B777" s="17">
        <f>'Stock Price'!E777</f>
        <v>201.5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846.83</v>
      </c>
      <c r="L777" s="18">
        <v>52.66</v>
      </c>
      <c r="M777" s="18">
        <v>160.61000000000001</v>
      </c>
      <c r="O777" s="19">
        <f ca="1">IF('Stock Price'!$I$11="OK",B777/INDEX(B$5:B$1258,'Stock Price'!$I$9)-1,"")</f>
        <v>0.84001461053785031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2.6670419607673321</v>
      </c>
      <c r="Y777" s="19">
        <f ca="1">IF('Stock Price'!$I$11="OK",L777/INDEX(L$5:L$1258,'Stock Price'!$I$9)-1,"")</f>
        <v>-0.10972104818258666</v>
      </c>
      <c r="Z777" s="19">
        <f ca="1">IF('Stock Price'!$I$11="OK",M777/INDEX(M$5:M$1258,'Stock Price'!$I$9)-1,"")</f>
        <v>6.4544429126456304E-3</v>
      </c>
    </row>
    <row r="778" spans="1:26" x14ac:dyDescent="0.2">
      <c r="A778" s="16">
        <f>'Stock Price'!A778</f>
        <v>45596</v>
      </c>
      <c r="B778" s="17">
        <f>'Stock Price'!E778</f>
        <v>203.87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829.74</v>
      </c>
      <c r="L778" s="18">
        <v>55.77</v>
      </c>
      <c r="M778" s="18">
        <v>159.86000000000001</v>
      </c>
      <c r="O778" s="19">
        <f ca="1">IF('Stock Price'!$I$11="OK",B778/INDEX(B$5:B$1258,'Stock Price'!$I$9)-1,"")</f>
        <v>0.86165646972879184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2.5930368509938075</v>
      </c>
      <c r="Y778" s="19">
        <f ca="1">IF('Stock Price'!$I$11="OK",L778/INDEX(L$5:L$1258,'Stock Price'!$I$9)-1,"")</f>
        <v>-5.7142857142857051E-2</v>
      </c>
      <c r="Z778" s="19">
        <f ca="1">IF('Stock Price'!$I$11="OK",M778/INDEX(M$5:M$1258,'Stock Price'!$I$9)-1,"")</f>
        <v>1.7546058403308251E-3</v>
      </c>
    </row>
    <row r="779" spans="1:26" x14ac:dyDescent="0.2">
      <c r="A779" s="16">
        <f>'Stock Price'!A779</f>
        <v>45597</v>
      </c>
      <c r="B779" s="17">
        <f>'Stock Price'!E779</f>
        <v>203.55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818.93</v>
      </c>
      <c r="L779" s="18">
        <v>54.32</v>
      </c>
      <c r="M779" s="18">
        <v>160.13</v>
      </c>
      <c r="O779" s="19">
        <f ca="1">IF('Stock Price'!$I$11="OK",B779/INDEX(B$5:B$1258,'Stock Price'!$I$9)-1,"")</f>
        <v>0.85873436215870691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2.546226129130039</v>
      </c>
      <c r="Y779" s="19">
        <f ca="1">IF('Stock Price'!$I$11="OK",L779/INDEX(L$5:L$1258,'Stock Price'!$I$9)-1,"")</f>
        <v>-8.1656804733727828E-2</v>
      </c>
      <c r="Z779" s="19">
        <f ca="1">IF('Stock Price'!$I$11="OK",M779/INDEX(M$5:M$1258,'Stock Price'!$I$9)-1,"")</f>
        <v>3.4465471863640573E-3</v>
      </c>
    </row>
    <row r="780" spans="1:26" x14ac:dyDescent="0.2">
      <c r="A780" s="16">
        <f>'Stock Price'!A780</f>
        <v>45600</v>
      </c>
      <c r="B780" s="17">
        <f>'Stock Price'!E780</f>
        <v>200.47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806.14</v>
      </c>
      <c r="L780" s="18">
        <v>55.45</v>
      </c>
      <c r="M780" s="18">
        <v>158.24</v>
      </c>
      <c r="O780" s="19">
        <f ca="1">IF('Stock Price'!$I$11="OK",B780/INDEX(B$5:B$1258,'Stock Price'!$I$9)-1,"")</f>
        <v>0.83060907679663942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2.4908413805049148</v>
      </c>
      <c r="Y780" s="19">
        <f ca="1">IF('Stock Price'!$I$11="OK",L780/INDEX(L$5:L$1258,'Stock Price'!$I$9)-1,"")</f>
        <v>-6.2552831783600937E-2</v>
      </c>
      <c r="Z780" s="19">
        <f ca="1">IF('Stock Price'!$I$11="OK",M780/INDEX(M$5:M$1258,'Stock Price'!$I$9)-1,"")</f>
        <v>-8.3970422358691232E-3</v>
      </c>
    </row>
    <row r="781" spans="1:26" x14ac:dyDescent="0.2">
      <c r="A781" s="16">
        <f>'Stock Price'!A781</f>
        <v>45601</v>
      </c>
      <c r="B781" s="17">
        <f>'Stock Price'!E781</f>
        <v>201.68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806.06</v>
      </c>
      <c r="L781" s="18">
        <v>55.95</v>
      </c>
      <c r="M781" s="18">
        <v>158.35</v>
      </c>
      <c r="O781" s="19">
        <f ca="1">IF('Stock Price'!$I$11="OK",B781/INDEX(B$5:B$1258,'Stock Price'!$I$9)-1,"")</f>
        <v>0.84165829604602327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2.4904949551812234</v>
      </c>
      <c r="Y781" s="19">
        <f ca="1">IF('Stock Price'!$I$11="OK",L781/INDEX(L$5:L$1258,'Stock Price'!$I$9)-1,"")</f>
        <v>-5.4099746407438642E-2</v>
      </c>
      <c r="Z781" s="19">
        <f ca="1">IF('Stock Price'!$I$11="OK",M781/INDEX(M$5:M$1258,'Stock Price'!$I$9)-1,"")</f>
        <v>-7.7077327985963784E-3</v>
      </c>
    </row>
    <row r="782" spans="1:26" x14ac:dyDescent="0.2">
      <c r="A782" s="16">
        <f>'Stock Price'!A782</f>
        <v>45602</v>
      </c>
      <c r="B782" s="17">
        <f>'Stock Price'!E782</f>
        <v>201.2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776.38</v>
      </c>
      <c r="L782" s="18">
        <v>55.28</v>
      </c>
      <c r="M782" s="18">
        <v>157.88</v>
      </c>
      <c r="O782" s="19">
        <f ca="1">IF('Stock Price'!$I$11="OK",B782/INDEX(B$5:B$1258,'Stock Price'!$I$9)-1,"")</f>
        <v>0.83727513469089554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2.3619711600918025</v>
      </c>
      <c r="Y782" s="19">
        <f ca="1">IF('Stock Price'!$I$11="OK",L782/INDEX(L$5:L$1258,'Stock Price'!$I$9)-1,"")</f>
        <v>-6.5426880811496169E-2</v>
      </c>
      <c r="Z782" s="19">
        <f ca="1">IF('Stock Price'!$I$11="OK",M782/INDEX(M$5:M$1258,'Stock Price'!$I$9)-1,"")</f>
        <v>-1.0652964030580359E-2</v>
      </c>
    </row>
    <row r="783" spans="1:26" x14ac:dyDescent="0.2">
      <c r="A783" s="16">
        <f>'Stock Price'!A783</f>
        <v>45603</v>
      </c>
      <c r="B783" s="17">
        <f>'Stock Price'!E783</f>
        <v>200.51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797.45</v>
      </c>
      <c r="L783" s="18">
        <v>54.71</v>
      </c>
      <c r="M783" s="18">
        <v>156.72999999999999</v>
      </c>
      <c r="O783" s="19">
        <f ca="1">IF('Stock Price'!$I$11="OK",B783/INDEX(B$5:B$1258,'Stock Price'!$I$9)-1,"")</f>
        <v>0.83097434024289996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2.4532109297189626</v>
      </c>
      <c r="Y783" s="19">
        <f ca="1">IF('Stock Price'!$I$11="OK",L783/INDEX(L$5:L$1258,'Stock Price'!$I$9)-1,"")</f>
        <v>-7.5063398140321147E-2</v>
      </c>
      <c r="Z783" s="19">
        <f ca="1">IF('Stock Price'!$I$11="OK",M783/INDEX(M$5:M$1258,'Stock Price'!$I$9)-1,"")</f>
        <v>-1.7859380874796438E-2</v>
      </c>
    </row>
    <row r="784" spans="1:26" x14ac:dyDescent="0.2">
      <c r="A784" s="16">
        <f>'Stock Price'!A784</f>
        <v>45604</v>
      </c>
      <c r="B784" s="17">
        <f>'Stock Price'!E784</f>
        <v>199.5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831.54</v>
      </c>
      <c r="L784" s="18">
        <v>54.14</v>
      </c>
      <c r="M784" s="18">
        <v>155.47</v>
      </c>
      <c r="O784" s="19">
        <f ca="1">IF('Stock Price'!$I$11="OK",B784/INDEX(B$5:B$1258,'Stock Price'!$I$9)-1,"")</f>
        <v>0.82175143822481966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2.6008314207768586</v>
      </c>
      <c r="Y784" s="19">
        <f ca="1">IF('Stock Price'!$I$11="OK",L784/INDEX(L$5:L$1258,'Stock Price'!$I$9)-1,"")</f>
        <v>-8.4699915469146236E-2</v>
      </c>
      <c r="Z784" s="19">
        <f ca="1">IF('Stock Price'!$I$11="OK",M784/INDEX(M$5:M$1258,'Stock Price'!$I$9)-1,"")</f>
        <v>-2.5755107156285373E-2</v>
      </c>
    </row>
    <row r="785" spans="1:26" x14ac:dyDescent="0.2">
      <c r="A785" s="16">
        <f>'Stock Price'!A785</f>
        <v>45607</v>
      </c>
      <c r="B785" s="17">
        <f>'Stock Price'!E785</f>
        <v>174.43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832.44</v>
      </c>
      <c r="L785" s="18">
        <v>59.82</v>
      </c>
      <c r="M785" s="18">
        <v>155.04</v>
      </c>
      <c r="O785" s="19">
        <f ca="1">IF('Stock Price'!$I$11="OK",B785/INDEX(B$5:B$1258,'Stock Price'!$I$9)-1,"")</f>
        <v>0.59282257328097887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2.6047287056683843</v>
      </c>
      <c r="Y785" s="19">
        <f ca="1">IF('Stock Price'!$I$11="OK",L785/INDEX(L$5:L$1258,'Stock Price'!$I$9)-1,"")</f>
        <v>1.1327134404057526E-2</v>
      </c>
      <c r="Z785" s="19">
        <f ca="1">IF('Stock Price'!$I$11="OK",M785/INDEX(M$5:M$1258,'Stock Price'!$I$9)-1,"")</f>
        <v>-2.8449680411079203E-2</v>
      </c>
    </row>
    <row r="786" spans="1:26" x14ac:dyDescent="0.2">
      <c r="A786" s="16">
        <f>'Stock Price'!A786</f>
        <v>45608</v>
      </c>
      <c r="B786" s="17">
        <f>'Stock Price'!E786</f>
        <v>171.09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818.86</v>
      </c>
      <c r="L786" s="18">
        <v>59.02</v>
      </c>
      <c r="M786" s="18">
        <v>152.63999999999999</v>
      </c>
      <c r="O786" s="19">
        <f ca="1">IF('Stock Price'!$I$11="OK",B786/INDEX(B$5:B$1258,'Stock Price'!$I$9)-1,"")</f>
        <v>0.56232307551821736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2.5459230069718095</v>
      </c>
      <c r="Y786" s="19">
        <f ca="1">IF('Stock Price'!$I$11="OK",L786/INDEX(L$5:L$1258,'Stock Price'!$I$9)-1,"")</f>
        <v>-2.197802197802079E-3</v>
      </c>
      <c r="Z786" s="19">
        <f ca="1">IF('Stock Price'!$I$11="OK",M786/INDEX(M$5:M$1258,'Stock Price'!$I$9)-1,"")</f>
        <v>-4.3489159042486736E-2</v>
      </c>
    </row>
    <row r="787" spans="1:26" x14ac:dyDescent="0.2">
      <c r="A787" s="16">
        <f>'Stock Price'!A787</f>
        <v>45609</v>
      </c>
      <c r="B787" s="17">
        <f>'Stock Price'!E787</f>
        <v>170.35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811.81</v>
      </c>
      <c r="L787" s="18">
        <v>58.41</v>
      </c>
      <c r="M787" s="18">
        <v>153.24</v>
      </c>
      <c r="O787" s="19">
        <f ca="1">IF('Stock Price'!$I$11="OK",B787/INDEX(B$5:B$1258,'Stock Price'!$I$9)-1,"")</f>
        <v>0.55556570176239606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2.5153942753215257</v>
      </c>
      <c r="Y787" s="19">
        <f ca="1">IF('Stock Price'!$I$11="OK",L787/INDEX(L$5:L$1258,'Stock Price'!$I$9)-1,"")</f>
        <v>-1.251056635672021E-2</v>
      </c>
      <c r="Z787" s="19">
        <f ca="1">IF('Stock Price'!$I$11="OK",M787/INDEX(M$5:M$1258,'Stock Price'!$I$9)-1,"")</f>
        <v>-3.9729289384634714E-2</v>
      </c>
    </row>
    <row r="788" spans="1:26" x14ac:dyDescent="0.2">
      <c r="A788" s="16">
        <f>'Stock Price'!A788</f>
        <v>45610</v>
      </c>
      <c r="B788" s="17">
        <f>'Stock Price'!E788</f>
        <v>169.63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786.23</v>
      </c>
      <c r="L788" s="18">
        <v>58.5</v>
      </c>
      <c r="M788" s="18">
        <v>151.87</v>
      </c>
      <c r="O788" s="19">
        <f ca="1">IF('Stock Price'!$I$11="OK",B788/INDEX(B$5:B$1258,'Stock Price'!$I$9)-1,"")</f>
        <v>0.54899095972970491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2.4046247780712768</v>
      </c>
      <c r="Y788" s="19">
        <f ca="1">IF('Stock Price'!$I$11="OK",L788/INDEX(L$5:L$1258,'Stock Price'!$I$9)-1,"")</f>
        <v>-1.098901098901095E-2</v>
      </c>
      <c r="Z788" s="19">
        <f ca="1">IF('Stock Price'!$I$11="OK",M788/INDEX(M$5:M$1258,'Stock Price'!$I$9)-1,"")</f>
        <v>-4.8314325103396505E-2</v>
      </c>
    </row>
    <row r="789" spans="1:26" x14ac:dyDescent="0.2">
      <c r="A789" s="16">
        <f>'Stock Price'!A789</f>
        <v>45611</v>
      </c>
      <c r="B789" s="17">
        <f>'Stock Price'!E789</f>
        <v>164.99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746.2</v>
      </c>
      <c r="L789" s="18">
        <v>56.22</v>
      </c>
      <c r="M789" s="18">
        <v>154</v>
      </c>
      <c r="O789" s="19">
        <f ca="1">IF('Stock Price'!$I$11="OK",B789/INDEX(B$5:B$1258,'Stock Price'!$I$9)-1,"")</f>
        <v>0.50662039996347374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2.2312822067293121</v>
      </c>
      <c r="Y789" s="19">
        <f ca="1">IF('Stock Price'!$I$11="OK",L789/INDEX(L$5:L$1258,'Stock Price'!$I$9)-1,"")</f>
        <v>-4.9535080304311085E-2</v>
      </c>
      <c r="Z789" s="19">
        <f ca="1">IF('Stock Price'!$I$11="OK",M789/INDEX(M$5:M$1258,'Stock Price'!$I$9)-1,"")</f>
        <v>-3.4966787818022427E-2</v>
      </c>
    </row>
    <row r="790" spans="1:26" x14ac:dyDescent="0.2">
      <c r="A790" s="16">
        <f>'Stock Price'!A790</f>
        <v>45614</v>
      </c>
      <c r="B790" s="17">
        <f>'Stock Price'!E790</f>
        <v>166.28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727.2</v>
      </c>
      <c r="L790" s="18">
        <v>56.8</v>
      </c>
      <c r="M790" s="18">
        <v>154.77000000000001</v>
      </c>
      <c r="O790" s="19">
        <f ca="1">IF('Stock Price'!$I$11="OK",B790/INDEX(B$5:B$1258,'Stock Price'!$I$9)-1,"")</f>
        <v>0.51840014610537843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2.1490061923526609</v>
      </c>
      <c r="Y790" s="19">
        <f ca="1">IF('Stock Price'!$I$11="OK",L790/INDEX(L$5:L$1258,'Stock Price'!$I$9)-1,"")</f>
        <v>-3.9729501267962819E-2</v>
      </c>
      <c r="Z790" s="19">
        <f ca="1">IF('Stock Price'!$I$11="OK",M790/INDEX(M$5:M$1258,'Stock Price'!$I$9)-1,"")</f>
        <v>-3.0141621757112436E-2</v>
      </c>
    </row>
    <row r="791" spans="1:26" x14ac:dyDescent="0.2">
      <c r="A791" s="16">
        <f>'Stock Price'!A791</f>
        <v>45615</v>
      </c>
      <c r="B791" s="17">
        <f>'Stock Price'!E791</f>
        <v>166.57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729.73</v>
      </c>
      <c r="L791" s="18">
        <v>58.23</v>
      </c>
      <c r="M791" s="18">
        <v>153</v>
      </c>
      <c r="O791" s="19">
        <f ca="1">IF('Stock Price'!$I$11="OK",B791/INDEX(B$5:B$1258,'Stock Price'!$I$9)-1,"")</f>
        <v>0.5210483060907678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2.159961893214394</v>
      </c>
      <c r="Y791" s="19">
        <f ca="1">IF('Stock Price'!$I$11="OK",L791/INDEX(L$5:L$1258,'Stock Price'!$I$9)-1,"")</f>
        <v>-1.5553677092138618E-2</v>
      </c>
      <c r="Z791" s="19">
        <f ca="1">IF('Stock Price'!$I$11="OK",M791/INDEX(M$5:M$1258,'Stock Price'!$I$9)-1,"")</f>
        <v>-4.12332372477755E-2</v>
      </c>
    </row>
    <row r="792" spans="1:26" x14ac:dyDescent="0.2">
      <c r="A792" s="16">
        <f>'Stock Price'!A792</f>
        <v>45616</v>
      </c>
      <c r="B792" s="17">
        <f>'Stock Price'!E792</f>
        <v>167.76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753.41</v>
      </c>
      <c r="L792" s="18">
        <v>57.88</v>
      </c>
      <c r="M792" s="18">
        <v>153.11000000000001</v>
      </c>
      <c r="O792" s="19">
        <f ca="1">IF('Stock Price'!$I$11="OK",B792/INDEX(B$5:B$1258,'Stock Price'!$I$9)-1,"")</f>
        <v>0.53191489361702105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2.2625037890269777</v>
      </c>
      <c r="Y792" s="19">
        <f ca="1">IF('Stock Price'!$I$11="OK",L792/INDEX(L$5:L$1258,'Stock Price'!$I$9)-1,"")</f>
        <v>-2.1470836855452147E-2</v>
      </c>
      <c r="Z792" s="19">
        <f ca="1">IF('Stock Price'!$I$11="OK",M792/INDEX(M$5:M$1258,'Stock Price'!$I$9)-1,"")</f>
        <v>-4.0543927810502534E-2</v>
      </c>
    </row>
    <row r="793" spans="1:26" x14ac:dyDescent="0.2">
      <c r="A793" s="16">
        <f>'Stock Price'!A793</f>
        <v>45617</v>
      </c>
      <c r="B793" s="17">
        <f>'Stock Price'!E793</f>
        <v>171.73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749.92</v>
      </c>
      <c r="L793" s="18">
        <v>58.23</v>
      </c>
      <c r="M793" s="18">
        <v>155.5</v>
      </c>
      <c r="O793" s="19">
        <f ca="1">IF('Stock Price'!$I$11="OK",B793/INDEX(B$5:B$1258,'Stock Price'!$I$9)-1,"")</f>
        <v>0.56816729065838723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2.2473909842809507</v>
      </c>
      <c r="Y793" s="19">
        <f ca="1">IF('Stock Price'!$I$11="OK",L793/INDEX(L$5:L$1258,'Stock Price'!$I$9)-1,"")</f>
        <v>-1.5553677092138618E-2</v>
      </c>
      <c r="Z793" s="19">
        <f ca="1">IF('Stock Price'!$I$11="OK",M793/INDEX(M$5:M$1258,'Stock Price'!$I$9)-1,"")</f>
        <v>-2.5567113673392705E-2</v>
      </c>
    </row>
    <row r="794" spans="1:26" x14ac:dyDescent="0.2">
      <c r="A794" s="16">
        <f>'Stock Price'!A794</f>
        <v>45618</v>
      </c>
      <c r="B794" s="17">
        <f>'Stock Price'!E794</f>
        <v>176.95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748.01</v>
      </c>
      <c r="L794" s="18">
        <v>58.87</v>
      </c>
      <c r="M794" s="18">
        <v>155.16999999999999</v>
      </c>
      <c r="O794" s="19">
        <f ca="1">IF('Stock Price'!$I$11="OK",B794/INDEX(B$5:B$1258,'Stock Price'!$I$9)-1,"")</f>
        <v>0.61583417039539756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2.2391200796778241</v>
      </c>
      <c r="Y794" s="19">
        <f ca="1">IF('Stock Price'!$I$11="OK",L794/INDEX(L$5:L$1258,'Stock Price'!$I$9)-1,"")</f>
        <v>-4.7337278106509562E-3</v>
      </c>
      <c r="Z794" s="19">
        <f ca="1">IF('Stock Price'!$I$11="OK",M794/INDEX(M$5:M$1258,'Stock Price'!$I$9)-1,"")</f>
        <v>-2.7635041985211384E-2</v>
      </c>
    </row>
    <row r="795" spans="1:26" x14ac:dyDescent="0.2">
      <c r="A795" s="16">
        <f>'Stock Price'!A795</f>
        <v>45621</v>
      </c>
      <c r="B795" s="17">
        <f>'Stock Price'!E795</f>
        <v>177.06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755</v>
      </c>
      <c r="L795" s="18">
        <v>58.78</v>
      </c>
      <c r="M795" s="18">
        <v>155.78</v>
      </c>
      <c r="O795" s="19">
        <f ca="1">IF('Stock Price'!$I$11="OK",B795/INDEX(B$5:B$1258,'Stock Price'!$I$9)-1,"")</f>
        <v>0.61683864487261442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2.2693889923353394</v>
      </c>
      <c r="Y795" s="19">
        <f ca="1">IF('Stock Price'!$I$11="OK",L795/INDEX(L$5:L$1258,'Stock Price'!$I$9)-1,"")</f>
        <v>-6.2552831783601048E-3</v>
      </c>
      <c r="Z795" s="19">
        <f ca="1">IF('Stock Price'!$I$11="OK",M795/INDEX(M$5:M$1258,'Stock Price'!$I$9)-1,"")</f>
        <v>-2.381250783306188E-2</v>
      </c>
    </row>
    <row r="796" spans="1:26" x14ac:dyDescent="0.2">
      <c r="A796" s="16">
        <f>'Stock Price'!A796</f>
        <v>45622</v>
      </c>
      <c r="B796" s="17">
        <f>'Stock Price'!E796</f>
        <v>181.14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789.32</v>
      </c>
      <c r="L796" s="18">
        <v>58.74</v>
      </c>
      <c r="M796" s="18">
        <v>154.52000000000001</v>
      </c>
      <c r="O796" s="19">
        <f ca="1">IF('Stock Price'!$I$11="OK",B796/INDEX(B$5:B$1258,'Stock Price'!$I$9)-1,"")</f>
        <v>0.65409551639119701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2.4180054561988484</v>
      </c>
      <c r="Y796" s="19">
        <f ca="1">IF('Stock Price'!$I$11="OK",L796/INDEX(L$5:L$1258,'Stock Price'!$I$9)-1,"")</f>
        <v>-6.9315300084530351E-3</v>
      </c>
      <c r="Z796" s="19">
        <f ca="1">IF('Stock Price'!$I$11="OK",M796/INDEX(M$5:M$1258,'Stock Price'!$I$9)-1,"")</f>
        <v>-3.1708234114550704E-2</v>
      </c>
    </row>
    <row r="797" spans="1:26" x14ac:dyDescent="0.2">
      <c r="A797" s="16">
        <f>'Stock Price'!A797</f>
        <v>45623</v>
      </c>
      <c r="B797" s="17">
        <f>'Stock Price'!E797</f>
        <v>183.08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788.19</v>
      </c>
      <c r="L797" s="18">
        <v>59.27</v>
      </c>
      <c r="M797" s="18">
        <v>155.4</v>
      </c>
      <c r="O797" s="19">
        <f ca="1">IF('Stock Price'!$I$11="OK",B797/INDEX(B$5:B$1258,'Stock Price'!$I$9)-1,"")</f>
        <v>0.67181079353483697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2.4131121985017105</v>
      </c>
      <c r="Y797" s="19">
        <f ca="1">IF('Stock Price'!$I$11="OK",L797/INDEX(L$5:L$1258,'Stock Price'!$I$9)-1,"")</f>
        <v>2.0287404902790129E-3</v>
      </c>
      <c r="Z797" s="19">
        <f ca="1">IF('Stock Price'!$I$11="OK",M797/INDEX(M$5:M$1258,'Stock Price'!$I$9)-1,"")</f>
        <v>-2.6193758616367968E-2</v>
      </c>
    </row>
    <row r="798" spans="1:26" x14ac:dyDescent="0.2">
      <c r="A798" s="16">
        <f>'Stock Price'!A798</f>
        <v>45625</v>
      </c>
      <c r="B798" s="17">
        <f>'Stock Price'!E798</f>
        <v>182.93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795.35</v>
      </c>
      <c r="L798" s="18">
        <v>59.22</v>
      </c>
      <c r="M798" s="18">
        <v>155.01</v>
      </c>
      <c r="O798" s="19">
        <f ca="1">IF('Stock Price'!$I$11="OK",B798/INDEX(B$5:B$1258,'Stock Price'!$I$9)-1,"")</f>
        <v>0.67044105561135958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2.4441172649720695</v>
      </c>
      <c r="Y798" s="19">
        <f ca="1">IF('Stock Price'!$I$11="OK",L798/INDEX(L$5:L$1258,'Stock Price'!$I$9)-1,"")</f>
        <v>1.1834319526626835E-3</v>
      </c>
      <c r="Z798" s="19">
        <f ca="1">IF('Stock Price'!$I$11="OK",M798/INDEX(M$5:M$1258,'Stock Price'!$I$9)-1,"")</f>
        <v>-2.863767389397176E-2</v>
      </c>
    </row>
    <row r="799" spans="1:26" x14ac:dyDescent="0.2">
      <c r="A799" s="16">
        <f>'Stock Price'!A799</f>
        <v>45628</v>
      </c>
      <c r="B799" s="17">
        <f>'Stock Price'!E799</f>
        <v>181.77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799.8</v>
      </c>
      <c r="L799" s="18">
        <v>59.94</v>
      </c>
      <c r="M799" s="18">
        <v>154.80000000000001</v>
      </c>
      <c r="O799" s="19">
        <f ca="1">IF('Stock Price'!$I$11="OK",B799/INDEX(B$5:B$1258,'Stock Price'!$I$9)-1,"")</f>
        <v>0.6598484156698019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2.4633871736023902</v>
      </c>
      <c r="Y799" s="19">
        <f ca="1">IF('Stock Price'!$I$11="OK",L799/INDEX(L$5:L$1258,'Stock Price'!$I$9)-1,"")</f>
        <v>1.3355874894336317E-2</v>
      </c>
      <c r="Z799" s="19">
        <f ca="1">IF('Stock Price'!$I$11="OK",M799/INDEX(M$5:M$1258,'Stock Price'!$I$9)-1,"")</f>
        <v>-2.9953628274219879E-2</v>
      </c>
    </row>
    <row r="800" spans="1:26" x14ac:dyDescent="0.2">
      <c r="A800" s="16">
        <f>'Stock Price'!A800</f>
        <v>45629</v>
      </c>
      <c r="B800" s="17">
        <f>'Stock Price'!E800</f>
        <v>181.5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813.33</v>
      </c>
      <c r="L800" s="18">
        <v>58.69</v>
      </c>
      <c r="M800" s="18">
        <v>152.36000000000001</v>
      </c>
      <c r="O800" s="19">
        <f ca="1">IF('Stock Price'!$I$11="OK",B800/INDEX(B$5:B$1258,'Stock Price'!$I$9)-1,"")</f>
        <v>0.65738288740754269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2.521976356471658</v>
      </c>
      <c r="Y800" s="19">
        <f ca="1">IF('Stock Price'!$I$11="OK",L800/INDEX(L$5:L$1258,'Stock Price'!$I$9)-1,"")</f>
        <v>-7.7768385460693645E-3</v>
      </c>
      <c r="Z800" s="19">
        <f ca="1">IF('Stock Price'!$I$11="OK",M800/INDEX(M$5:M$1258,'Stock Price'!$I$9)-1,"")</f>
        <v>-4.5243764882817339E-2</v>
      </c>
    </row>
    <row r="801" spans="1:26" x14ac:dyDescent="0.2">
      <c r="A801" s="16">
        <f>'Stock Price'!A801</f>
        <v>45630</v>
      </c>
      <c r="B801" s="17">
        <f>'Stock Price'!E801</f>
        <v>176.46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829.84</v>
      </c>
      <c r="L801" s="18">
        <v>58.37</v>
      </c>
      <c r="M801" s="18">
        <v>150.47</v>
      </c>
      <c r="O801" s="19">
        <f ca="1">IF('Stock Price'!$I$11="OK",B801/INDEX(B$5:B$1258,'Stock Price'!$I$9)-1,"")</f>
        <v>0.61135969317870509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2.5934698826484217</v>
      </c>
      <c r="Y801" s="19">
        <f ca="1">IF('Stock Price'!$I$11="OK",L801/INDEX(L$5:L$1258,'Stock Price'!$I$9)-1,"")</f>
        <v>-1.3186813186813251E-2</v>
      </c>
      <c r="Z801" s="19">
        <f ca="1">IF('Stock Price'!$I$11="OK",M801/INDEX(M$5:M$1258,'Stock Price'!$I$9)-1,"")</f>
        <v>-5.7087354305050853E-2</v>
      </c>
    </row>
    <row r="802" spans="1:26" x14ac:dyDescent="0.2">
      <c r="A802" s="16">
        <f>'Stock Price'!A802</f>
        <v>45631</v>
      </c>
      <c r="B802" s="17">
        <f>'Stock Price'!E802</f>
        <v>176.17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825.62</v>
      </c>
      <c r="L802" s="18">
        <v>58.84</v>
      </c>
      <c r="M802" s="18">
        <v>149.52000000000001</v>
      </c>
      <c r="O802" s="19">
        <f ca="1">IF('Stock Price'!$I$11="OK",B802/INDEX(B$5:B$1258,'Stock Price'!$I$9)-1,"")</f>
        <v>0.6087115331933155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2.5751959468237127</v>
      </c>
      <c r="Y802" s="19">
        <f ca="1">IF('Stock Price'!$I$11="OK",L802/INDEX(L$5:L$1258,'Stock Price'!$I$9)-1,"")</f>
        <v>-5.2409129332205984E-3</v>
      </c>
      <c r="Z802" s="19">
        <f ca="1">IF('Stock Price'!$I$11="OK",M802/INDEX(M$5:M$1258,'Stock Price'!$I$9)-1,"")</f>
        <v>-6.3040481263316184E-2</v>
      </c>
    </row>
    <row r="803" spans="1:26" x14ac:dyDescent="0.2">
      <c r="A803" s="16">
        <f>'Stock Price'!A803</f>
        <v>45632</v>
      </c>
      <c r="B803" s="17">
        <f>'Stock Price'!E803</f>
        <v>176.19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826.71</v>
      </c>
      <c r="L803" s="18">
        <v>59.38</v>
      </c>
      <c r="M803" s="18">
        <v>149.31</v>
      </c>
      <c r="O803" s="19">
        <f ca="1">IF('Stock Price'!$I$11="OK",B803/INDEX(B$5:B$1258,'Stock Price'!$I$9)-1,"")</f>
        <v>0.60889416491644588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2.5799159918590049</v>
      </c>
      <c r="Y803" s="19">
        <f ca="1">IF('Stock Price'!$I$11="OK",L803/INDEX(L$5:L$1258,'Stock Price'!$I$9)-1,"")</f>
        <v>3.8884192730346268E-3</v>
      </c>
      <c r="Z803" s="19">
        <f ca="1">IF('Stock Price'!$I$11="OK",M803/INDEX(M$5:M$1258,'Stock Price'!$I$9)-1,"")</f>
        <v>-6.4356435643564414E-2</v>
      </c>
    </row>
    <row r="804" spans="1:26" x14ac:dyDescent="0.2">
      <c r="A804" s="16">
        <f>'Stock Price'!A804</f>
        <v>45635</v>
      </c>
      <c r="B804" s="17">
        <f>'Stock Price'!E804</f>
        <v>176.57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803.58</v>
      </c>
      <c r="L804" s="18">
        <v>58.71</v>
      </c>
      <c r="M804" s="18">
        <v>149.6</v>
      </c>
      <c r="O804" s="19">
        <f ca="1">IF('Stock Price'!$I$11="OK",B804/INDEX(B$5:B$1258,'Stock Price'!$I$9)-1,"")</f>
        <v>0.61236416765592172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2.4797557701467978</v>
      </c>
      <c r="Y804" s="19">
        <f ca="1">IF('Stock Price'!$I$11="OK",L804/INDEX(L$5:L$1258,'Stock Price'!$I$9)-1,"")</f>
        <v>-7.4387151310227884E-3</v>
      </c>
      <c r="Z804" s="19">
        <f ca="1">IF('Stock Price'!$I$11="OK",M804/INDEX(M$5:M$1258,'Stock Price'!$I$9)-1,"")</f>
        <v>-6.2539165308936107E-2</v>
      </c>
    </row>
    <row r="805" spans="1:26" x14ac:dyDescent="0.2">
      <c r="A805" s="16">
        <f>'Stock Price'!A805</f>
        <v>45636</v>
      </c>
      <c r="B805" s="17">
        <f>'Stock Price'!E805</f>
        <v>175.67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799.58</v>
      </c>
      <c r="L805" s="18">
        <v>58.12</v>
      </c>
      <c r="M805" s="18">
        <v>149.22999999999999</v>
      </c>
      <c r="O805" s="19">
        <f ca="1">IF('Stock Price'!$I$11="OK",B805/INDEX(B$5:B$1258,'Stock Price'!$I$9)-1,"")</f>
        <v>0.60414574011505784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2.4624345039622395</v>
      </c>
      <c r="Y805" s="19">
        <f ca="1">IF('Stock Price'!$I$11="OK",L805/INDEX(L$5:L$1258,'Stock Price'!$I$9)-1,"")</f>
        <v>-1.7413355874894343E-2</v>
      </c>
      <c r="Z805" s="19">
        <f ca="1">IF('Stock Price'!$I$11="OK",M805/INDEX(M$5:M$1258,'Stock Price'!$I$9)-1,"")</f>
        <v>-6.4857751597944713E-2</v>
      </c>
    </row>
    <row r="806" spans="1:26" x14ac:dyDescent="0.2">
      <c r="A806" s="16">
        <f>'Stock Price'!A806</f>
        <v>45637</v>
      </c>
      <c r="B806" s="17">
        <f>'Stock Price'!E806</f>
        <v>174.37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796.03</v>
      </c>
      <c r="L806" s="18">
        <v>56.65</v>
      </c>
      <c r="M806" s="18">
        <v>146.63999999999999</v>
      </c>
      <c r="O806" s="19">
        <f ca="1">IF('Stock Price'!$I$11="OK",B806/INDEX(B$5:B$1258,'Stock Price'!$I$9)-1,"")</f>
        <v>0.59227467811158796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2.4470618802234441</v>
      </c>
      <c r="Y806" s="19">
        <f ca="1">IF('Stock Price'!$I$11="OK",L806/INDEX(L$5:L$1258,'Stock Price'!$I$9)-1,"")</f>
        <v>-4.2265426880811474E-2</v>
      </c>
      <c r="Z806" s="19">
        <f ca="1">IF('Stock Price'!$I$11="OK",M806/INDEX(M$5:M$1258,'Stock Price'!$I$9)-1,"")</f>
        <v>-8.1087855621005289E-2</v>
      </c>
    </row>
    <row r="807" spans="1:26" x14ac:dyDescent="0.2">
      <c r="A807" s="16">
        <f>'Stock Price'!A807</f>
        <v>45638</v>
      </c>
      <c r="B807" s="17">
        <f>'Stock Price'!E807</f>
        <v>173.19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782.35</v>
      </c>
      <c r="L807" s="18">
        <v>56.28</v>
      </c>
      <c r="M807" s="18">
        <v>146.24</v>
      </c>
      <c r="O807" s="19">
        <f ca="1">IF('Stock Price'!$I$11="OK",B807/INDEX(B$5:B$1258,'Stock Price'!$I$9)-1,"")</f>
        <v>0.58149940644689968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2.3878231498722555</v>
      </c>
      <c r="Y807" s="19">
        <f ca="1">IF('Stock Price'!$I$11="OK",L807/INDEX(L$5:L$1258,'Stock Price'!$I$9)-1,"")</f>
        <v>-4.8520710059171579E-2</v>
      </c>
      <c r="Z807" s="19">
        <f ca="1">IF('Stock Price'!$I$11="OK",M807/INDEX(M$5:M$1258,'Stock Price'!$I$9)-1,"")</f>
        <v>-8.3594435392906341E-2</v>
      </c>
    </row>
    <row r="808" spans="1:26" x14ac:dyDescent="0.2">
      <c r="A808" s="16">
        <f>'Stock Price'!A808</f>
        <v>45639</v>
      </c>
      <c r="B808" s="17">
        <f>'Stock Price'!E808</f>
        <v>173.37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789.12</v>
      </c>
      <c r="L808" s="18">
        <v>55.78</v>
      </c>
      <c r="M808" s="18">
        <v>146.62</v>
      </c>
      <c r="O808" s="19">
        <f ca="1">IF('Stock Price'!$I$11="OK",B808/INDEX(B$5:B$1258,'Stock Price'!$I$9)-1,"")</f>
        <v>0.58314309195507263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2.4171393928896201</v>
      </c>
      <c r="Y808" s="19">
        <f ca="1">IF('Stock Price'!$I$11="OK",L808/INDEX(L$5:L$1258,'Stock Price'!$I$9)-1,"")</f>
        <v>-5.6973795435333874E-2</v>
      </c>
      <c r="Z808" s="19">
        <f ca="1">IF('Stock Price'!$I$11="OK",M808/INDEX(M$5:M$1258,'Stock Price'!$I$9)-1,"")</f>
        <v>-8.1213184609600253E-2</v>
      </c>
    </row>
    <row r="809" spans="1:26" x14ac:dyDescent="0.2">
      <c r="A809" s="16">
        <f>'Stock Price'!A809</f>
        <v>45642</v>
      </c>
      <c r="B809" s="17">
        <f>'Stock Price'!E809</f>
        <v>171.63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779</v>
      </c>
      <c r="L809" s="18">
        <v>55.87</v>
      </c>
      <c r="M809" s="18">
        <v>143.85</v>
      </c>
      <c r="O809" s="19">
        <f ca="1">IF('Stock Price'!$I$11="OK",B809/INDEX(B$5:B$1258,'Stock Price'!$I$9)-1,"")</f>
        <v>0.56725413204273578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2.373316589442688</v>
      </c>
      <c r="Y809" s="19">
        <f ca="1">IF('Stock Price'!$I$11="OK",L809/INDEX(L$5:L$1258,'Stock Price'!$I$9)-1,"")</f>
        <v>-5.5452240067624725E-2</v>
      </c>
      <c r="Z809" s="19">
        <f ca="1">IF('Stock Price'!$I$11="OK",M809/INDEX(M$5:M$1258,'Stock Price'!$I$9)-1,"")</f>
        <v>-9.8571249530016392E-2</v>
      </c>
    </row>
    <row r="810" spans="1:26" x14ac:dyDescent="0.2">
      <c r="A810" s="16">
        <f>'Stock Price'!A810</f>
        <v>45643</v>
      </c>
      <c r="B810" s="17">
        <f>'Stock Price'!E810</f>
        <v>175.38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778.62</v>
      </c>
      <c r="L810" s="18">
        <v>57.65</v>
      </c>
      <c r="M810" s="18">
        <v>146.41</v>
      </c>
      <c r="O810" s="19">
        <f ca="1">IF('Stock Price'!$I$11="OK",B810/INDEX(B$5:B$1258,'Stock Price'!$I$9)-1,"")</f>
        <v>0.60149758012966847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2.371671069155155</v>
      </c>
      <c r="Y810" s="19">
        <f ca="1">IF('Stock Price'!$I$11="OK",L810/INDEX(L$5:L$1258,'Stock Price'!$I$9)-1,"")</f>
        <v>-2.5359256128486884E-2</v>
      </c>
      <c r="Z810" s="19">
        <f ca="1">IF('Stock Price'!$I$11="OK",M810/INDEX(M$5:M$1258,'Stock Price'!$I$9)-1,"")</f>
        <v>-8.2529138989848483E-2</v>
      </c>
    </row>
    <row r="811" spans="1:26" x14ac:dyDescent="0.2">
      <c r="A811" s="16">
        <f>'Stock Price'!A811</f>
        <v>45644</v>
      </c>
      <c r="B811" s="17">
        <f>'Stock Price'!E811</f>
        <v>173.02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764.71</v>
      </c>
      <c r="L811" s="18">
        <v>56.84</v>
      </c>
      <c r="M811" s="18">
        <v>144.75</v>
      </c>
      <c r="O811" s="19">
        <f ca="1">IF('Stock Price'!$I$11="OK",B811/INDEX(B$5:B$1258,'Stock Price'!$I$9)-1,"")</f>
        <v>0.57994703680029214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2.3114363659983543</v>
      </c>
      <c r="Y811" s="19">
        <f ca="1">IF('Stock Price'!$I$11="OK",L811/INDEX(L$5:L$1258,'Stock Price'!$I$9)-1,"")</f>
        <v>-3.9053254437869778E-2</v>
      </c>
      <c r="Z811" s="19">
        <f ca="1">IF('Stock Price'!$I$11="OK",M811/INDEX(M$5:M$1258,'Stock Price'!$I$9)-1,"")</f>
        <v>-9.2931445043238581E-2</v>
      </c>
    </row>
    <row r="812" spans="1:26" x14ac:dyDescent="0.2">
      <c r="A812" s="16">
        <f>'Stock Price'!A812</f>
        <v>45645</v>
      </c>
      <c r="B812" s="17">
        <f>'Stock Price'!E812</f>
        <v>171.52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757.54</v>
      </c>
      <c r="L812" s="18">
        <v>56.3</v>
      </c>
      <c r="M812" s="18">
        <v>143.58000000000001</v>
      </c>
      <c r="O812" s="19">
        <f ca="1">IF('Stock Price'!$I$11="OK",B812/INDEX(B$5:B$1258,'Stock Price'!$I$9)-1,"")</f>
        <v>0.56624965756551915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2.280387996362534</v>
      </c>
      <c r="Y812" s="19">
        <f ca="1">IF('Stock Price'!$I$11="OK",L812/INDEX(L$5:L$1258,'Stock Price'!$I$9)-1,"")</f>
        <v>-4.8182586644125114E-2</v>
      </c>
      <c r="Z812" s="19">
        <f ca="1">IF('Stock Price'!$I$11="OK",M812/INDEX(M$5:M$1258,'Stock Price'!$I$9)-1,"")</f>
        <v>-0.10026319087604962</v>
      </c>
    </row>
    <row r="813" spans="1:26" x14ac:dyDescent="0.2">
      <c r="A813" s="16">
        <f>'Stock Price'!A813</f>
        <v>45646</v>
      </c>
      <c r="B813" s="17">
        <f>'Stock Price'!E813</f>
        <v>175.58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767.76</v>
      </c>
      <c r="L813" s="18">
        <v>57.33</v>
      </c>
      <c r="M813" s="18">
        <v>144.47</v>
      </c>
      <c r="O813" s="19">
        <f ca="1">IF('Stock Price'!$I$11="OK",B813/INDEX(B$5:B$1258,'Stock Price'!$I$9)-1,"")</f>
        <v>0.60332389736097158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2.3246438314640798</v>
      </c>
      <c r="Y813" s="19">
        <f ca="1">IF('Stock Price'!$I$11="OK",L813/INDEX(L$5:L$1258,'Stock Price'!$I$9)-1,"")</f>
        <v>-3.0769230769230771E-2</v>
      </c>
      <c r="Z813" s="19">
        <f ca="1">IF('Stock Price'!$I$11="OK",M813/INDEX(M$5:M$1258,'Stock Price'!$I$9)-1,"")</f>
        <v>-9.4686050883569406E-2</v>
      </c>
    </row>
    <row r="814" spans="1:26" x14ac:dyDescent="0.2">
      <c r="A814" s="16">
        <f>'Stock Price'!A814</f>
        <v>45649</v>
      </c>
      <c r="B814" s="17">
        <f>'Stock Price'!E814</f>
        <v>178.39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796.28</v>
      </c>
      <c r="L814" s="18">
        <v>57.58</v>
      </c>
      <c r="M814" s="18">
        <v>145.27000000000001</v>
      </c>
      <c r="O814" s="19">
        <f ca="1">IF('Stock Price'!$I$11="OK",B814/INDEX(B$5:B$1258,'Stock Price'!$I$9)-1,"")</f>
        <v>0.62898365446077964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2.448144459359979</v>
      </c>
      <c r="Y814" s="19">
        <f ca="1">IF('Stock Price'!$I$11="OK",L814/INDEX(L$5:L$1258,'Stock Price'!$I$9)-1,"")</f>
        <v>-2.6542688081149679E-2</v>
      </c>
      <c r="Z814" s="19">
        <f ca="1">IF('Stock Price'!$I$11="OK",M814/INDEX(M$5:M$1258,'Stock Price'!$I$9)-1,"")</f>
        <v>-8.9672891339766858E-2</v>
      </c>
    </row>
    <row r="815" spans="1:26" x14ac:dyDescent="0.2">
      <c r="A815" s="16">
        <f>'Stock Price'!A815</f>
        <v>45650</v>
      </c>
      <c r="B815" s="17">
        <f>'Stock Price'!E815</f>
        <v>180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795.67</v>
      </c>
      <c r="L815" s="18">
        <v>57.76</v>
      </c>
      <c r="M815" s="18">
        <v>145.85</v>
      </c>
      <c r="O815" s="19">
        <f ca="1">IF('Stock Price'!$I$11="OK",B815/INDEX(B$5:B$1258,'Stock Price'!$I$9)-1,"")</f>
        <v>0.64368550817276948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2.4455029662668339</v>
      </c>
      <c r="Y815" s="19">
        <f ca="1">IF('Stock Price'!$I$11="OK",L815/INDEX(L$5:L$1258,'Stock Price'!$I$9)-1,"")</f>
        <v>-2.349957734573116E-2</v>
      </c>
      <c r="Z815" s="19">
        <f ca="1">IF('Stock Price'!$I$11="OK",M815/INDEX(M$5:M$1258,'Stock Price'!$I$9)-1,"")</f>
        <v>-8.6038350670510244E-2</v>
      </c>
    </row>
    <row r="816" spans="1:26" x14ac:dyDescent="0.2">
      <c r="A816" s="16">
        <f>'Stock Price'!A816</f>
        <v>45652</v>
      </c>
      <c r="B816" s="17">
        <f>'Stock Price'!E816</f>
        <v>179.2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794.14</v>
      </c>
      <c r="L816" s="18">
        <v>58</v>
      </c>
      <c r="M816" s="18">
        <v>145.58000000000001</v>
      </c>
      <c r="O816" s="19">
        <f ca="1">IF('Stock Price'!$I$11="OK",B816/INDEX(B$5:B$1258,'Stock Price'!$I$9)-1,"")</f>
        <v>0.63638023924755704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2.4388775819512403</v>
      </c>
      <c r="Y816" s="19">
        <f ca="1">IF('Stock Price'!$I$11="OK",L816/INDEX(L$5:L$1258,'Stock Price'!$I$9)-1,"")</f>
        <v>-1.9442096365173245E-2</v>
      </c>
      <c r="Z816" s="19">
        <f ca="1">IF('Stock Price'!$I$11="OK",M816/INDEX(M$5:M$1258,'Stock Price'!$I$9)-1,"")</f>
        <v>-8.7730292016543365E-2</v>
      </c>
    </row>
    <row r="817" spans="1:26" x14ac:dyDescent="0.2">
      <c r="A817" s="16">
        <f>'Stock Price'!A817</f>
        <v>45653</v>
      </c>
      <c r="B817" s="17">
        <f>'Stock Price'!E817</f>
        <v>178.01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783.17</v>
      </c>
      <c r="L817" s="18">
        <v>57.68</v>
      </c>
      <c r="M817" s="18">
        <v>145.05000000000001</v>
      </c>
      <c r="O817" s="19">
        <f ca="1">IF('Stock Price'!$I$11="OK",B817/INDEX(B$5:B$1258,'Stock Price'!$I$9)-1,"")</f>
        <v>0.6255136517213038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2.3913740094400899</v>
      </c>
      <c r="Y817" s="19">
        <f ca="1">IF('Stock Price'!$I$11="OK",L817/INDEX(L$5:L$1258,'Stock Price'!$I$9)-1,"")</f>
        <v>-2.4852071005917131E-2</v>
      </c>
      <c r="Z817" s="19">
        <f ca="1">IF('Stock Price'!$I$11="OK",M817/INDEX(M$5:M$1258,'Stock Price'!$I$9)-1,"")</f>
        <v>-9.105151021431257E-2</v>
      </c>
    </row>
    <row r="818" spans="1:26" x14ac:dyDescent="0.2">
      <c r="A818" s="16">
        <f>'Stock Price'!A818</f>
        <v>45656</v>
      </c>
      <c r="B818" s="17">
        <f>'Stock Price'!E818</f>
        <v>176.2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773.84</v>
      </c>
      <c r="L818" s="18">
        <v>56.06</v>
      </c>
      <c r="M818" s="18">
        <v>143.34</v>
      </c>
      <c r="O818" s="19">
        <f ca="1">IF('Stock Price'!$I$11="OK",B818/INDEX(B$5:B$1258,'Stock Price'!$I$9)-1,"")</f>
        <v>0.60898548077801107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2.3509721560646084</v>
      </c>
      <c r="Y818" s="19">
        <f ca="1">IF('Stock Price'!$I$11="OK",L818/INDEX(L$5:L$1258,'Stock Price'!$I$9)-1,"")</f>
        <v>-5.2240067624682918E-2</v>
      </c>
      <c r="Z818" s="19">
        <f ca="1">IF('Stock Price'!$I$11="OK",M818/INDEX(M$5:M$1258,'Stock Price'!$I$9)-1,"")</f>
        <v>-0.10176713873919041</v>
      </c>
    </row>
    <row r="819" spans="1:26" x14ac:dyDescent="0.2">
      <c r="A819" s="16">
        <f>'Stock Price'!A819</f>
        <v>45657</v>
      </c>
      <c r="B819" s="17">
        <f>'Stock Price'!E819</f>
        <v>177.7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772</v>
      </c>
      <c r="L819" s="18">
        <v>56.56</v>
      </c>
      <c r="M819" s="18">
        <v>144.62</v>
      </c>
      <c r="O819" s="19">
        <f ca="1">IF('Stock Price'!$I$11="OK",B819/INDEX(B$5:B$1258,'Stock Price'!$I$9)-1,"")</f>
        <v>0.62268286001278406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2.3430043736197117</v>
      </c>
      <c r="Y819" s="19">
        <f ca="1">IF('Stock Price'!$I$11="OK",L819/INDEX(L$5:L$1258,'Stock Price'!$I$9)-1,"")</f>
        <v>-4.3786982248520623E-2</v>
      </c>
      <c r="Z819" s="19">
        <f ca="1">IF('Stock Price'!$I$11="OK",M819/INDEX(M$5:M$1258,'Stock Price'!$I$9)-1,"")</f>
        <v>-9.37460834691064E-2</v>
      </c>
    </row>
    <row r="820" spans="1:26" x14ac:dyDescent="0.2">
      <c r="A820" s="16">
        <f>'Stock Price'!A820</f>
        <v>45659</v>
      </c>
      <c r="B820" s="17">
        <f>'Stock Price'!E820</f>
        <v>179.44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778.07</v>
      </c>
      <c r="L820" s="18">
        <v>56.79</v>
      </c>
      <c r="M820" s="18">
        <v>144.02000000000001</v>
      </c>
      <c r="O820" s="19">
        <f ca="1">IF('Stock Price'!$I$11="OK",B820/INDEX(B$5:B$1258,'Stock Price'!$I$9)-1,"")</f>
        <v>0.63857181992512091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2.3692893950547784</v>
      </c>
      <c r="Y820" s="19">
        <f ca="1">IF('Stock Price'!$I$11="OK",L820/INDEX(L$5:L$1258,'Stock Price'!$I$9)-1,"")</f>
        <v>-3.9898562975485996E-2</v>
      </c>
      <c r="Z820" s="19">
        <f ca="1">IF('Stock Price'!$I$11="OK",M820/INDEX(M$5:M$1258,'Stock Price'!$I$9)-1,"")</f>
        <v>-9.7505953126958311E-2</v>
      </c>
    </row>
    <row r="821" spans="1:26" x14ac:dyDescent="0.2">
      <c r="A821" s="16">
        <f>'Stock Price'!A821</f>
        <v>45660</v>
      </c>
      <c r="B821" s="17">
        <f>'Stock Price'!E821</f>
        <v>181.22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781.98</v>
      </c>
      <c r="L821" s="18">
        <v>56.57</v>
      </c>
      <c r="M821" s="18">
        <v>144.19</v>
      </c>
      <c r="O821" s="19">
        <f ca="1">IF('Stock Price'!$I$11="OK",B821/INDEX(B$5:B$1258,'Stock Price'!$I$9)-1,"")</f>
        <v>0.6548260432837183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2.386220932750184</v>
      </c>
      <c r="Y821" s="19">
        <f ca="1">IF('Stock Price'!$I$11="OK",L821/INDEX(L$5:L$1258,'Stock Price'!$I$9)-1,"")</f>
        <v>-4.3617920540997446E-2</v>
      </c>
      <c r="Z821" s="19">
        <f ca="1">IF('Stock Price'!$I$11="OK",M821/INDEX(M$5:M$1258,'Stock Price'!$I$9)-1,"")</f>
        <v>-9.6440656723900342E-2</v>
      </c>
    </row>
    <row r="822" spans="1:26" x14ac:dyDescent="0.2">
      <c r="A822" s="16">
        <f>'Stock Price'!A822</f>
        <v>45663</v>
      </c>
      <c r="B822" s="17">
        <f>'Stock Price'!E822</f>
        <v>180.1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765.1</v>
      </c>
      <c r="L822" s="18">
        <v>56.68</v>
      </c>
      <c r="M822" s="18">
        <v>143.66</v>
      </c>
      <c r="O822" s="19">
        <f ca="1">IF('Stock Price'!$I$11="OK",B822/INDEX(B$5:B$1258,'Stock Price'!$I$9)-1,"")</f>
        <v>0.64459866678842093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2.3131251894513487</v>
      </c>
      <c r="Y822" s="19">
        <f ca="1">IF('Stock Price'!$I$11="OK",L822/INDEX(L$5:L$1258,'Stock Price'!$I$9)-1,"")</f>
        <v>-4.1758241758241721E-2</v>
      </c>
      <c r="Z822" s="19">
        <f ca="1">IF('Stock Price'!$I$11="OK",M822/INDEX(M$5:M$1258,'Stock Price'!$I$9)-1,"")</f>
        <v>-9.9761874921669436E-2</v>
      </c>
    </row>
    <row r="823" spans="1:26" x14ac:dyDescent="0.2">
      <c r="A823" s="16">
        <f>'Stock Price'!A823</f>
        <v>45664</v>
      </c>
      <c r="B823" s="17">
        <f>'Stock Price'!E823</f>
        <v>179.53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773.29</v>
      </c>
      <c r="L823" s="18">
        <v>57.14</v>
      </c>
      <c r="M823" s="18">
        <v>146.22999999999999</v>
      </c>
      <c r="O823" s="19">
        <f ca="1">IF('Stock Price'!$I$11="OK",B823/INDEX(B$5:B$1258,'Stock Price'!$I$9)-1,"")</f>
        <v>0.63939366267920739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2.3485904819642314</v>
      </c>
      <c r="Y823" s="19">
        <f ca="1">IF('Stock Price'!$I$11="OK",L823/INDEX(L$5:L$1258,'Stock Price'!$I$9)-1,"")</f>
        <v>-3.3981403212172356E-2</v>
      </c>
      <c r="Z823" s="19">
        <f ca="1">IF('Stock Price'!$I$11="OK",M823/INDEX(M$5:M$1258,'Stock Price'!$I$9)-1,"")</f>
        <v>-8.3657099887204045E-2</v>
      </c>
    </row>
    <row r="824" spans="1:26" x14ac:dyDescent="0.2">
      <c r="A824" s="16">
        <f>'Stock Price'!A824</f>
        <v>45665</v>
      </c>
      <c r="B824" s="17">
        <f>'Stock Price'!E824</f>
        <v>178.5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787.22</v>
      </c>
      <c r="L824" s="18">
        <v>56.81</v>
      </c>
      <c r="M824" s="18">
        <v>142.27000000000001</v>
      </c>
      <c r="O824" s="19">
        <f ca="1">IF('Stock Price'!$I$11="OK",B824/INDEX(B$5:B$1258,'Stock Price'!$I$9)-1,"")</f>
        <v>0.62998812893799649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2.4089117914519553</v>
      </c>
      <c r="Y824" s="19">
        <f ca="1">IF('Stock Price'!$I$11="OK",L824/INDEX(L$5:L$1258,'Stock Price'!$I$9)-1,"")</f>
        <v>-3.9560439560439531E-2</v>
      </c>
      <c r="Z824" s="19">
        <f ca="1">IF('Stock Price'!$I$11="OK",M824/INDEX(M$5:M$1258,'Stock Price'!$I$9)-1,"")</f>
        <v>-0.10847223962902619</v>
      </c>
    </row>
    <row r="825" spans="1:26" x14ac:dyDescent="0.2">
      <c r="A825" s="16">
        <f>'Stock Price'!A825</f>
        <v>45667</v>
      </c>
      <c r="B825" s="17">
        <f>'Stock Price'!E825</f>
        <v>175.17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799.9</v>
      </c>
      <c r="L825" s="18">
        <v>55.83</v>
      </c>
      <c r="M825" s="18">
        <v>142.06</v>
      </c>
      <c r="O825" s="19">
        <f ca="1">IF('Stock Price'!$I$11="OK",B825/INDEX(B$5:B$1258,'Stock Price'!$I$9)-1,"")</f>
        <v>0.59957994703680018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2.463820205257004</v>
      </c>
      <c r="Y825" s="19">
        <f ca="1">IF('Stock Price'!$I$11="OK",L825/INDEX(L$5:L$1258,'Stock Price'!$I$9)-1,"")</f>
        <v>-5.6128486897717655E-2</v>
      </c>
      <c r="Z825" s="19">
        <f ca="1">IF('Stock Price'!$I$11="OK",M825/INDEX(M$5:M$1258,'Stock Price'!$I$9)-1,"")</f>
        <v>-0.10978819400927442</v>
      </c>
    </row>
    <row r="826" spans="1:26" x14ac:dyDescent="0.2">
      <c r="A826" s="16">
        <f>'Stock Price'!A826</f>
        <v>45670</v>
      </c>
      <c r="B826" s="17">
        <f>'Stock Price'!E826</f>
        <v>176.74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797.48</v>
      </c>
      <c r="L826" s="18">
        <v>55.36</v>
      </c>
      <c r="M826" s="18">
        <v>144.47</v>
      </c>
      <c r="O826" s="19">
        <f ca="1">IF('Stock Price'!$I$11="OK",B826/INDEX(B$5:B$1258,'Stock Price'!$I$9)-1,"")</f>
        <v>0.61391653730252949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2.4533408392153464</v>
      </c>
      <c r="Y826" s="19">
        <f ca="1">IF('Stock Price'!$I$11="OK",L826/INDEX(L$5:L$1258,'Stock Price'!$I$9)-1,"")</f>
        <v>-6.4074387151310197E-2</v>
      </c>
      <c r="Z826" s="19">
        <f ca="1">IF('Stock Price'!$I$11="OK",M826/INDEX(M$5:M$1258,'Stock Price'!$I$9)-1,"")</f>
        <v>-9.4686050883569406E-2</v>
      </c>
    </row>
    <row r="827" spans="1:26" x14ac:dyDescent="0.2">
      <c r="A827" s="16">
        <f>'Stock Price'!A827</f>
        <v>45671</v>
      </c>
      <c r="B827" s="17">
        <f>'Stock Price'!E827</f>
        <v>175.55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744.91</v>
      </c>
      <c r="L827" s="18">
        <v>55.74</v>
      </c>
      <c r="M827" s="18">
        <v>144.75</v>
      </c>
      <c r="O827" s="19">
        <f ca="1">IF('Stock Price'!$I$11="OK",B827/INDEX(B$5:B$1258,'Stock Price'!$I$9)-1,"")</f>
        <v>0.60304994977627624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2.2256960983847915</v>
      </c>
      <c r="Y827" s="19">
        <f ca="1">IF('Stock Price'!$I$11="OK",L827/INDEX(L$5:L$1258,'Stock Price'!$I$9)-1,"")</f>
        <v>-5.7650042265426804E-2</v>
      </c>
      <c r="Z827" s="19">
        <f ca="1">IF('Stock Price'!$I$11="OK",M827/INDEX(M$5:M$1258,'Stock Price'!$I$9)-1,"")</f>
        <v>-9.2931445043238581E-2</v>
      </c>
    </row>
    <row r="828" spans="1:26" x14ac:dyDescent="0.2">
      <c r="A828" s="16">
        <f>'Stock Price'!A828</f>
        <v>45672</v>
      </c>
      <c r="B828" s="17">
        <f>'Stock Price'!E828</f>
        <v>171.35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746.74</v>
      </c>
      <c r="L828" s="18">
        <v>55.91</v>
      </c>
      <c r="M828" s="18">
        <v>144.97</v>
      </c>
      <c r="O828" s="19">
        <f ca="1">IF('Stock Price'!$I$11="OK",B828/INDEX(B$5:B$1258,'Stock Price'!$I$9)-1,"")</f>
        <v>0.56469728791891138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2.2336205776642273</v>
      </c>
      <c r="Y828" s="19">
        <f ca="1">IF('Stock Price'!$I$11="OK",L828/INDEX(L$5:L$1258,'Stock Price'!$I$9)-1,"")</f>
        <v>-5.4775993237531684E-2</v>
      </c>
      <c r="Z828" s="19">
        <f ca="1">IF('Stock Price'!$I$11="OK",M828/INDEX(M$5:M$1258,'Stock Price'!$I$9)-1,"")</f>
        <v>-9.1552826168692869E-2</v>
      </c>
    </row>
    <row r="829" spans="1:26" x14ac:dyDescent="0.2">
      <c r="A829" s="16">
        <f>'Stock Price'!A829</f>
        <v>45673</v>
      </c>
      <c r="B829" s="17">
        <f>'Stock Price'!E829</f>
        <v>173.7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757.6</v>
      </c>
      <c r="L829" s="18">
        <v>56.38</v>
      </c>
      <c r="M829" s="18">
        <v>147.77000000000001</v>
      </c>
      <c r="O829" s="19">
        <f ca="1">IF('Stock Price'!$I$11="OK",B829/INDEX(B$5:B$1258,'Stock Price'!$I$9)-1,"")</f>
        <v>0.58615651538672253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2.2806478153553025</v>
      </c>
      <c r="Y829" s="19">
        <f ca="1">IF('Stock Price'!$I$11="OK",L829/INDEX(L$5:L$1258,'Stock Price'!$I$9)-1,"")</f>
        <v>-4.6830092983939031E-2</v>
      </c>
      <c r="Z829" s="19">
        <f ca="1">IF('Stock Price'!$I$11="OK",M829/INDEX(M$5:M$1258,'Stock Price'!$I$9)-1,"")</f>
        <v>-7.4006767765384174E-2</v>
      </c>
    </row>
    <row r="830" spans="1:26" x14ac:dyDescent="0.2">
      <c r="A830" s="16">
        <f>'Stock Price'!A830</f>
        <v>45674</v>
      </c>
      <c r="B830" s="17">
        <f>'Stock Price'!E830</f>
        <v>171.56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725.72</v>
      </c>
      <c r="L830" s="18">
        <v>56.29</v>
      </c>
      <c r="M830" s="18">
        <v>147.03</v>
      </c>
      <c r="O830" s="19">
        <f ca="1">IF('Stock Price'!$I$11="OK",B830/INDEX(B$5:B$1258,'Stock Price'!$I$9)-1,"")</f>
        <v>0.56661492101177968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2.1425973238643743</v>
      </c>
      <c r="Y830" s="19">
        <f ca="1">IF('Stock Price'!$I$11="OK",L830/INDEX(L$5:L$1258,'Stock Price'!$I$9)-1,"")</f>
        <v>-4.8351648351648291E-2</v>
      </c>
      <c r="Z830" s="19">
        <f ca="1">IF('Stock Price'!$I$11="OK",M830/INDEX(M$5:M$1258,'Stock Price'!$I$9)-1,"")</f>
        <v>-7.8643940343401497E-2</v>
      </c>
    </row>
    <row r="831" spans="1:26" x14ac:dyDescent="0.2">
      <c r="A831" s="16">
        <f>'Stock Price'!A831</f>
        <v>45678</v>
      </c>
      <c r="B831" s="17">
        <f>'Stock Price'!E831</f>
        <v>172.61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742.35</v>
      </c>
      <c r="L831" s="18">
        <v>57.04</v>
      </c>
      <c r="M831" s="18">
        <v>148.15</v>
      </c>
      <c r="O831" s="19">
        <f ca="1">IF('Stock Price'!$I$11="OK",B831/INDEX(B$5:B$1258,'Stock Price'!$I$9)-1,"")</f>
        <v>0.57620308647612095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2.2146104880266746</v>
      </c>
      <c r="Y831" s="19">
        <f ca="1">IF('Stock Price'!$I$11="OK",L831/INDEX(L$5:L$1258,'Stock Price'!$I$9)-1,"")</f>
        <v>-3.5672020287404904E-2</v>
      </c>
      <c r="Z831" s="19">
        <f ca="1">IF('Stock Price'!$I$11="OK",M831/INDEX(M$5:M$1258,'Stock Price'!$I$9)-1,"")</f>
        <v>-7.1625516982077975E-2</v>
      </c>
    </row>
    <row r="832" spans="1:26" x14ac:dyDescent="0.2">
      <c r="A832" s="16">
        <f>'Stock Price'!A832</f>
        <v>45679</v>
      </c>
      <c r="B832" s="17">
        <f>'Stock Price'!E832</f>
        <v>169.2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753.98</v>
      </c>
      <c r="L832" s="18">
        <v>57.09</v>
      </c>
      <c r="M832" s="18">
        <v>145.27000000000001</v>
      </c>
      <c r="O832" s="19">
        <f ca="1">IF('Stock Price'!$I$11="OK",B832/INDEX(B$5:B$1258,'Stock Price'!$I$9)-1,"")</f>
        <v>0.54506437768240334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2.2649720694582776</v>
      </c>
      <c r="Y832" s="19">
        <f ca="1">IF('Stock Price'!$I$11="OK",L832/INDEX(L$5:L$1258,'Stock Price'!$I$9)-1,"")</f>
        <v>-3.4826711749788575E-2</v>
      </c>
      <c r="Z832" s="19">
        <f ca="1">IF('Stock Price'!$I$11="OK",M832/INDEX(M$5:M$1258,'Stock Price'!$I$9)-1,"")</f>
        <v>-8.9672891339766858E-2</v>
      </c>
    </row>
    <row r="833" spans="1:26" x14ac:dyDescent="0.2">
      <c r="A833" s="16">
        <f>'Stock Price'!A833</f>
        <v>45680</v>
      </c>
      <c r="B833" s="17">
        <f>'Stock Price'!E833</f>
        <v>170.67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766.6</v>
      </c>
      <c r="L833" s="18">
        <v>59.14</v>
      </c>
      <c r="M833" s="18">
        <v>146.63999999999999</v>
      </c>
      <c r="O833" s="19">
        <f ca="1">IF('Stock Price'!$I$11="OK",B833/INDEX(B$5:B$1258,'Stock Price'!$I$9)-1,"")</f>
        <v>0.55848780933248077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2.3196206642705581</v>
      </c>
      <c r="Y833" s="19">
        <f ca="1">IF('Stock Price'!$I$11="OK",L833/INDEX(L$5:L$1258,'Stock Price'!$I$9)-1,"")</f>
        <v>-1.6906170752317706E-4</v>
      </c>
      <c r="Z833" s="19">
        <f ca="1">IF('Stock Price'!$I$11="OK",M833/INDEX(M$5:M$1258,'Stock Price'!$I$9)-1,"")</f>
        <v>-8.1087855621005289E-2</v>
      </c>
    </row>
    <row r="834" spans="1:26" x14ac:dyDescent="0.2">
      <c r="A834" s="16">
        <f>'Stock Price'!A834</f>
        <v>45681</v>
      </c>
      <c r="B834" s="17">
        <f>'Stock Price'!E834</f>
        <v>170.3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785.41</v>
      </c>
      <c r="L834" s="18">
        <v>59.67</v>
      </c>
      <c r="M834" s="18">
        <v>146.82</v>
      </c>
      <c r="O834" s="19">
        <f ca="1">IF('Stock Price'!$I$11="OK",B834/INDEX(B$5:B$1258,'Stock Price'!$I$9)-1,"")</f>
        <v>0.55510912245457034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2.4010739185034424</v>
      </c>
      <c r="Y834" s="19">
        <f ca="1">IF('Stock Price'!$I$11="OK",L834/INDEX(L$5:L$1258,'Stock Price'!$I$9)-1,"")</f>
        <v>8.79120879120876E-3</v>
      </c>
      <c r="Z834" s="19">
        <f ca="1">IF('Stock Price'!$I$11="OK",M834/INDEX(M$5:M$1258,'Stock Price'!$I$9)-1,"")</f>
        <v>-7.9959894723649727E-2</v>
      </c>
    </row>
    <row r="835" spans="1:26" x14ac:dyDescent="0.2">
      <c r="A835" s="16">
        <f>'Stock Price'!A835</f>
        <v>45684</v>
      </c>
      <c r="B835" s="17">
        <f>'Stock Price'!E835</f>
        <v>176.9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808.17</v>
      </c>
      <c r="L835" s="18">
        <v>60.6</v>
      </c>
      <c r="M835" s="18">
        <v>152.88999999999999</v>
      </c>
      <c r="O835" s="19">
        <f ca="1">IF('Stock Price'!$I$11="OK",B835/INDEX(B$5:B$1258,'Stock Price'!$I$9)-1,"")</f>
        <v>0.61537759108757184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2.499631923093578</v>
      </c>
      <c r="Y835" s="19">
        <f ca="1">IF('Stock Price'!$I$11="OK",L835/INDEX(L$5:L$1258,'Stock Price'!$I$9)-1,"")</f>
        <v>2.4513947590870666E-2</v>
      </c>
      <c r="Z835" s="19">
        <f ca="1">IF('Stock Price'!$I$11="OK",M835/INDEX(M$5:M$1258,'Stock Price'!$I$9)-1,"")</f>
        <v>-4.1922546685048467E-2</v>
      </c>
    </row>
    <row r="836" spans="1:26" x14ac:dyDescent="0.2">
      <c r="A836" s="16">
        <f>'Stock Price'!A836</f>
        <v>45685</v>
      </c>
      <c r="B836" s="17">
        <f>'Stock Price'!E836</f>
        <v>174.81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804.99</v>
      </c>
      <c r="L836" s="18">
        <v>58.76</v>
      </c>
      <c r="M836" s="18">
        <v>150.38</v>
      </c>
      <c r="O836" s="19">
        <f ca="1">IF('Stock Price'!$I$11="OK",B836/INDEX(B$5:B$1258,'Stock Price'!$I$9)-1,"")</f>
        <v>0.59629257602045471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2.4858615164768545</v>
      </c>
      <c r="Y836" s="19">
        <f ca="1">IF('Stock Price'!$I$11="OK",L836/INDEX(L$5:L$1258,'Stock Price'!$I$9)-1,"")</f>
        <v>-6.59340659340657E-3</v>
      </c>
      <c r="Z836" s="19">
        <f ca="1">IF('Stock Price'!$I$11="OK",M836/INDEX(M$5:M$1258,'Stock Price'!$I$9)-1,"")</f>
        <v>-5.7651334753728634E-2</v>
      </c>
    </row>
    <row r="837" spans="1:26" x14ac:dyDescent="0.2">
      <c r="A837" s="16">
        <f>'Stock Price'!A837</f>
        <v>45686</v>
      </c>
      <c r="B837" s="17">
        <f>'Stock Price'!E837</f>
        <v>175.26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804.08</v>
      </c>
      <c r="L837" s="18">
        <v>59.05</v>
      </c>
      <c r="M837" s="18">
        <v>151.15</v>
      </c>
      <c r="O837" s="19">
        <f ca="1">IF('Stock Price'!$I$11="OK",B837/INDEX(B$5:B$1258,'Stock Price'!$I$9)-1,"")</f>
        <v>0.60040178979088643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2.4819209284198678</v>
      </c>
      <c r="Y837" s="19">
        <f ca="1">IF('Stock Price'!$I$11="OK",L837/INDEX(L$5:L$1258,'Stock Price'!$I$9)-1,"")</f>
        <v>-1.6906170752324368E-3</v>
      </c>
      <c r="Z837" s="19">
        <f ca="1">IF('Stock Price'!$I$11="OK",M837/INDEX(M$5:M$1258,'Stock Price'!$I$9)-1,"")</f>
        <v>-5.2826168692818642E-2</v>
      </c>
    </row>
    <row r="838" spans="1:26" x14ac:dyDescent="0.2">
      <c r="A838" s="16">
        <f>'Stock Price'!A838</f>
        <v>45687</v>
      </c>
      <c r="B838" s="17">
        <f>'Stock Price'!E838</f>
        <v>175.65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823.23</v>
      </c>
      <c r="L838" s="18">
        <v>59.14</v>
      </c>
      <c r="M838" s="18">
        <v>152.87</v>
      </c>
      <c r="O838" s="19">
        <f ca="1">IF('Stock Price'!$I$11="OK",B838/INDEX(B$5:B$1258,'Stock Price'!$I$9)-1,"")</f>
        <v>0.60396310839192768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2.5648464902784394</v>
      </c>
      <c r="Y838" s="19">
        <f ca="1">IF('Stock Price'!$I$11="OK",L838/INDEX(L$5:L$1258,'Stock Price'!$I$9)-1,"")</f>
        <v>-1.6906170752317706E-4</v>
      </c>
      <c r="Z838" s="19">
        <f ca="1">IF('Stock Price'!$I$11="OK",M838/INDEX(M$5:M$1258,'Stock Price'!$I$9)-1,"")</f>
        <v>-4.204787567364332E-2</v>
      </c>
    </row>
    <row r="839" spans="1:26" x14ac:dyDescent="0.2">
      <c r="A839" s="16">
        <f>'Stock Price'!A839</f>
        <v>45688</v>
      </c>
      <c r="B839" s="17">
        <f>'Stock Price'!E839</f>
        <v>183.9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811.08</v>
      </c>
      <c r="L839" s="18">
        <v>58.95</v>
      </c>
      <c r="M839" s="18">
        <v>152.15</v>
      </c>
      <c r="O839" s="19">
        <f ca="1">IF('Stock Price'!$I$11="OK",B839/INDEX(B$5:B$1258,'Stock Price'!$I$9)-1,"")</f>
        <v>0.67929869418317956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2.5122331442428441</v>
      </c>
      <c r="Y839" s="19">
        <f ca="1">IF('Stock Price'!$I$11="OK",L839/INDEX(L$5:L$1258,'Stock Price'!$I$9)-1,"")</f>
        <v>-3.3812341504648735E-3</v>
      </c>
      <c r="Z839" s="19">
        <f ca="1">IF('Stock Price'!$I$11="OK",M839/INDEX(M$5:M$1258,'Stock Price'!$I$9)-1,"")</f>
        <v>-4.6559719263065569E-2</v>
      </c>
    </row>
    <row r="840" spans="1:26" x14ac:dyDescent="0.2">
      <c r="A840" s="16">
        <f>'Stock Price'!A840</f>
        <v>45691</v>
      </c>
      <c r="B840" s="17">
        <f>'Stock Price'!E840</f>
        <v>190.14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810.43</v>
      </c>
      <c r="L840" s="18">
        <v>59.95</v>
      </c>
      <c r="M840" s="18">
        <v>151.87</v>
      </c>
      <c r="O840" s="19">
        <f ca="1">IF('Stock Price'!$I$11="OK",B840/INDEX(B$5:B$1258,'Stock Price'!$I$9)-1,"")</f>
        <v>0.73627979179983538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2.5094184384878533</v>
      </c>
      <c r="Y840" s="19">
        <f ca="1">IF('Stock Price'!$I$11="OK",L840/INDEX(L$5:L$1258,'Stock Price'!$I$9)-1,"")</f>
        <v>1.3524936601859716E-2</v>
      </c>
      <c r="Z840" s="19">
        <f ca="1">IF('Stock Price'!$I$11="OK",M840/INDEX(M$5:M$1258,'Stock Price'!$I$9)-1,"")</f>
        <v>-4.8314325103396505E-2</v>
      </c>
    </row>
    <row r="841" spans="1:26" x14ac:dyDescent="0.2">
      <c r="A841" s="16">
        <f>'Stock Price'!A841</f>
        <v>45692</v>
      </c>
      <c r="B841" s="17">
        <f>'Stock Price'!E841</f>
        <v>189.95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826.07</v>
      </c>
      <c r="L841" s="18">
        <v>59.12</v>
      </c>
      <c r="M841" s="18">
        <v>153.49</v>
      </c>
      <c r="O841" s="19">
        <f ca="1">IF('Stock Price'!$I$11="OK",B841/INDEX(B$5:B$1258,'Stock Price'!$I$9)-1,"")</f>
        <v>0.73454479043009746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2.5771445892694755</v>
      </c>
      <c r="Y841" s="19">
        <f ca="1">IF('Stock Price'!$I$11="OK",L841/INDEX(L$5:L$1258,'Stock Price'!$I$9)-1,"")</f>
        <v>-5.0718512256975323E-4</v>
      </c>
      <c r="Z841" s="19">
        <f ca="1">IF('Stock Price'!$I$11="OK",M841/INDEX(M$5:M$1258,'Stock Price'!$I$9)-1,"")</f>
        <v>-3.8162677027196446E-2</v>
      </c>
    </row>
    <row r="842" spans="1:26" x14ac:dyDescent="0.2">
      <c r="A842" s="16">
        <f>'Stock Price'!A842</f>
        <v>45693</v>
      </c>
      <c r="B842" s="17">
        <f>'Stock Price'!E842</f>
        <v>191.75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842.18</v>
      </c>
      <c r="L842" s="18">
        <v>59.71</v>
      </c>
      <c r="M842" s="18">
        <v>154.69</v>
      </c>
      <c r="O842" s="19">
        <f ca="1">IF('Stock Price'!$I$11="OK",B842/INDEX(B$5:B$1258,'Stock Price'!$I$9)-1,"")</f>
        <v>0.75098164551182522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2.6469059888277831</v>
      </c>
      <c r="Y842" s="19">
        <f ca="1">IF('Stock Price'!$I$11="OK",L842/INDEX(L$5:L$1258,'Stock Price'!$I$9)-1,"")</f>
        <v>9.4674556213019123E-3</v>
      </c>
      <c r="Z842" s="19">
        <f ca="1">IF('Stock Price'!$I$11="OK",M842/INDEX(M$5:M$1258,'Stock Price'!$I$9)-1,"")</f>
        <v>-3.0642937711492735E-2</v>
      </c>
    </row>
    <row r="843" spans="1:26" x14ac:dyDescent="0.2">
      <c r="A843" s="16">
        <f>'Stock Price'!A843</f>
        <v>45694</v>
      </c>
      <c r="B843" s="17">
        <f>'Stock Price'!E843</f>
        <v>192.97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870.37</v>
      </c>
      <c r="L843" s="18">
        <v>57.42</v>
      </c>
      <c r="M843" s="18">
        <v>153.51</v>
      </c>
      <c r="O843" s="19">
        <f ca="1">IF('Stock Price'!$I$11="OK",B843/INDEX(B$5:B$1258,'Stock Price'!$I$9)-1,"")</f>
        <v>0.76212218062277404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2.7689776122634564</v>
      </c>
      <c r="Y843" s="19">
        <f ca="1">IF('Stock Price'!$I$11="OK",L843/INDEX(L$5:L$1258,'Stock Price'!$I$9)-1,"")</f>
        <v>-2.9247675401521511E-2</v>
      </c>
      <c r="Z843" s="19">
        <f ca="1">IF('Stock Price'!$I$11="OK",M843/INDEX(M$5:M$1258,'Stock Price'!$I$9)-1,"")</f>
        <v>-3.8037348038601482E-2</v>
      </c>
    </row>
    <row r="844" spans="1:26" x14ac:dyDescent="0.2">
      <c r="A844" s="16">
        <f>'Stock Price'!A844</f>
        <v>45695</v>
      </c>
      <c r="B844" s="17">
        <f>'Stock Price'!E844</f>
        <v>190.6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878.31</v>
      </c>
      <c r="L844" s="18">
        <v>56.85</v>
      </c>
      <c r="M844" s="18">
        <v>153.12</v>
      </c>
      <c r="O844" s="19">
        <f ca="1">IF('Stock Price'!$I$11="OK",B844/INDEX(B$5:B$1258,'Stock Price'!$I$9)-1,"")</f>
        <v>0.74048032143183251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2.8033603256398041</v>
      </c>
      <c r="Y844" s="19">
        <f ca="1">IF('Stock Price'!$I$11="OK",L844/INDEX(L$5:L$1258,'Stock Price'!$I$9)-1,"")</f>
        <v>-3.888419273034649E-2</v>
      </c>
      <c r="Z844" s="19">
        <f ca="1">IF('Stock Price'!$I$11="OK",M844/INDEX(M$5:M$1258,'Stock Price'!$I$9)-1,"")</f>
        <v>-4.0481263316205052E-2</v>
      </c>
    </row>
    <row r="845" spans="1:26" x14ac:dyDescent="0.2">
      <c r="A845" s="16">
        <f>'Stock Price'!A845</f>
        <v>45698</v>
      </c>
      <c r="B845" s="17">
        <f>'Stock Price'!E845</f>
        <v>190.34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868.88</v>
      </c>
      <c r="L845" s="18">
        <v>55.53</v>
      </c>
      <c r="M845" s="18">
        <v>154.24</v>
      </c>
      <c r="O845" s="19">
        <f ca="1">IF('Stock Price'!$I$11="OK",B845/INDEX(B$5:B$1258,'Stock Price'!$I$9)-1,"")</f>
        <v>0.73810610903113871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2.7625254406097084</v>
      </c>
      <c r="Y845" s="19">
        <f ca="1">IF('Stock Price'!$I$11="OK",L845/INDEX(L$5:L$1258,'Stock Price'!$I$9)-1,"")</f>
        <v>-6.1200338123414966E-2</v>
      </c>
      <c r="Z845" s="19">
        <f ca="1">IF('Stock Price'!$I$11="OK",M845/INDEX(M$5:M$1258,'Stock Price'!$I$9)-1,"")</f>
        <v>-3.3462839954881529E-2</v>
      </c>
    </row>
    <row r="846" spans="1:26" x14ac:dyDescent="0.2">
      <c r="A846" s="16">
        <f>'Stock Price'!A846</f>
        <v>45699</v>
      </c>
      <c r="B846" s="17">
        <f>'Stock Price'!E846</f>
        <v>191.83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865</v>
      </c>
      <c r="L846" s="18">
        <v>55.94</v>
      </c>
      <c r="M846" s="18">
        <v>156.13</v>
      </c>
      <c r="O846" s="19">
        <f ca="1">IF('Stock Price'!$I$11="OK",B846/INDEX(B$5:B$1258,'Stock Price'!$I$9)-1,"")</f>
        <v>0.75171217240434673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2.7457238124106871</v>
      </c>
      <c r="Y846" s="19">
        <f ca="1">IF('Stock Price'!$I$11="OK",L846/INDEX(L$5:L$1258,'Stock Price'!$I$9)-1,"")</f>
        <v>-5.4268808114961931E-2</v>
      </c>
      <c r="Z846" s="19">
        <f ca="1">IF('Stock Price'!$I$11="OK",M846/INDEX(M$5:M$1258,'Stock Price'!$I$9)-1,"")</f>
        <v>-2.1619250532648349E-2</v>
      </c>
    </row>
    <row r="847" spans="1:26" x14ac:dyDescent="0.2">
      <c r="A847" s="16">
        <f>'Stock Price'!A847</f>
        <v>45700</v>
      </c>
      <c r="B847" s="17">
        <f>'Stock Price'!E847</f>
        <v>193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872.97</v>
      </c>
      <c r="L847" s="18">
        <v>56.15</v>
      </c>
      <c r="M847" s="18">
        <v>155.26</v>
      </c>
      <c r="O847" s="19">
        <f ca="1">IF('Stock Price'!$I$11="OK",B847/INDEX(B$5:B$1258,'Stock Price'!$I$9)-1,"")</f>
        <v>0.7623961282074696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2.780236435283419</v>
      </c>
      <c r="Y847" s="19">
        <f ca="1">IF('Stock Price'!$I$11="OK",L847/INDEX(L$5:L$1258,'Stock Price'!$I$9)-1,"")</f>
        <v>-5.0718512256973769E-2</v>
      </c>
      <c r="Z847" s="19">
        <f ca="1">IF('Stock Price'!$I$11="OK",M847/INDEX(M$5:M$1258,'Stock Price'!$I$9)-1,"")</f>
        <v>-2.7071061536533492E-2</v>
      </c>
    </row>
    <row r="848" spans="1:26" x14ac:dyDescent="0.2">
      <c r="A848" s="16">
        <f>'Stock Price'!A848</f>
        <v>45701</v>
      </c>
      <c r="B848" s="17">
        <f>'Stock Price'!E848</f>
        <v>193.45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871.86</v>
      </c>
      <c r="L848" s="18">
        <v>55.97</v>
      </c>
      <c r="M848" s="18">
        <v>157.25</v>
      </c>
      <c r="O848" s="19">
        <f ca="1">IF('Stock Price'!$I$11="OK",B848/INDEX(B$5:B$1258,'Stock Price'!$I$9)-1,"")</f>
        <v>0.76650534197790132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2.7754297839172044</v>
      </c>
      <c r="Y848" s="19">
        <f ca="1">IF('Stock Price'!$I$11="OK",L848/INDEX(L$5:L$1258,'Stock Price'!$I$9)-1,"")</f>
        <v>-5.3761622992392177E-2</v>
      </c>
      <c r="Z848" s="19">
        <f ca="1">IF('Stock Price'!$I$11="OK",M848/INDEX(M$5:M$1258,'Stock Price'!$I$9)-1,"")</f>
        <v>-1.4600827171324826E-2</v>
      </c>
    </row>
    <row r="849" spans="1:26" x14ac:dyDescent="0.2">
      <c r="A849" s="16">
        <f>'Stock Price'!A849</f>
        <v>45702</v>
      </c>
      <c r="B849" s="17">
        <f>'Stock Price'!E849</f>
        <v>192.87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844.27</v>
      </c>
      <c r="L849" s="18">
        <v>53.9</v>
      </c>
      <c r="M849" s="18">
        <v>156.15</v>
      </c>
      <c r="O849" s="19">
        <f ca="1">IF('Stock Price'!$I$11="OK",B849/INDEX(B$5:B$1258,'Stock Price'!$I$9)-1,"")</f>
        <v>0.76120902200712259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2.6559563504092147</v>
      </c>
      <c r="Y849" s="19">
        <f ca="1">IF('Stock Price'!$I$11="OK",L849/INDEX(L$5:L$1258,'Stock Price'!$I$9)-1,"")</f>
        <v>-8.8757396449704151E-2</v>
      </c>
      <c r="Z849" s="19">
        <f ca="1">IF('Stock Price'!$I$11="OK",M849/INDEX(M$5:M$1258,'Stock Price'!$I$9)-1,"")</f>
        <v>-2.1493921544053163E-2</v>
      </c>
    </row>
    <row r="850" spans="1:26" x14ac:dyDescent="0.2">
      <c r="A850" s="16">
        <f>'Stock Price'!A850</f>
        <v>45706</v>
      </c>
      <c r="B850" s="17">
        <f>'Stock Price'!E850</f>
        <v>196.25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857.2</v>
      </c>
      <c r="L850" s="18">
        <v>54.43</v>
      </c>
      <c r="M850" s="18">
        <v>154.99</v>
      </c>
      <c r="O850" s="19">
        <f ca="1">IF('Stock Price'!$I$11="OK",B850/INDEX(B$5:B$1258,'Stock Price'!$I$9)-1,"")</f>
        <v>0.79207378321614463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2.7119473433507992</v>
      </c>
      <c r="Y850" s="19">
        <f ca="1">IF('Stock Price'!$I$11="OK",L850/INDEX(L$5:L$1258,'Stock Price'!$I$9)-1,"")</f>
        <v>-7.9797125950972103E-2</v>
      </c>
      <c r="Z850" s="19">
        <f ca="1">IF('Stock Price'!$I$11="OK",M850/INDEX(M$5:M$1258,'Stock Price'!$I$9)-1,"")</f>
        <v>-2.8763002882566724E-2</v>
      </c>
    </row>
    <row r="851" spans="1:26" x14ac:dyDescent="0.2">
      <c r="A851" s="16">
        <f>'Stock Price'!A851</f>
        <v>45707</v>
      </c>
      <c r="B851" s="17">
        <f>'Stock Price'!E851</f>
        <v>197.35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867.05</v>
      </c>
      <c r="L851" s="18">
        <v>54.98</v>
      </c>
      <c r="M851" s="18">
        <v>157.88999999999999</v>
      </c>
      <c r="O851" s="19">
        <f ca="1">IF('Stock Price'!$I$11="OK",B851/INDEX(B$5:B$1258,'Stock Price'!$I$9)-1,"")</f>
        <v>0.8021185279883114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2.7546009613302731</v>
      </c>
      <c r="Y851" s="19">
        <f ca="1">IF('Stock Price'!$I$11="OK",L851/INDEX(L$5:L$1258,'Stock Price'!$I$9)-1,"")</f>
        <v>-7.049873203719359E-2</v>
      </c>
      <c r="Z851" s="19">
        <f ca="1">IF('Stock Price'!$I$11="OK",M851/INDEX(M$5:M$1258,'Stock Price'!$I$9)-1,"")</f>
        <v>-1.0590299536282877E-2</v>
      </c>
    </row>
    <row r="852" spans="1:26" x14ac:dyDescent="0.2">
      <c r="A852" s="16">
        <f>'Stock Price'!A852</f>
        <v>45708</v>
      </c>
      <c r="B852" s="17">
        <f>'Stock Price'!E852</f>
        <v>200.88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873.12</v>
      </c>
      <c r="L852" s="18">
        <v>55.79</v>
      </c>
      <c r="M852" s="18">
        <v>159.68</v>
      </c>
      <c r="O852" s="19">
        <f ca="1">IF('Stock Price'!$I$11="OK",B852/INDEX(B$5:B$1258,'Stock Price'!$I$9)-1,"")</f>
        <v>0.83435302712081083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2.7808859827653403</v>
      </c>
      <c r="Y852" s="19">
        <f ca="1">IF('Stock Price'!$I$11="OK",L852/INDEX(L$5:L$1258,'Stock Price'!$I$9)-1,"")</f>
        <v>-5.6804733727810697E-2</v>
      </c>
      <c r="Z852" s="19">
        <f ca="1">IF('Stock Price'!$I$11="OK",M852/INDEX(M$5:M$1258,'Stock Price'!$I$9)-1,"")</f>
        <v>6.2664494297526296E-4</v>
      </c>
    </row>
    <row r="853" spans="1:26" x14ac:dyDescent="0.2">
      <c r="A853" s="16">
        <f>'Stock Price'!A853</f>
        <v>45709</v>
      </c>
      <c r="B853" s="17">
        <f>'Stock Price'!E853</f>
        <v>202.08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873.68</v>
      </c>
      <c r="L853" s="18">
        <v>55.83</v>
      </c>
      <c r="M853" s="18">
        <v>162.30000000000001</v>
      </c>
      <c r="O853" s="19">
        <f ca="1">IF('Stock Price'!$I$11="OK",B853/INDEX(B$5:B$1258,'Stock Price'!$I$9)-1,"")</f>
        <v>0.84531093050862949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2.7833109600311778</v>
      </c>
      <c r="Y853" s="19">
        <f ca="1">IF('Stock Price'!$I$11="OK",L853/INDEX(L$5:L$1258,'Stock Price'!$I$9)-1,"")</f>
        <v>-5.6128486897717655E-2</v>
      </c>
      <c r="Z853" s="19">
        <f ca="1">IF('Stock Price'!$I$11="OK",M853/INDEX(M$5:M$1258,'Stock Price'!$I$9)-1,"")</f>
        <v>1.7044742448928396E-2</v>
      </c>
    </row>
    <row r="854" spans="1:26" x14ac:dyDescent="0.2">
      <c r="A854" s="16">
        <f>'Stock Price'!A854</f>
        <v>45712</v>
      </c>
      <c r="B854" s="17">
        <f>'Stock Price'!E854</f>
        <v>204.08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881.4</v>
      </c>
      <c r="L854" s="18">
        <v>57.88</v>
      </c>
      <c r="M854" s="18">
        <v>163.74</v>
      </c>
      <c r="O854" s="19">
        <f ca="1">IF('Stock Price'!$I$11="OK",B854/INDEX(B$5:B$1258,'Stock Price'!$I$9)-1,"")</f>
        <v>0.86357410282166014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2.8167410037673752</v>
      </c>
      <c r="Y854" s="19">
        <f ca="1">IF('Stock Price'!$I$11="OK",L854/INDEX(L$5:L$1258,'Stock Price'!$I$9)-1,"")</f>
        <v>-2.1470836855452147E-2</v>
      </c>
      <c r="Z854" s="19">
        <f ca="1">IF('Stock Price'!$I$11="OK",M854/INDEX(M$5:M$1258,'Stock Price'!$I$9)-1,"")</f>
        <v>2.6068429627772893E-2</v>
      </c>
    </row>
    <row r="855" spans="1:26" x14ac:dyDescent="0.2">
      <c r="A855" s="16">
        <f>'Stock Price'!A855</f>
        <v>45713</v>
      </c>
      <c r="B855" s="17">
        <f>'Stock Price'!E855</f>
        <v>204.14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901.8</v>
      </c>
      <c r="L855" s="18">
        <v>58.21</v>
      </c>
      <c r="M855" s="18">
        <v>166.09</v>
      </c>
      <c r="O855" s="19">
        <f ca="1">IF('Stock Price'!$I$11="OK",B855/INDEX(B$5:B$1258,'Stock Price'!$I$9)-1,"")</f>
        <v>0.86412199799105083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2.9050794613086213</v>
      </c>
      <c r="Y855" s="19">
        <f ca="1">IF('Stock Price'!$I$11="OK",L855/INDEX(L$5:L$1258,'Stock Price'!$I$9)-1,"")</f>
        <v>-1.5891800507185083E-2</v>
      </c>
      <c r="Z855" s="19">
        <f ca="1">IF('Stock Price'!$I$11="OK",M855/INDEX(M$5:M$1258,'Stock Price'!$I$9)-1,"")</f>
        <v>4.0794585787692572E-2</v>
      </c>
    </row>
    <row r="856" spans="1:26" x14ac:dyDescent="0.2">
      <c r="A856" s="16">
        <f>'Stock Price'!A856</f>
        <v>45714</v>
      </c>
      <c r="B856" s="17">
        <f>'Stock Price'!E856</f>
        <v>203.01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915.01</v>
      </c>
      <c r="L856" s="18">
        <v>57.38</v>
      </c>
      <c r="M856" s="18">
        <v>163.08000000000001</v>
      </c>
      <c r="O856" s="19">
        <f ca="1">IF('Stock Price'!$I$11="OK",B856/INDEX(B$5:B$1258,'Stock Price'!$I$9)-1,"")</f>
        <v>0.85380330563418849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2.9622829428831245</v>
      </c>
      <c r="Y856" s="19">
        <f ca="1">IF('Stock Price'!$I$11="OK",L856/INDEX(L$5:L$1258,'Stock Price'!$I$9)-1,"")</f>
        <v>-2.9923922231614442E-2</v>
      </c>
      <c r="Z856" s="19">
        <f ca="1">IF('Stock Price'!$I$11="OK",M856/INDEX(M$5:M$1258,'Stock Price'!$I$9)-1,"")</f>
        <v>2.1932573004135758E-2</v>
      </c>
    </row>
    <row r="857" spans="1:26" x14ac:dyDescent="0.2">
      <c r="A857" s="16">
        <f>'Stock Price'!A857</f>
        <v>45715</v>
      </c>
      <c r="B857" s="17">
        <f>'Stock Price'!E857</f>
        <v>205.02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905.16</v>
      </c>
      <c r="L857" s="18">
        <v>58.8</v>
      </c>
      <c r="M857" s="18">
        <v>163.72999999999999</v>
      </c>
      <c r="O857" s="19">
        <f ca="1">IF('Stock Price'!$I$11="OK",B857/INDEX(B$5:B$1258,'Stock Price'!$I$9)-1,"")</f>
        <v>0.87215779380878455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2.9196293249036502</v>
      </c>
      <c r="Y857" s="19">
        <f ca="1">IF('Stock Price'!$I$11="OK",L857/INDEX(L$5:L$1258,'Stock Price'!$I$9)-1,"")</f>
        <v>-5.9171597633136397E-3</v>
      </c>
      <c r="Z857" s="19">
        <f ca="1">IF('Stock Price'!$I$11="OK",M857/INDEX(M$5:M$1258,'Stock Price'!$I$9)-1,"")</f>
        <v>2.60057651334753E-2</v>
      </c>
    </row>
    <row r="858" spans="1:26" x14ac:dyDescent="0.2">
      <c r="A858" s="16">
        <f>'Stock Price'!A858</f>
        <v>45716</v>
      </c>
      <c r="B858" s="17">
        <f>'Stock Price'!E858</f>
        <v>209.03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920.63</v>
      </c>
      <c r="L858" s="18">
        <v>59.62</v>
      </c>
      <c r="M858" s="18">
        <v>165.02</v>
      </c>
      <c r="O858" s="19">
        <f ca="1">IF('Stock Price'!$I$11="OK",B858/INDEX(B$5:B$1258,'Stock Price'!$I$9)-1,"")</f>
        <v>0.90877545429641127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2.9866193218724288</v>
      </c>
      <c r="Y858" s="19">
        <f ca="1">IF('Stock Price'!$I$11="OK",L858/INDEX(L$5:L$1258,'Stock Price'!$I$9)-1,"")</f>
        <v>7.9459002535926526E-3</v>
      </c>
      <c r="Z858" s="19">
        <f ca="1">IF('Stock Price'!$I$11="OK",M858/INDEX(M$5:M$1258,'Stock Price'!$I$9)-1,"")</f>
        <v>3.4089484897856792E-2</v>
      </c>
    </row>
    <row r="859" spans="1:26" x14ac:dyDescent="0.2">
      <c r="A859" s="16">
        <f>'Stock Price'!A859</f>
        <v>45719</v>
      </c>
      <c r="B859" s="17">
        <f>'Stock Price'!E859</f>
        <v>211.48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929.72</v>
      </c>
      <c r="L859" s="18">
        <v>59.87</v>
      </c>
      <c r="M859" s="18">
        <v>167.28</v>
      </c>
      <c r="O859" s="19">
        <f ca="1">IF('Stock Price'!$I$11="OK",B859/INDEX(B$5:B$1258,'Stock Price'!$I$9)-1,"")</f>
        <v>0.93114784037987386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3.0259818992768368</v>
      </c>
      <c r="Y859" s="19">
        <f ca="1">IF('Stock Price'!$I$11="OK",L859/INDEX(L$5:L$1258,'Stock Price'!$I$9)-1,"")</f>
        <v>1.2172442941673633E-2</v>
      </c>
      <c r="Z859" s="19">
        <f ca="1">IF('Stock Price'!$I$11="OK",M859/INDEX(M$5:M$1258,'Stock Price'!$I$9)-1,"")</f>
        <v>4.8251660609098801E-2</v>
      </c>
    </row>
    <row r="860" spans="1:26" x14ac:dyDescent="0.2">
      <c r="A860" s="16">
        <f>'Stock Price'!A860</f>
        <v>45720</v>
      </c>
      <c r="B860" s="17">
        <f>'Stock Price'!E860</f>
        <v>207.76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911.06</v>
      </c>
      <c r="L860" s="18">
        <v>59.44</v>
      </c>
      <c r="M860" s="18">
        <v>165.42</v>
      </c>
      <c r="O860" s="19">
        <f ca="1">IF('Stock Price'!$I$11="OK",B860/INDEX(B$5:B$1258,'Stock Price'!$I$9)-1,"")</f>
        <v>0.89717833987763651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2.9451781925258733</v>
      </c>
      <c r="Y860" s="19">
        <f ca="1">IF('Stock Price'!$I$11="OK",L860/INDEX(L$5:L$1258,'Stock Price'!$I$9)-1,"")</f>
        <v>4.9027895181741332E-3</v>
      </c>
      <c r="Z860" s="19">
        <f ca="1">IF('Stock Price'!$I$11="OK",M860/INDEX(M$5:M$1258,'Stock Price'!$I$9)-1,"")</f>
        <v>3.6596064669758066E-2</v>
      </c>
    </row>
    <row r="861" spans="1:26" x14ac:dyDescent="0.2">
      <c r="A861" s="16">
        <f>'Stock Price'!A861</f>
        <v>45721</v>
      </c>
      <c r="B861" s="17">
        <f>'Stock Price'!E861</f>
        <v>211.54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929.72</v>
      </c>
      <c r="L861" s="18">
        <v>59.82</v>
      </c>
      <c r="M861" s="18">
        <v>165.12</v>
      </c>
      <c r="O861" s="19">
        <f ca="1">IF('Stock Price'!$I$11="OK",B861/INDEX(B$5:B$1258,'Stock Price'!$I$9)-1,"")</f>
        <v>0.93169573554926477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3.0259818992768368</v>
      </c>
      <c r="Y861" s="19">
        <f ca="1">IF('Stock Price'!$I$11="OK",L861/INDEX(L$5:L$1258,'Stock Price'!$I$9)-1,"")</f>
        <v>1.1327134404057526E-2</v>
      </c>
      <c r="Z861" s="19">
        <f ca="1">IF('Stock Price'!$I$11="OK",M861/INDEX(M$5:M$1258,'Stock Price'!$I$9)-1,"")</f>
        <v>3.4716129840832055E-2</v>
      </c>
    </row>
    <row r="862" spans="1:26" x14ac:dyDescent="0.2">
      <c r="A862" s="16">
        <f>'Stock Price'!A862</f>
        <v>45722</v>
      </c>
      <c r="B862" s="17">
        <f>'Stock Price'!E862</f>
        <v>210.75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912.76</v>
      </c>
      <c r="L862" s="18">
        <v>60.18</v>
      </c>
      <c r="M862" s="18">
        <v>165.83</v>
      </c>
      <c r="O862" s="19">
        <f ca="1">IF('Stock Price'!$I$11="OK",B862/INDEX(B$5:B$1258,'Stock Price'!$I$9)-1,"")</f>
        <v>0.92448178248561774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2.9525397306543106</v>
      </c>
      <c r="Y862" s="19">
        <f ca="1">IF('Stock Price'!$I$11="OK",L862/INDEX(L$5:L$1258,'Stock Price'!$I$9)-1,"")</f>
        <v>1.7413355874894343E-2</v>
      </c>
      <c r="Z862" s="19">
        <f ca="1">IF('Stock Price'!$I$11="OK",M862/INDEX(M$5:M$1258,'Stock Price'!$I$9)-1,"")</f>
        <v>3.9165308935956933E-2</v>
      </c>
    </row>
    <row r="863" spans="1:26" x14ac:dyDescent="0.2">
      <c r="A863" s="16">
        <f>'Stock Price'!A863</f>
        <v>45723</v>
      </c>
      <c r="B863" s="17">
        <f>'Stock Price'!E863</f>
        <v>214.29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869.58</v>
      </c>
      <c r="L863" s="18">
        <v>61.09</v>
      </c>
      <c r="M863" s="18">
        <v>166.69</v>
      </c>
      <c r="O863" s="19">
        <f ca="1">IF('Stock Price'!$I$11="OK",B863/INDEX(B$5:B$1258,'Stock Price'!$I$9)-1,"")</f>
        <v>0.95680759747968214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2.7655566621920062</v>
      </c>
      <c r="Y863" s="19">
        <f ca="1">IF('Stock Price'!$I$11="OK",L863/INDEX(L$5:L$1258,'Stock Price'!$I$9)-1,"")</f>
        <v>3.2797971259509895E-2</v>
      </c>
      <c r="Z863" s="19">
        <f ca="1">IF('Stock Price'!$I$11="OK",M863/INDEX(M$5:M$1258,'Stock Price'!$I$9)-1,"")</f>
        <v>4.4554455445544372E-2</v>
      </c>
    </row>
    <row r="864" spans="1:26" x14ac:dyDescent="0.2">
      <c r="A864" s="16">
        <f>'Stock Price'!A864</f>
        <v>45726</v>
      </c>
      <c r="B864" s="17">
        <f>'Stock Price'!E864</f>
        <v>216.66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829.76</v>
      </c>
      <c r="L864" s="18">
        <v>63.11</v>
      </c>
      <c r="M864" s="18">
        <v>167.7</v>
      </c>
      <c r="O864" s="19">
        <f ca="1">IF('Stock Price'!$I$11="OK",B864/INDEX(B$5:B$1258,'Stock Price'!$I$9)-1,"")</f>
        <v>0.97844945667062366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2.5931234573247304</v>
      </c>
      <c r="Y864" s="19">
        <f ca="1">IF('Stock Price'!$I$11="OK",L864/INDEX(L$5:L$1258,'Stock Price'!$I$9)-1,"")</f>
        <v>6.6948436179205428E-2</v>
      </c>
      <c r="Z864" s="19">
        <f ca="1">IF('Stock Price'!$I$11="OK",M864/INDEX(M$5:M$1258,'Stock Price'!$I$9)-1,"")</f>
        <v>5.0883569369595039E-2</v>
      </c>
    </row>
    <row r="865" spans="1:26" x14ac:dyDescent="0.2">
      <c r="A865" s="16">
        <f>'Stock Price'!A865</f>
        <v>45727</v>
      </c>
      <c r="B865" s="17">
        <f>'Stock Price'!E865</f>
        <v>213.59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824.06</v>
      </c>
      <c r="L865" s="18">
        <v>61.51</v>
      </c>
      <c r="M865" s="18">
        <v>165.86</v>
      </c>
      <c r="O865" s="19">
        <f ca="1">IF('Stock Price'!$I$11="OK",B865/INDEX(B$5:B$1258,'Stock Price'!$I$9)-1,"")</f>
        <v>0.95041548717012136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2.5684406530117347</v>
      </c>
      <c r="Y865" s="19">
        <f ca="1">IF('Stock Price'!$I$11="OK",L865/INDEX(L$5:L$1258,'Stock Price'!$I$9)-1,"")</f>
        <v>3.9898562975485996E-2</v>
      </c>
      <c r="Z865" s="19">
        <f ca="1">IF('Stock Price'!$I$11="OK",M865/INDEX(M$5:M$1258,'Stock Price'!$I$9)-1,"")</f>
        <v>3.935330241884949E-2</v>
      </c>
    </row>
    <row r="866" spans="1:26" x14ac:dyDescent="0.2">
      <c r="A866" s="16">
        <f>'Stock Price'!A866</f>
        <v>45728</v>
      </c>
      <c r="B866" s="17">
        <f>'Stock Price'!E866</f>
        <v>212.06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821.86</v>
      </c>
      <c r="L866" s="18">
        <v>59.81</v>
      </c>
      <c r="M866" s="18">
        <v>162.85</v>
      </c>
      <c r="O866" s="19">
        <f ca="1">IF('Stock Price'!$I$11="OK",B866/INDEX(B$5:B$1258,'Stock Price'!$I$9)-1,"")</f>
        <v>0.93644416035065281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2.5589139566102284</v>
      </c>
      <c r="Y866" s="19">
        <f ca="1">IF('Stock Price'!$I$11="OK",L866/INDEX(L$5:L$1258,'Stock Price'!$I$9)-1,"")</f>
        <v>1.1158072696534349E-2</v>
      </c>
      <c r="Z866" s="19">
        <f ca="1">IF('Stock Price'!$I$11="OK",M866/INDEX(M$5:M$1258,'Stock Price'!$I$9)-1,"")</f>
        <v>2.0491289635292453E-2</v>
      </c>
    </row>
    <row r="867" spans="1:26" x14ac:dyDescent="0.2">
      <c r="A867" s="16">
        <f>'Stock Price'!A867</f>
        <v>45729</v>
      </c>
      <c r="B867" s="17">
        <f>'Stock Price'!E867</f>
        <v>211.55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801.65</v>
      </c>
      <c r="L867" s="18">
        <v>60.28</v>
      </c>
      <c r="M867" s="18">
        <v>162.99</v>
      </c>
      <c r="O867" s="19">
        <f ca="1">IF('Stock Price'!$I$11="OK",B867/INDEX(B$5:B$1258,'Stock Price'!$I$9)-1,"")</f>
        <v>0.93178705141083018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2.4713982592127484</v>
      </c>
      <c r="Y867" s="19">
        <f ca="1">IF('Stock Price'!$I$11="OK",L867/INDEX(L$5:L$1258,'Stock Price'!$I$9)-1,"")</f>
        <v>1.910397295012678E-2</v>
      </c>
      <c r="Z867" s="19">
        <f ca="1">IF('Stock Price'!$I$11="OK",M867/INDEX(M$5:M$1258,'Stock Price'!$I$9)-1,"")</f>
        <v>2.1368592555458088E-2</v>
      </c>
    </row>
    <row r="868" spans="1:26" x14ac:dyDescent="0.2">
      <c r="A868" s="16">
        <f>'Stock Price'!A868</f>
        <v>45730</v>
      </c>
      <c r="B868" s="17">
        <f>'Stock Price'!E868</f>
        <v>211.77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813.48</v>
      </c>
      <c r="L868" s="18">
        <v>59.01</v>
      </c>
      <c r="M868" s="18">
        <v>162.81</v>
      </c>
      <c r="O868" s="19">
        <f ca="1">IF('Stock Price'!$I$11="OK",B868/INDEX(B$5:B$1258,'Stock Price'!$I$9)-1,"")</f>
        <v>0.93379600036526345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2.5226259039535788</v>
      </c>
      <c r="Y868" s="19">
        <f ca="1">IF('Stock Price'!$I$11="OK",L868/INDEX(L$5:L$1258,'Stock Price'!$I$9)-1,"")</f>
        <v>-2.3668639053254781E-3</v>
      </c>
      <c r="Z868" s="19">
        <f ca="1">IF('Stock Price'!$I$11="OK",M868/INDEX(M$5:M$1258,'Stock Price'!$I$9)-1,"")</f>
        <v>2.0240631658102526E-2</v>
      </c>
    </row>
    <row r="869" spans="1:26" x14ac:dyDescent="0.2">
      <c r="A869" s="16">
        <f>'Stock Price'!A869</f>
        <v>45733</v>
      </c>
      <c r="B869" s="17">
        <f>'Stock Price'!E869</f>
        <v>214.47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824.76</v>
      </c>
      <c r="L869" s="18">
        <v>59.99</v>
      </c>
      <c r="M869" s="18">
        <v>162.84</v>
      </c>
      <c r="O869" s="19">
        <f ca="1">IF('Stock Price'!$I$11="OK",B869/INDEX(B$5:B$1258,'Stock Price'!$I$9)-1,"")</f>
        <v>0.95845128298785487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2.5714718745940326</v>
      </c>
      <c r="Y869" s="19">
        <f ca="1">IF('Stock Price'!$I$11="OK",L869/INDEX(L$5:L$1258,'Stock Price'!$I$9)-1,"")</f>
        <v>1.4201183431952646E-2</v>
      </c>
      <c r="Z869" s="19">
        <f ca="1">IF('Stock Price'!$I$11="OK",M869/INDEX(M$5:M$1258,'Stock Price'!$I$9)-1,"")</f>
        <v>2.0428625140995083E-2</v>
      </c>
    </row>
    <row r="870" spans="1:26" x14ac:dyDescent="0.2">
      <c r="A870" s="16">
        <f>'Stock Price'!A870</f>
        <v>45734</v>
      </c>
      <c r="B870" s="17">
        <f>'Stock Price'!E870</f>
        <v>213.85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822.51</v>
      </c>
      <c r="L870" s="18">
        <v>59.9</v>
      </c>
      <c r="M870" s="18">
        <v>164.25</v>
      </c>
      <c r="O870" s="19">
        <f ca="1">IF('Stock Price'!$I$11="OK",B870/INDEX(B$5:B$1258,'Stock Price'!$I$9)-1,"")</f>
        <v>0.95278969957081538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2.5617286623652187</v>
      </c>
      <c r="Y870" s="19">
        <f ca="1">IF('Stock Price'!$I$11="OK",L870/INDEX(L$5:L$1258,'Stock Price'!$I$9)-1,"")</f>
        <v>1.2679628064243387E-2</v>
      </c>
      <c r="Z870" s="19">
        <f ca="1">IF('Stock Price'!$I$11="OK",M870/INDEX(M$5:M$1258,'Stock Price'!$I$9)-1,"")</f>
        <v>2.9264318836946801E-2</v>
      </c>
    </row>
    <row r="871" spans="1:26" x14ac:dyDescent="0.2">
      <c r="A871" s="16">
        <f>'Stock Price'!A871</f>
        <v>45735</v>
      </c>
      <c r="B871" s="17">
        <f>'Stock Price'!E871</f>
        <v>212.25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837.01</v>
      </c>
      <c r="L871" s="18">
        <v>60.08</v>
      </c>
      <c r="M871" s="18">
        <v>162.99</v>
      </c>
      <c r="O871" s="19">
        <f ca="1">IF('Stock Price'!$I$11="OK",B871/INDEX(B$5:B$1258,'Stock Price'!$I$9)-1,"")</f>
        <v>0.93817916172039073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2.6245182522842416</v>
      </c>
      <c r="Y871" s="19">
        <f ca="1">IF('Stock Price'!$I$11="OK",L871/INDEX(L$5:L$1258,'Stock Price'!$I$9)-1,"")</f>
        <v>1.5722738799661906E-2</v>
      </c>
      <c r="Z871" s="19">
        <f ca="1">IF('Stock Price'!$I$11="OK",M871/INDEX(M$5:M$1258,'Stock Price'!$I$9)-1,"")</f>
        <v>2.1368592555458088E-2</v>
      </c>
    </row>
    <row r="872" spans="1:26" x14ac:dyDescent="0.2">
      <c r="A872" s="16">
        <f>'Stock Price'!A872</f>
        <v>45736</v>
      </c>
      <c r="B872" s="17">
        <f>'Stock Price'!E872</f>
        <v>211.96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842.57</v>
      </c>
      <c r="L872" s="18">
        <v>60.42</v>
      </c>
      <c r="M872" s="18">
        <v>163.02000000000001</v>
      </c>
      <c r="O872" s="19">
        <f ca="1">IF('Stock Price'!$I$11="OK",B872/INDEX(B$5:B$1258,'Stock Price'!$I$9)-1,"")</f>
        <v>0.93553100173500137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2.6485948122807779</v>
      </c>
      <c r="Y872" s="19">
        <f ca="1">IF('Stock Price'!$I$11="OK",L872/INDEX(L$5:L$1258,'Stock Price'!$I$9)-1,"")</f>
        <v>2.1470836855452369E-2</v>
      </c>
      <c r="Z872" s="19">
        <f ca="1">IF('Stock Price'!$I$11="OK",M872/INDEX(M$5:M$1258,'Stock Price'!$I$9)-1,"")</f>
        <v>2.1556586038350645E-2</v>
      </c>
    </row>
    <row r="873" spans="1:26" x14ac:dyDescent="0.2">
      <c r="A873" s="16">
        <f>'Stock Price'!A873</f>
        <v>45737</v>
      </c>
      <c r="B873" s="17">
        <f>'Stock Price'!E873</f>
        <v>210.01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837.57</v>
      </c>
      <c r="L873" s="18">
        <v>61.07</v>
      </c>
      <c r="M873" s="18">
        <v>163.63</v>
      </c>
      <c r="O873" s="19">
        <f ca="1">IF('Stock Price'!$I$11="OK",B873/INDEX(B$5:B$1258,'Stock Price'!$I$9)-1,"")</f>
        <v>0.91772440872979621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2.6269432295500801</v>
      </c>
      <c r="Y873" s="19">
        <f ca="1">IF('Stock Price'!$I$11="OK",L873/INDEX(L$5:L$1258,'Stock Price'!$I$9)-1,"")</f>
        <v>3.2459847844463319E-2</v>
      </c>
      <c r="Z873" s="19">
        <f ca="1">IF('Stock Price'!$I$11="OK",M873/INDEX(M$5:M$1258,'Stock Price'!$I$9)-1,"")</f>
        <v>2.5379120190500037E-2</v>
      </c>
    </row>
    <row r="874" spans="1:26" x14ac:dyDescent="0.2">
      <c r="A874" s="16">
        <f>'Stock Price'!A874</f>
        <v>45740</v>
      </c>
      <c r="B874" s="17">
        <f>'Stock Price'!E874</f>
        <v>209.17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864.9</v>
      </c>
      <c r="L874" s="18">
        <v>61.05</v>
      </c>
      <c r="M874" s="18">
        <v>163.29</v>
      </c>
      <c r="O874" s="19">
        <f ca="1">IF('Stock Price'!$I$11="OK",B874/INDEX(B$5:B$1258,'Stock Price'!$I$9)-1,"")</f>
        <v>0.91005387635832324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2.7452907807560729</v>
      </c>
      <c r="Y874" s="19">
        <f ca="1">IF('Stock Price'!$I$11="OK",L874/INDEX(L$5:L$1258,'Stock Price'!$I$9)-1,"")</f>
        <v>3.2121724429416743E-2</v>
      </c>
      <c r="Z874" s="19">
        <f ca="1">IF('Stock Price'!$I$11="OK",M874/INDEX(M$5:M$1258,'Stock Price'!$I$9)-1,"")</f>
        <v>2.3248527384383877E-2</v>
      </c>
    </row>
    <row r="875" spans="1:26" x14ac:dyDescent="0.2">
      <c r="A875" s="16">
        <f>'Stock Price'!A875</f>
        <v>45741</v>
      </c>
      <c r="B875" s="17">
        <f>'Stock Price'!E875</f>
        <v>201.34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852.35</v>
      </c>
      <c r="L875" s="18">
        <v>59.19</v>
      </c>
      <c r="M875" s="18">
        <v>161.02000000000001</v>
      </c>
      <c r="O875" s="19">
        <f ca="1">IF('Stock Price'!$I$11="OK",B875/INDEX(B$5:B$1258,'Stock Price'!$I$9)-1,"")</f>
        <v>0.83855355675280796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2.6909453081020223</v>
      </c>
      <c r="Y875" s="19">
        <f ca="1">IF('Stock Price'!$I$11="OK",L875/INDEX(L$5:L$1258,'Stock Price'!$I$9)-1,"")</f>
        <v>6.762468300929303E-4</v>
      </c>
      <c r="Z875" s="19">
        <f ca="1">IF('Stock Price'!$I$11="OK",M875/INDEX(M$5:M$1258,'Stock Price'!$I$9)-1,"")</f>
        <v>9.0236871788444972E-3</v>
      </c>
    </row>
    <row r="876" spans="1:26" x14ac:dyDescent="0.2">
      <c r="A876" s="16">
        <f>'Stock Price'!A876</f>
        <v>45742</v>
      </c>
      <c r="B876" s="17">
        <f>'Stock Price'!E876</f>
        <v>201.3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826.76</v>
      </c>
      <c r="L876" s="18">
        <v>59.21</v>
      </c>
      <c r="M876" s="18">
        <v>161.72</v>
      </c>
      <c r="O876" s="19">
        <f ca="1">IF('Stock Price'!$I$11="OK",B876/INDEX(B$5:B$1258,'Stock Price'!$I$9)-1,"")</f>
        <v>0.83818829330654743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2.5801325076863115</v>
      </c>
      <c r="Y876" s="19">
        <f ca="1">IF('Stock Price'!$I$11="OK",L876/INDEX(L$5:L$1258,'Stock Price'!$I$9)-1,"")</f>
        <v>1.0143702451395065E-3</v>
      </c>
      <c r="Z876" s="19">
        <f ca="1">IF('Stock Price'!$I$11="OK",M876/INDEX(M$5:M$1258,'Stock Price'!$I$9)-1,"")</f>
        <v>1.341020177967156E-2</v>
      </c>
    </row>
    <row r="877" spans="1:26" x14ac:dyDescent="0.2">
      <c r="A877" s="16">
        <f>'Stock Price'!A877</f>
        <v>45743</v>
      </c>
      <c r="B877" s="17">
        <f>'Stock Price'!E877</f>
        <v>202.72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821.67</v>
      </c>
      <c r="L877" s="18">
        <v>58.9</v>
      </c>
      <c r="M877" s="18">
        <v>163.13</v>
      </c>
      <c r="O877" s="19">
        <f ca="1">IF('Stock Price'!$I$11="OK",B877/INDEX(B$5:B$1258,'Stock Price'!$I$9)-1,"")</f>
        <v>0.85115514564879913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2.5580911964664614</v>
      </c>
      <c r="Y877" s="19">
        <f ca="1">IF('Stock Price'!$I$11="OK",L877/INDEX(L$5:L$1258,'Stock Price'!$I$9)-1,"")</f>
        <v>-4.2265426880812029E-3</v>
      </c>
      <c r="Z877" s="19">
        <f ca="1">IF('Stock Price'!$I$11="OK",M877/INDEX(M$5:M$1258,'Stock Price'!$I$9)-1,"")</f>
        <v>2.2245895475623501E-2</v>
      </c>
    </row>
    <row r="878" spans="1:26" x14ac:dyDescent="0.2">
      <c r="A878" s="16">
        <f>'Stock Price'!A878</f>
        <v>45744</v>
      </c>
      <c r="B878" s="17">
        <f>'Stock Price'!E878</f>
        <v>205.29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822.51</v>
      </c>
      <c r="L878" s="18">
        <v>60.02</v>
      </c>
      <c r="M878" s="18">
        <v>163.71</v>
      </c>
      <c r="O878" s="19">
        <f ca="1">IF('Stock Price'!$I$11="OK",B878/INDEX(B$5:B$1258,'Stock Price'!$I$9)-1,"")</f>
        <v>0.87462332207104354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2.5617286623652187</v>
      </c>
      <c r="Y878" s="19">
        <f ca="1">IF('Stock Price'!$I$11="OK",L878/INDEX(L$5:L$1258,'Stock Price'!$I$9)-1,"")</f>
        <v>1.47083685545224E-2</v>
      </c>
      <c r="Z878" s="19">
        <f ca="1">IF('Stock Price'!$I$11="OK",M878/INDEX(M$5:M$1258,'Stock Price'!$I$9)-1,"")</f>
        <v>2.5880436144880337E-2</v>
      </c>
    </row>
    <row r="879" spans="1:26" x14ac:dyDescent="0.2">
      <c r="A879" s="16">
        <f>'Stock Price'!A879</f>
        <v>45747</v>
      </c>
      <c r="B879" s="17">
        <f>'Stock Price'!E879</f>
        <v>209.52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825.91</v>
      </c>
      <c r="L879" s="18">
        <v>60.99</v>
      </c>
      <c r="M879" s="18">
        <v>165.84</v>
      </c>
      <c r="O879" s="19">
        <f ca="1">IF('Stock Price'!$I$11="OK",B879/INDEX(B$5:B$1258,'Stock Price'!$I$9)-1,"")</f>
        <v>0.91324993151310374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2.5764517386220929</v>
      </c>
      <c r="Y879" s="19">
        <f ca="1">IF('Stock Price'!$I$11="OK",L879/INDEX(L$5:L$1258,'Stock Price'!$I$9)-1,"")</f>
        <v>3.1107354184277236E-2</v>
      </c>
      <c r="Z879" s="19">
        <f ca="1">IF('Stock Price'!$I$11="OK",M879/INDEX(M$5:M$1258,'Stock Price'!$I$9)-1,"")</f>
        <v>3.9227973430254304E-2</v>
      </c>
    </row>
    <row r="880" spans="1:26" x14ac:dyDescent="0.2">
      <c r="A880" s="16">
        <f>'Stock Price'!A880</f>
        <v>45748</v>
      </c>
      <c r="B880" s="17">
        <f>'Stock Price'!E880</f>
        <v>206.27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805.23</v>
      </c>
      <c r="L880" s="18">
        <v>59.55</v>
      </c>
      <c r="M880" s="18">
        <v>153.25</v>
      </c>
      <c r="O880" s="19">
        <f ca="1">IF('Stock Price'!$I$11="OK",B880/INDEX(B$5:B$1258,'Stock Price'!$I$9)-1,"")</f>
        <v>0.88357227650442893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2.4869007924479281</v>
      </c>
      <c r="Y880" s="19">
        <f ca="1">IF('Stock Price'!$I$11="OK",L880/INDEX(L$5:L$1258,'Stock Price'!$I$9)-1,"")</f>
        <v>6.762468300929747E-3</v>
      </c>
      <c r="Z880" s="19">
        <f ca="1">IF('Stock Price'!$I$11="OK",M880/INDEX(M$5:M$1258,'Stock Price'!$I$9)-1,"")</f>
        <v>-3.9666624890337232E-2</v>
      </c>
    </row>
    <row r="881" spans="1:26" x14ac:dyDescent="0.2">
      <c r="A881" s="16">
        <f>'Stock Price'!A881</f>
        <v>45749</v>
      </c>
      <c r="B881" s="17">
        <f>'Stock Price'!E881</f>
        <v>205.19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818.22</v>
      </c>
      <c r="L881" s="18">
        <v>59.6</v>
      </c>
      <c r="M881" s="18">
        <v>155.36000000000001</v>
      </c>
      <c r="O881" s="19">
        <f ca="1">IF('Stock Price'!$I$11="OK",B881/INDEX(B$5:B$1258,'Stock Price'!$I$9)-1,"")</f>
        <v>0.8737101634553921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2.5431516043822802</v>
      </c>
      <c r="Y881" s="19">
        <f ca="1">IF('Stock Price'!$I$11="OK",L881/INDEX(L$5:L$1258,'Stock Price'!$I$9)-1,"")</f>
        <v>7.6077768385460764E-3</v>
      </c>
      <c r="Z881" s="19">
        <f ca="1">IF('Stock Price'!$I$11="OK",M881/INDEX(M$5:M$1258,'Stock Price'!$I$9)-1,"")</f>
        <v>-2.6444416593558118E-2</v>
      </c>
    </row>
    <row r="882" spans="1:26" x14ac:dyDescent="0.2">
      <c r="A882" s="16">
        <f>'Stock Price'!A882</f>
        <v>45750</v>
      </c>
      <c r="B882" s="17">
        <f>'Stock Price'!E882</f>
        <v>201.64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789.09</v>
      </c>
      <c r="L882" s="18">
        <v>57.82</v>
      </c>
      <c r="M882" s="18">
        <v>159.82</v>
      </c>
      <c r="O882" s="19">
        <f ca="1">IF('Stock Price'!$I$11="OK",B882/INDEX(B$5:B$1258,'Stock Price'!$I$9)-1,"")</f>
        <v>0.84129303259976229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2.4170094833932363</v>
      </c>
      <c r="Y882" s="19">
        <f ca="1">IF('Stock Price'!$I$11="OK",L882/INDEX(L$5:L$1258,'Stock Price'!$I$9)-1,"")</f>
        <v>-2.2485207100591653E-2</v>
      </c>
      <c r="Z882" s="19">
        <f ca="1">IF('Stock Price'!$I$11="OK",M882/INDEX(M$5:M$1258,'Stock Price'!$I$9)-1,"")</f>
        <v>1.5039478631406755E-3</v>
      </c>
    </row>
    <row r="883" spans="1:26" x14ac:dyDescent="0.2">
      <c r="A883" s="16">
        <f>'Stock Price'!A883</f>
        <v>45751</v>
      </c>
      <c r="B883" s="17">
        <f>'Stock Price'!E883</f>
        <v>186.96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738.21</v>
      </c>
      <c r="L883" s="18">
        <v>55.3</v>
      </c>
      <c r="M883" s="18">
        <v>153.24</v>
      </c>
      <c r="O883" s="19">
        <f ca="1">IF('Stock Price'!$I$11="OK",B883/INDEX(B$5:B$1258,'Stock Price'!$I$9)-1,"")</f>
        <v>0.70724134782211667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2.1966829775256573</v>
      </c>
      <c r="Y883" s="19">
        <f ca="1">IF('Stock Price'!$I$11="OK",L883/INDEX(L$5:L$1258,'Stock Price'!$I$9)-1,"")</f>
        <v>-6.5088757396449703E-2</v>
      </c>
      <c r="Z883" s="19">
        <f ca="1">IF('Stock Price'!$I$11="OK",M883/INDEX(M$5:M$1258,'Stock Price'!$I$9)-1,"")</f>
        <v>-3.9729289384634714E-2</v>
      </c>
    </row>
    <row r="884" spans="1:26" x14ac:dyDescent="0.2">
      <c r="A884" s="16">
        <f>'Stock Price'!A884</f>
        <v>45754</v>
      </c>
      <c r="B884" s="17">
        <f>'Stock Price'!E884</f>
        <v>186.55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723.73</v>
      </c>
      <c r="L884" s="18">
        <v>55.19</v>
      </c>
      <c r="M884" s="18">
        <v>150.62</v>
      </c>
      <c r="O884" s="19">
        <f ca="1">IF('Stock Price'!$I$11="OK",B884/INDEX(B$5:B$1258,'Stock Price'!$I$9)-1,"")</f>
        <v>0.70349739749794549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2.1339799939375568</v>
      </c>
      <c r="Y884" s="19">
        <f ca="1">IF('Stock Price'!$I$11="OK",L884/INDEX(L$5:L$1258,'Stock Price'!$I$9)-1,"")</f>
        <v>-6.6948436179205428E-2</v>
      </c>
      <c r="Z884" s="19">
        <f ca="1">IF('Stock Price'!$I$11="OK",M884/INDEX(M$5:M$1258,'Stock Price'!$I$9)-1,"")</f>
        <v>-5.6147386890587847E-2</v>
      </c>
    </row>
    <row r="885" spans="1:26" x14ac:dyDescent="0.2">
      <c r="A885" s="16">
        <f>'Stock Price'!A885</f>
        <v>45755</v>
      </c>
      <c r="B885" s="17">
        <f>'Stock Price'!E885</f>
        <v>175.67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726.24</v>
      </c>
      <c r="L885" s="18">
        <v>53.07</v>
      </c>
      <c r="M885" s="18">
        <v>150</v>
      </c>
      <c r="O885" s="19">
        <f ca="1">IF('Stock Price'!$I$11="OK",B885/INDEX(B$5:B$1258,'Stock Price'!$I$9)-1,"")</f>
        <v>0.60414574011505784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2.1448490884683671</v>
      </c>
      <c r="Y885" s="19">
        <f ca="1">IF('Stock Price'!$I$11="OK",L885/INDEX(L$5:L$1258,'Stock Price'!$I$9)-1,"")</f>
        <v>-0.10278951817413351</v>
      </c>
      <c r="Z885" s="19">
        <f ca="1">IF('Stock Price'!$I$11="OK",M885/INDEX(M$5:M$1258,'Stock Price'!$I$9)-1,"")</f>
        <v>-6.0032585537034833E-2</v>
      </c>
    </row>
    <row r="886" spans="1:26" x14ac:dyDescent="0.2">
      <c r="A886" s="16">
        <f>'Stock Price'!A886</f>
        <v>45756</v>
      </c>
      <c r="B886" s="17">
        <f>'Stock Price'!E886</f>
        <v>179.84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753.71</v>
      </c>
      <c r="L886" s="18">
        <v>53.74</v>
      </c>
      <c r="M886" s="18">
        <v>150.97</v>
      </c>
      <c r="O886" s="19">
        <f ca="1">IF('Stock Price'!$I$11="OK",B886/INDEX(B$5:B$1258,'Stock Price'!$I$9)-1,"")</f>
        <v>0.64222445438772713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2.2638028839908197</v>
      </c>
      <c r="Y886" s="19">
        <f ca="1">IF('Stock Price'!$I$11="OK",L886/INDEX(L$5:L$1258,'Stock Price'!$I$9)-1,"")</f>
        <v>-9.1462383770075983E-2</v>
      </c>
      <c r="Z886" s="19">
        <f ca="1">IF('Stock Price'!$I$11="OK",M886/INDEX(M$5:M$1258,'Stock Price'!$I$9)-1,"")</f>
        <v>-5.3954129590174316E-2</v>
      </c>
    </row>
    <row r="887" spans="1:26" x14ac:dyDescent="0.2">
      <c r="A887" s="16">
        <f>'Stock Price'!A887</f>
        <v>45757</v>
      </c>
      <c r="B887" s="17">
        <f>'Stock Price'!E887</f>
        <v>174.2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720.91</v>
      </c>
      <c r="L887" s="18">
        <v>50.46</v>
      </c>
      <c r="M887" s="18">
        <v>148.69</v>
      </c>
      <c r="O887" s="19">
        <f ca="1">IF('Stock Price'!$I$11="OK",B887/INDEX(B$5:B$1258,'Stock Price'!$I$9)-1,"")</f>
        <v>0.59072230846498019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2.121768501277443</v>
      </c>
      <c r="Y887" s="19">
        <f ca="1">IF('Stock Price'!$I$11="OK",L887/INDEX(L$5:L$1258,'Stock Price'!$I$9)-1,"")</f>
        <v>-0.14691462383770071</v>
      </c>
      <c r="Z887" s="19">
        <f ca="1">IF('Stock Price'!$I$11="OK",M887/INDEX(M$5:M$1258,'Stock Price'!$I$9)-1,"")</f>
        <v>-6.8241634290011399E-2</v>
      </c>
    </row>
    <row r="888" spans="1:26" x14ac:dyDescent="0.2">
      <c r="A888" s="16">
        <f>'Stock Price'!A888</f>
        <v>45758</v>
      </c>
      <c r="B888" s="17">
        <f>'Stock Price'!E888</f>
        <v>175.05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732.41</v>
      </c>
      <c r="L888" s="18">
        <v>50.71</v>
      </c>
      <c r="M888" s="18">
        <v>151.72999999999999</v>
      </c>
      <c r="O888" s="19">
        <f ca="1">IF('Stock Price'!$I$11="OK",B888/INDEX(B$5:B$1258,'Stock Price'!$I$9)-1,"")</f>
        <v>0.59848415669801858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2.1715671415580475</v>
      </c>
      <c r="Y888" s="19">
        <f ca="1">IF('Stock Price'!$I$11="OK",L888/INDEX(L$5:L$1258,'Stock Price'!$I$9)-1,"")</f>
        <v>-0.14268808114961962</v>
      </c>
      <c r="Z888" s="19">
        <f ca="1">IF('Stock Price'!$I$11="OK",M888/INDEX(M$5:M$1258,'Stock Price'!$I$9)-1,"")</f>
        <v>-4.9191628023562028E-2</v>
      </c>
    </row>
    <row r="889" spans="1:26" x14ac:dyDescent="0.2">
      <c r="A889" s="16">
        <f>'Stock Price'!A889</f>
        <v>45761</v>
      </c>
      <c r="B889" s="17">
        <f>'Stock Price'!E889</f>
        <v>179.1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754.35</v>
      </c>
      <c r="L889" s="18">
        <v>51.34</v>
      </c>
      <c r="M889" s="18">
        <v>154.36000000000001</v>
      </c>
      <c r="O889" s="19">
        <f ca="1">IF('Stock Price'!$I$11="OK",B889/INDEX(B$5:B$1258,'Stock Price'!$I$9)-1,"")</f>
        <v>0.6354670806319056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2.2665742865803491</v>
      </c>
      <c r="Y889" s="19">
        <f ca="1">IF('Stock Price'!$I$11="OK",L889/INDEX(L$5:L$1258,'Stock Price'!$I$9)-1,"")</f>
        <v>-0.13203719357565502</v>
      </c>
      <c r="Z889" s="19">
        <f ca="1">IF('Stock Price'!$I$11="OK",M889/INDEX(M$5:M$1258,'Stock Price'!$I$9)-1,"")</f>
        <v>-3.2710866023311191E-2</v>
      </c>
    </row>
    <row r="890" spans="1:26" x14ac:dyDescent="0.2">
      <c r="A890" s="16">
        <f>'Stock Price'!A890</f>
        <v>45762</v>
      </c>
      <c r="B890" s="17">
        <f>'Stock Price'!E890</f>
        <v>176.8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757.18</v>
      </c>
      <c r="L890" s="18">
        <v>50</v>
      </c>
      <c r="M890" s="18">
        <v>153.62</v>
      </c>
      <c r="O890" s="19">
        <f ca="1">IF('Stock Price'!$I$11="OK",B890/INDEX(B$5:B$1258,'Stock Price'!$I$9)-1,"")</f>
        <v>0.6144644324719204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2.2788290824059234</v>
      </c>
      <c r="Y890" s="19">
        <f ca="1">IF('Stock Price'!$I$11="OK",L890/INDEX(L$5:L$1258,'Stock Price'!$I$9)-1,"")</f>
        <v>-0.15469146238377007</v>
      </c>
      <c r="Z890" s="19">
        <f ca="1">IF('Stock Price'!$I$11="OK",M890/INDEX(M$5:M$1258,'Stock Price'!$I$9)-1,"")</f>
        <v>-3.7348038601328515E-2</v>
      </c>
    </row>
    <row r="891" spans="1:26" x14ac:dyDescent="0.2">
      <c r="A891" s="16">
        <f>'Stock Price'!A891</f>
        <v>45763</v>
      </c>
      <c r="B891" s="17">
        <f>'Stock Price'!E891</f>
        <v>171.68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734.9</v>
      </c>
      <c r="L891" s="18">
        <v>49.36</v>
      </c>
      <c r="M891" s="18">
        <v>153.91</v>
      </c>
      <c r="O891" s="19">
        <f ca="1">IF('Stock Price'!$I$11="OK",B891/INDEX(B$5:B$1258,'Stock Price'!$I$9)-1,"")</f>
        <v>0.5677107113505615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2.182349629757935</v>
      </c>
      <c r="Y891" s="19">
        <f ca="1">IF('Stock Price'!$I$11="OK",L891/INDEX(L$5:L$1258,'Stock Price'!$I$9)-1,"")</f>
        <v>-0.16551141166525785</v>
      </c>
      <c r="Z891" s="19">
        <f ca="1">IF('Stock Price'!$I$11="OK",M891/INDEX(M$5:M$1258,'Stock Price'!$I$9)-1,"")</f>
        <v>-3.5530768266700208E-2</v>
      </c>
    </row>
    <row r="892" spans="1:26" x14ac:dyDescent="0.2">
      <c r="A892" s="16">
        <f>'Stock Price'!A892</f>
        <v>45764</v>
      </c>
      <c r="B892" s="17">
        <f>'Stock Price'!E892</f>
        <v>172.99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839.96</v>
      </c>
      <c r="L892" s="18">
        <v>49.23</v>
      </c>
      <c r="M892" s="18">
        <v>157.47</v>
      </c>
      <c r="O892" s="19">
        <f ca="1">IF('Stock Price'!$I$11="OK",B892/INDEX(B$5:B$1258,'Stock Price'!$I$9)-1,"")</f>
        <v>0.57967308921559679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2.6372926860953538</v>
      </c>
      <c r="Y892" s="19">
        <f ca="1">IF('Stock Price'!$I$11="OK",L892/INDEX(L$5:L$1258,'Stock Price'!$I$9)-1,"")</f>
        <v>-0.16770921386306004</v>
      </c>
      <c r="Z892" s="19">
        <f ca="1">IF('Stock Price'!$I$11="OK",M892/INDEX(M$5:M$1258,'Stock Price'!$I$9)-1,"")</f>
        <v>-1.3222208296779114E-2</v>
      </c>
    </row>
    <row r="893" spans="1:26" x14ac:dyDescent="0.2">
      <c r="A893" s="16">
        <f>'Stock Price'!A893</f>
        <v>45768</v>
      </c>
      <c r="B893" s="17">
        <f>'Stock Price'!E893</f>
        <v>170.16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818.02</v>
      </c>
      <c r="L893" s="18">
        <v>48.94</v>
      </c>
      <c r="M893" s="18">
        <v>156.91999999999999</v>
      </c>
      <c r="O893" s="19">
        <f ca="1">IF('Stock Price'!$I$11="OK",B893/INDEX(B$5:B$1258,'Stock Price'!$I$9)-1,"")</f>
        <v>0.55383070039265814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2.5422855410730523</v>
      </c>
      <c r="Y893" s="19">
        <f ca="1">IF('Stock Price'!$I$11="OK",L893/INDEX(L$5:L$1258,'Stock Price'!$I$9)-1,"")</f>
        <v>-0.17261200338123417</v>
      </c>
      <c r="Z893" s="19">
        <f ca="1">IF('Stock Price'!$I$11="OK",M893/INDEX(M$5:M$1258,'Stock Price'!$I$9)-1,"")</f>
        <v>-1.6668755483143394E-2</v>
      </c>
    </row>
    <row r="894" spans="1:26" x14ac:dyDescent="0.2">
      <c r="A894" s="16">
        <f>'Stock Price'!A894</f>
        <v>45769</v>
      </c>
      <c r="B894" s="17">
        <f>'Stock Price'!E894</f>
        <v>173.78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827.54</v>
      </c>
      <c r="L894" s="18">
        <v>49.82</v>
      </c>
      <c r="M894" s="18">
        <v>157.75</v>
      </c>
      <c r="O894" s="19">
        <f ca="1">IF('Stock Price'!$I$11="OK",B894/INDEX(B$5:B$1258,'Stock Price'!$I$9)-1,"")</f>
        <v>0.58688704227924382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2.5835101545923003</v>
      </c>
      <c r="Y894" s="19">
        <f ca="1">IF('Stock Price'!$I$11="OK",L894/INDEX(L$5:L$1258,'Stock Price'!$I$9)-1,"")</f>
        <v>-0.15773457311918848</v>
      </c>
      <c r="Z894" s="19">
        <f ca="1">IF('Stock Price'!$I$11="OK",M894/INDEX(M$5:M$1258,'Stock Price'!$I$9)-1,"")</f>
        <v>-1.1467602456448289E-2</v>
      </c>
    </row>
    <row r="895" spans="1:26" x14ac:dyDescent="0.2">
      <c r="A895" s="16">
        <f>'Stock Price'!A895</f>
        <v>45770</v>
      </c>
      <c r="B895" s="17">
        <f>'Stock Price'!E895</f>
        <v>177.05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829.42</v>
      </c>
      <c r="L895" s="18">
        <v>48.53</v>
      </c>
      <c r="M895" s="18">
        <v>155.38</v>
      </c>
      <c r="O895" s="19">
        <f ca="1">IF('Stock Price'!$I$11="OK",B895/INDEX(B$5:B$1258,'Stock Price'!$I$9)-1,"")</f>
        <v>0.61674732901104923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2.5916511496990426</v>
      </c>
      <c r="Y895" s="19">
        <f ca="1">IF('Stock Price'!$I$11="OK",L895/INDEX(L$5:L$1258,'Stock Price'!$I$9)-1,"")</f>
        <v>-0.1795435333896872</v>
      </c>
      <c r="Z895" s="19">
        <f ca="1">IF('Stock Price'!$I$11="OK",M895/INDEX(M$5:M$1258,'Stock Price'!$I$9)-1,"")</f>
        <v>-2.6319087604963154E-2</v>
      </c>
    </row>
    <row r="896" spans="1:26" x14ac:dyDescent="0.2">
      <c r="A896" s="16">
        <f>'Stock Price'!A896</f>
        <v>45771</v>
      </c>
      <c r="B896" s="17">
        <f>'Stock Price'!E896</f>
        <v>180.37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859.73</v>
      </c>
      <c r="L896" s="18">
        <v>48.69</v>
      </c>
      <c r="M896" s="18">
        <v>154.93</v>
      </c>
      <c r="O896" s="19">
        <f ca="1">IF('Stock Price'!$I$11="OK",B896/INDEX(B$5:B$1258,'Stock Price'!$I$9)-1,"")</f>
        <v>0.64706419505068036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2.7229030442125319</v>
      </c>
      <c r="Y896" s="19">
        <f ca="1">IF('Stock Price'!$I$11="OK",L896/INDEX(L$5:L$1258,'Stock Price'!$I$9)-1,"")</f>
        <v>-0.17683854606931537</v>
      </c>
      <c r="Z896" s="19">
        <f ca="1">IF('Stock Price'!$I$11="OK",M896/INDEX(M$5:M$1258,'Stock Price'!$I$9)-1,"")</f>
        <v>-2.9138989848351948E-2</v>
      </c>
    </row>
    <row r="897" spans="1:26" x14ac:dyDescent="0.2">
      <c r="A897" s="16">
        <f>'Stock Price'!A897</f>
        <v>45772</v>
      </c>
      <c r="B897" s="17">
        <f>'Stock Price'!E897</f>
        <v>186.06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884.54</v>
      </c>
      <c r="L897" s="18">
        <v>47.9</v>
      </c>
      <c r="M897" s="18">
        <v>154.58000000000001</v>
      </c>
      <c r="O897" s="19">
        <f ca="1">IF('Stock Price'!$I$11="OK",B897/INDEX(B$5:B$1258,'Stock Price'!$I$9)-1,"")</f>
        <v>0.69902292028125279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2.830338197722253</v>
      </c>
      <c r="Y897" s="19">
        <f ca="1">IF('Stock Price'!$I$11="OK",L897/INDEX(L$5:L$1258,'Stock Price'!$I$9)-1,"")</f>
        <v>-0.19019442096365169</v>
      </c>
      <c r="Z897" s="19">
        <f ca="1">IF('Stock Price'!$I$11="OK",M897/INDEX(M$5:M$1258,'Stock Price'!$I$9)-1,"")</f>
        <v>-3.133224714876548E-2</v>
      </c>
    </row>
    <row r="898" spans="1:26" x14ac:dyDescent="0.2">
      <c r="A898" s="16">
        <f>'Stock Price'!A898</f>
        <v>45775</v>
      </c>
      <c r="B898" s="17">
        <f>'Stock Price'!E898</f>
        <v>192.34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877.29</v>
      </c>
      <c r="L898" s="18">
        <v>48.46</v>
      </c>
      <c r="M898" s="18">
        <v>155.35</v>
      </c>
      <c r="O898" s="19">
        <f ca="1">IF('Stock Price'!$I$11="OK",B898/INDEX(B$5:B$1258,'Stock Price'!$I$9)-1,"")</f>
        <v>0.75636928134416936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2.7989434027627418</v>
      </c>
      <c r="Y898" s="19">
        <f ca="1">IF('Stock Price'!$I$11="OK",L898/INDEX(L$5:L$1258,'Stock Price'!$I$9)-1,"")</f>
        <v>-0.18072696534234989</v>
      </c>
      <c r="Z898" s="19">
        <f ca="1">IF('Stock Price'!$I$11="OK",M898/INDEX(M$5:M$1258,'Stock Price'!$I$9)-1,"")</f>
        <v>-2.6507081087855711E-2</v>
      </c>
    </row>
    <row r="899" spans="1:26" x14ac:dyDescent="0.2">
      <c r="A899" s="16">
        <f>'Stock Price'!A899</f>
        <v>45776</v>
      </c>
      <c r="B899" s="17">
        <f>'Stock Price'!E899</f>
        <v>193.51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885.2</v>
      </c>
      <c r="L899" s="18">
        <v>49.22</v>
      </c>
      <c r="M899" s="18">
        <v>155.91</v>
      </c>
      <c r="O899" s="19">
        <f ca="1">IF('Stock Price'!$I$11="OK",B899/INDEX(B$5:B$1258,'Stock Price'!$I$9)-1,"")</f>
        <v>0.76705323714729223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2.8331962066427057</v>
      </c>
      <c r="Y899" s="19">
        <f ca="1">IF('Stock Price'!$I$11="OK",L899/INDEX(L$5:L$1258,'Stock Price'!$I$9)-1,"")</f>
        <v>-0.16787827557058321</v>
      </c>
      <c r="Z899" s="19">
        <f ca="1">IF('Stock Price'!$I$11="OK",M899/INDEX(M$5:M$1258,'Stock Price'!$I$9)-1,"")</f>
        <v>-2.2997869407193949E-2</v>
      </c>
    </row>
    <row r="900" spans="1:26" x14ac:dyDescent="0.2">
      <c r="A900" s="16">
        <f>'Stock Price'!A900</f>
        <v>45777</v>
      </c>
      <c r="B900" s="17">
        <f>'Stock Price'!E900</f>
        <v>195.1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898.95</v>
      </c>
      <c r="L900" s="18">
        <v>50.2</v>
      </c>
      <c r="M900" s="18">
        <v>156.31</v>
      </c>
      <c r="O900" s="19">
        <f ca="1">IF('Stock Price'!$I$11="OK",B900/INDEX(B$5:B$1258,'Stock Price'!$I$9)-1,"")</f>
        <v>0.78157245913615192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2.8927380591521241</v>
      </c>
      <c r="Y900" s="19">
        <f ca="1">IF('Stock Price'!$I$11="OK",L900/INDEX(L$5:L$1258,'Stock Price'!$I$9)-1,"")</f>
        <v>-0.15131022823330509</v>
      </c>
      <c r="Z900" s="19">
        <f ca="1">IF('Stock Price'!$I$11="OK",M900/INDEX(M$5:M$1258,'Stock Price'!$I$9)-1,"")</f>
        <v>-2.0491289635292675E-2</v>
      </c>
    </row>
    <row r="901" spans="1:26" x14ac:dyDescent="0.2">
      <c r="A901" s="16">
        <f>'Stock Price'!A901</f>
        <v>45778</v>
      </c>
      <c r="B901" s="17">
        <f>'Stock Price'!E901</f>
        <v>193.34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794.1</v>
      </c>
      <c r="L901" s="18">
        <v>49.61</v>
      </c>
      <c r="M901" s="18">
        <v>154.46</v>
      </c>
      <c r="O901" s="19">
        <f ca="1">IF('Stock Price'!$I$11="OK",B901/INDEX(B$5:B$1258,'Stock Price'!$I$9)-1,"")</f>
        <v>0.76550086750068491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2.438704369289395</v>
      </c>
      <c r="Y901" s="19">
        <f ca="1">IF('Stock Price'!$I$11="OK",L901/INDEX(L$5:L$1258,'Stock Price'!$I$9)-1,"")</f>
        <v>-0.16128486897717664</v>
      </c>
      <c r="Z901" s="19">
        <f ca="1">IF('Stock Price'!$I$11="OK",M901/INDEX(M$5:M$1258,'Stock Price'!$I$9)-1,"")</f>
        <v>-3.2084221080335928E-2</v>
      </c>
    </row>
    <row r="902" spans="1:26" x14ac:dyDescent="0.2">
      <c r="A902" s="16">
        <f>'Stock Price'!A902</f>
        <v>45779</v>
      </c>
      <c r="B902" s="17">
        <f>'Stock Price'!E902</f>
        <v>198.47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823.62</v>
      </c>
      <c r="L902" s="18">
        <v>50.57</v>
      </c>
      <c r="M902" s="18">
        <v>156.12</v>
      </c>
      <c r="O902" s="19">
        <f ca="1">IF('Stock Price'!$I$11="OK",B902/INDEX(B$5:B$1258,'Stock Price'!$I$9)-1,"")</f>
        <v>0.81234590448360877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2.5665353137314337</v>
      </c>
      <c r="Y902" s="19">
        <f ca="1">IF('Stock Price'!$I$11="OK",L902/INDEX(L$5:L$1258,'Stock Price'!$I$9)-1,"")</f>
        <v>-0.14505494505494498</v>
      </c>
      <c r="Z902" s="19">
        <f ca="1">IF('Stock Price'!$I$11="OK",M902/INDEX(M$5:M$1258,'Stock Price'!$I$9)-1,"")</f>
        <v>-2.1681915026945831E-2</v>
      </c>
    </row>
    <row r="903" spans="1:26" x14ac:dyDescent="0.2">
      <c r="A903" s="16">
        <f>'Stock Price'!A903</f>
        <v>45782</v>
      </c>
      <c r="B903" s="17">
        <f>'Stock Price'!E903</f>
        <v>196.07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821.46</v>
      </c>
      <c r="L903" s="18">
        <v>50.06</v>
      </c>
      <c r="M903" s="18">
        <v>155</v>
      </c>
      <c r="O903" s="19">
        <f ca="1">IF('Stock Price'!$I$11="OK",B903/INDEX(B$5:B$1258,'Stock Price'!$I$9)-1,"")</f>
        <v>0.79043009770797168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2.5571818299917726</v>
      </c>
      <c r="Y903" s="19">
        <f ca="1">IF('Stock Price'!$I$11="OK",L903/INDEX(L$5:L$1258,'Stock Price'!$I$9)-1,"")</f>
        <v>-0.15367709213863057</v>
      </c>
      <c r="Z903" s="19">
        <f ca="1">IF('Stock Price'!$I$11="OK",M903/INDEX(M$5:M$1258,'Stock Price'!$I$9)-1,"")</f>
        <v>-2.8700338388269242E-2</v>
      </c>
    </row>
    <row r="904" spans="1:26" x14ac:dyDescent="0.2">
      <c r="A904" s="16">
        <f>'Stock Price'!A904</f>
        <v>45783</v>
      </c>
      <c r="B904" s="17">
        <f>'Stock Price'!E904</f>
        <v>187.15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775.12</v>
      </c>
      <c r="L904" s="18">
        <v>47.57</v>
      </c>
      <c r="M904" s="18">
        <v>154.47</v>
      </c>
      <c r="O904" s="19">
        <f ca="1">IF('Stock Price'!$I$11="OK",B904/INDEX(B$5:B$1258,'Stock Price'!$I$9)-1,"")</f>
        <v>0.70897634919185459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2.3565149612436667</v>
      </c>
      <c r="Y904" s="19">
        <f ca="1">IF('Stock Price'!$I$11="OK",L904/INDEX(L$5:L$1258,'Stock Price'!$I$9)-1,"")</f>
        <v>-0.19577345731191886</v>
      </c>
      <c r="Z904" s="19">
        <f ca="1">IF('Stock Price'!$I$11="OK",M904/INDEX(M$5:M$1258,'Stock Price'!$I$9)-1,"")</f>
        <v>-3.2021556586038447E-2</v>
      </c>
    </row>
    <row r="905" spans="1:26" x14ac:dyDescent="0.2">
      <c r="A905" s="16">
        <f>'Stock Price'!A905</f>
        <v>45784</v>
      </c>
      <c r="B905" s="17">
        <f>'Stock Price'!E905</f>
        <v>188.09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776.72</v>
      </c>
      <c r="L905" s="18">
        <v>47.62</v>
      </c>
      <c r="M905" s="18">
        <v>157.30000000000001</v>
      </c>
      <c r="O905" s="19">
        <f ca="1">IF('Stock Price'!$I$11="OK",B905/INDEX(B$5:B$1258,'Stock Price'!$I$9)-1,"")</f>
        <v>0.71756004017897901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2.3634434677174903</v>
      </c>
      <c r="Y905" s="19">
        <f ca="1">IF('Stock Price'!$I$11="OK",L905/INDEX(L$5:L$1258,'Stock Price'!$I$9)-1,"")</f>
        <v>-0.19492814877430265</v>
      </c>
      <c r="Z905" s="19">
        <f ca="1">IF('Stock Price'!$I$11="OK",M905/INDEX(M$5:M$1258,'Stock Price'!$I$9)-1,"")</f>
        <v>-1.4287504699837084E-2</v>
      </c>
    </row>
    <row r="906" spans="1:26" x14ac:dyDescent="0.2">
      <c r="A906" s="16">
        <f>'Stock Price'!A906</f>
        <v>45785</v>
      </c>
      <c r="B906" s="17">
        <f>'Stock Price'!E906</f>
        <v>185.58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751.45</v>
      </c>
      <c r="L906" s="18">
        <v>46.88</v>
      </c>
      <c r="M906" s="18">
        <v>155.66</v>
      </c>
      <c r="O906" s="19">
        <f ca="1">IF('Stock Price'!$I$11="OK",B906/INDEX(B$5:B$1258,'Stock Price'!$I$9)-1,"")</f>
        <v>0.69463975892612551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2.2540163685965444</v>
      </c>
      <c r="Y906" s="19">
        <f ca="1">IF('Stock Price'!$I$11="OK",L906/INDEX(L$5:L$1258,'Stock Price'!$I$9)-1,"")</f>
        <v>-0.20743871513102274</v>
      </c>
      <c r="Z906" s="19">
        <f ca="1">IF('Stock Price'!$I$11="OK",M906/INDEX(M$5:M$1258,'Stock Price'!$I$9)-1,"")</f>
        <v>-2.4564481764632218E-2</v>
      </c>
    </row>
    <row r="907" spans="1:26" x14ac:dyDescent="0.2">
      <c r="A907" s="16">
        <f>'Stock Price'!A907</f>
        <v>45786</v>
      </c>
      <c r="B907" s="17">
        <f>'Stock Price'!E907</f>
        <v>184.6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734.57</v>
      </c>
      <c r="L907" s="18">
        <v>46.45</v>
      </c>
      <c r="M907" s="18">
        <v>154.22</v>
      </c>
      <c r="O907" s="19">
        <f ca="1">IF('Stock Price'!$I$11="OK",B907/INDEX(B$5:B$1258,'Stock Price'!$I$9)-1,"")</f>
        <v>0.68569080449274034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2.1809206252977096</v>
      </c>
      <c r="Y907" s="19">
        <f ca="1">IF('Stock Price'!$I$11="OK",L907/INDEX(L$5:L$1258,'Stock Price'!$I$9)-1,"")</f>
        <v>-0.21470836855452236</v>
      </c>
      <c r="Z907" s="19">
        <f ca="1">IF('Stock Price'!$I$11="OK",M907/INDEX(M$5:M$1258,'Stock Price'!$I$9)-1,"")</f>
        <v>-3.3588168943476715E-2</v>
      </c>
    </row>
    <row r="908" spans="1:26" x14ac:dyDescent="0.2">
      <c r="A908" s="16">
        <f>'Stock Price'!A908</f>
        <v>45789</v>
      </c>
      <c r="B908" s="17">
        <f>'Stock Price'!E908</f>
        <v>190.07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755.57</v>
      </c>
      <c r="L908" s="18">
        <v>48.18</v>
      </c>
      <c r="M908" s="18">
        <v>154.13999999999999</v>
      </c>
      <c r="O908" s="19">
        <f ca="1">IF('Stock Price'!$I$11="OK",B908/INDEX(B$5:B$1258,'Stock Price'!$I$9)-1,"")</f>
        <v>0.7356405807688795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2.2718572727666393</v>
      </c>
      <c r="Y908" s="19">
        <f ca="1">IF('Stock Price'!$I$11="OK",L908/INDEX(L$5:L$1258,'Stock Price'!$I$9)-1,"")</f>
        <v>-0.18546069315300084</v>
      </c>
      <c r="Z908" s="19">
        <f ca="1">IF('Stock Price'!$I$11="OK",M908/INDEX(M$5:M$1258,'Stock Price'!$I$9)-1,"")</f>
        <v>-3.4089484897857014E-2</v>
      </c>
    </row>
    <row r="909" spans="1:26" x14ac:dyDescent="0.2">
      <c r="A909" s="16">
        <f>'Stock Price'!A909</f>
        <v>45790</v>
      </c>
      <c r="B909" s="17">
        <f>'Stock Price'!E909</f>
        <v>188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746.06</v>
      </c>
      <c r="L909" s="18">
        <v>46.59</v>
      </c>
      <c r="M909" s="18">
        <v>148.44</v>
      </c>
      <c r="O909" s="19">
        <f ca="1">IF('Stock Price'!$I$11="OK",B909/INDEX(B$5:B$1258,'Stock Price'!$I$9)-1,"")</f>
        <v>0.71673819742489253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2.2306759624128523</v>
      </c>
      <c r="Y909" s="19">
        <f ca="1">IF('Stock Price'!$I$11="OK",L909/INDEX(L$5:L$1258,'Stock Price'!$I$9)-1,"")</f>
        <v>-0.21234150464919688</v>
      </c>
      <c r="Z909" s="19">
        <f ca="1">IF('Stock Price'!$I$11="OK",M909/INDEX(M$5:M$1258,'Stock Price'!$I$9)-1,"")</f>
        <v>-6.9808246647449668E-2</v>
      </c>
    </row>
    <row r="910" spans="1:26" x14ac:dyDescent="0.2">
      <c r="A910" s="16">
        <f>'Stock Price'!A910</f>
        <v>45791</v>
      </c>
      <c r="B910" s="17">
        <f>'Stock Price'!E910</f>
        <v>177.44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715.56</v>
      </c>
      <c r="L910" s="18">
        <v>44.12</v>
      </c>
      <c r="M910" s="18">
        <v>146.36000000000001</v>
      </c>
      <c r="O910" s="19">
        <f ca="1">IF('Stock Price'!$I$11="OK",B910/INDEX(B$5:B$1258,'Stock Price'!$I$9)-1,"")</f>
        <v>0.62030864761209004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2.0986013077555965</v>
      </c>
      <c r="Y910" s="19">
        <f ca="1">IF('Stock Price'!$I$11="OK",L910/INDEX(L$5:L$1258,'Stock Price'!$I$9)-1,"")</f>
        <v>-0.25409974640743871</v>
      </c>
      <c r="Z910" s="19">
        <f ca="1">IF('Stock Price'!$I$11="OK",M910/INDEX(M$5:M$1258,'Stock Price'!$I$9)-1,"")</f>
        <v>-8.2842461461336003E-2</v>
      </c>
    </row>
    <row r="911" spans="1:26" x14ac:dyDescent="0.2">
      <c r="A911" s="16">
        <f>'Stock Price'!A911</f>
        <v>45792</v>
      </c>
      <c r="B911" s="17">
        <f>'Stock Price'!E911</f>
        <v>181.68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733.29</v>
      </c>
      <c r="L911" s="18">
        <v>45.81</v>
      </c>
      <c r="M911" s="18">
        <v>149.61000000000001</v>
      </c>
      <c r="O911" s="19">
        <f ca="1">IF('Stock Price'!$I$11="OK",B911/INDEX(B$5:B$1258,'Stock Price'!$I$9)-1,"")</f>
        <v>0.65902657291571543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2.1753778201186504</v>
      </c>
      <c r="Y911" s="19">
        <f ca="1">IF('Stock Price'!$I$11="OK",L911/INDEX(L$5:L$1258,'Stock Price'!$I$9)-1,"")</f>
        <v>-0.22552831783601013</v>
      </c>
      <c r="Z911" s="19">
        <f ca="1">IF('Stock Price'!$I$11="OK",M911/INDEX(M$5:M$1258,'Stock Price'!$I$9)-1,"")</f>
        <v>-6.2476500814638403E-2</v>
      </c>
    </row>
    <row r="912" spans="1:26" x14ac:dyDescent="0.2">
      <c r="A912" s="16">
        <f>'Stock Price'!A912</f>
        <v>45793</v>
      </c>
      <c r="B912" s="17">
        <f>'Stock Price'!E912</f>
        <v>184.02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757.39</v>
      </c>
      <c r="L912" s="18">
        <v>46.75</v>
      </c>
      <c r="M912" s="18">
        <v>151.33000000000001</v>
      </c>
      <c r="O912" s="19">
        <f ca="1">IF('Stock Price'!$I$11="OK",B912/INDEX(B$5:B$1258,'Stock Price'!$I$9)-1,"")</f>
        <v>0.68039448452196138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2.2797384488806132</v>
      </c>
      <c r="Y912" s="19">
        <f ca="1">IF('Stock Price'!$I$11="OK",L912/INDEX(L$5:L$1258,'Stock Price'!$I$9)-1,"")</f>
        <v>-0.20963651732882504</v>
      </c>
      <c r="Z912" s="19">
        <f ca="1">IF('Stock Price'!$I$11="OK",M912/INDEX(M$5:M$1258,'Stock Price'!$I$9)-1,"")</f>
        <v>-5.169820779546308E-2</v>
      </c>
    </row>
    <row r="913" spans="1:26" x14ac:dyDescent="0.2">
      <c r="A913" s="16">
        <f>'Stock Price'!A913</f>
        <v>45796</v>
      </c>
      <c r="B913" s="17">
        <f>'Stock Price'!E913</f>
        <v>185.71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755.11</v>
      </c>
      <c r="L913" s="18">
        <v>47.22</v>
      </c>
      <c r="M913" s="18">
        <v>152.49</v>
      </c>
      <c r="O913" s="19">
        <f ca="1">IF('Stock Price'!$I$11="OK",B913/INDEX(B$5:B$1258,'Stock Price'!$I$9)-1,"")</f>
        <v>0.69582686512647252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2.269865327155415</v>
      </c>
      <c r="Y913" s="19">
        <f ca="1">IF('Stock Price'!$I$11="OK",L913/INDEX(L$5:L$1258,'Stock Price'!$I$9)-1,"")</f>
        <v>-0.2016906170752325</v>
      </c>
      <c r="Z913" s="19">
        <f ca="1">IF('Stock Price'!$I$11="OK",M913/INDEX(M$5:M$1258,'Stock Price'!$I$9)-1,"")</f>
        <v>-4.4429126456949519E-2</v>
      </c>
    </row>
    <row r="914" spans="1:26" x14ac:dyDescent="0.2">
      <c r="A914" s="16">
        <f>'Stock Price'!A914</f>
        <v>45797</v>
      </c>
      <c r="B914" s="17">
        <f>'Stock Price'!E914</f>
        <v>184.85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747.01</v>
      </c>
      <c r="L914" s="18">
        <v>47.87</v>
      </c>
      <c r="M914" s="18">
        <v>153.66</v>
      </c>
      <c r="O914" s="19">
        <f ca="1">IF('Stock Price'!$I$11="OK",B914/INDEX(B$5:B$1258,'Stock Price'!$I$9)-1,"")</f>
        <v>0.68797370103186917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2.2347897631316846</v>
      </c>
      <c r="Y914" s="19">
        <f ca="1">IF('Stock Price'!$I$11="OK",L914/INDEX(L$5:L$1258,'Stock Price'!$I$9)-1,"")</f>
        <v>-0.19070160608622144</v>
      </c>
      <c r="Z914" s="19">
        <f ca="1">IF('Stock Price'!$I$11="OK",M914/INDEX(M$5:M$1258,'Stock Price'!$I$9)-1,"")</f>
        <v>-3.7097380624138476E-2</v>
      </c>
    </row>
    <row r="915" spans="1:26" x14ac:dyDescent="0.2">
      <c r="A915" s="16">
        <f>'Stock Price'!A915</f>
        <v>45798</v>
      </c>
      <c r="B915" s="17">
        <f>'Stock Price'!E915</f>
        <v>181.8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724.95</v>
      </c>
      <c r="L915" s="18">
        <v>47</v>
      </c>
      <c r="M915" s="18">
        <v>153.18</v>
      </c>
      <c r="O915" s="19">
        <f ca="1">IF('Stock Price'!$I$11="OK",B915/INDEX(B$5:B$1258,'Stock Price'!$I$9)-1,"")</f>
        <v>0.66012236325449725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2.139262980123847</v>
      </c>
      <c r="Y915" s="19">
        <f ca="1">IF('Stock Price'!$I$11="OK",L915/INDEX(L$5:L$1258,'Stock Price'!$I$9)-1,"")</f>
        <v>-0.20540997464074384</v>
      </c>
      <c r="Z915" s="19">
        <f ca="1">IF('Stock Price'!$I$11="OK",M915/INDEX(M$5:M$1258,'Stock Price'!$I$9)-1,"")</f>
        <v>-4.0105276350419938E-2</v>
      </c>
    </row>
    <row r="916" spans="1:26" x14ac:dyDescent="0.2">
      <c r="A916" s="16">
        <f>'Stock Price'!A916</f>
        <v>45799</v>
      </c>
      <c r="B916" s="17">
        <f>'Stock Price'!E916</f>
        <v>182.54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715.2</v>
      </c>
      <c r="L916" s="18">
        <v>47.03</v>
      </c>
      <c r="M916" s="18">
        <v>152.61000000000001</v>
      </c>
      <c r="O916" s="19">
        <f ca="1">IF('Stock Price'!$I$11="OK",B916/INDEX(B$5:B$1258,'Stock Price'!$I$9)-1,"")</f>
        <v>0.66687973701031855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2.0970423937989868</v>
      </c>
      <c r="Y916" s="19">
        <f ca="1">IF('Stock Price'!$I$11="OK",L916/INDEX(L$5:L$1258,'Stock Price'!$I$9)-1,"")</f>
        <v>-0.20490278951817409</v>
      </c>
      <c r="Z916" s="19">
        <f ca="1">IF('Stock Price'!$I$11="OK",M916/INDEX(M$5:M$1258,'Stock Price'!$I$9)-1,"")</f>
        <v>-4.367715252537907E-2</v>
      </c>
    </row>
    <row r="917" spans="1:26" x14ac:dyDescent="0.2">
      <c r="A917" s="16">
        <f>'Stock Price'!A917</f>
        <v>45800</v>
      </c>
      <c r="B917" s="17">
        <f>'Stock Price'!E917</f>
        <v>183.26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713.71</v>
      </c>
      <c r="L917" s="18">
        <v>46.85</v>
      </c>
      <c r="M917" s="18">
        <v>152.94</v>
      </c>
      <c r="O917" s="19">
        <f ca="1">IF('Stock Price'!$I$11="OK",B917/INDEX(B$5:B$1258,'Stock Price'!$I$9)-1,"")</f>
        <v>0.6734544790430097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2.0905902221452388</v>
      </c>
      <c r="Y917" s="19">
        <f ca="1">IF('Stock Price'!$I$11="OK",L917/INDEX(L$5:L$1258,'Stock Price'!$I$9)-1,"")</f>
        <v>-0.2079459002535925</v>
      </c>
      <c r="Z917" s="19">
        <f ca="1">IF('Stock Price'!$I$11="OK",M917/INDEX(M$5:M$1258,'Stock Price'!$I$9)-1,"")</f>
        <v>-4.1609224213560725E-2</v>
      </c>
    </row>
    <row r="918" spans="1:26" x14ac:dyDescent="0.2">
      <c r="A918" s="16">
        <f>'Stock Price'!A918</f>
        <v>45804</v>
      </c>
      <c r="B918" s="17">
        <f>'Stock Price'!E918</f>
        <v>185.72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725.22</v>
      </c>
      <c r="L918" s="18">
        <v>46.89</v>
      </c>
      <c r="M918" s="18">
        <v>153.25</v>
      </c>
      <c r="O918" s="19">
        <f ca="1">IF('Stock Price'!$I$11="OK",B918/INDEX(B$5:B$1258,'Stock Price'!$I$9)-1,"")</f>
        <v>0.69591818098803748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2.1404321655913048</v>
      </c>
      <c r="Y918" s="19">
        <f ca="1">IF('Stock Price'!$I$11="OK",L918/INDEX(L$5:L$1258,'Stock Price'!$I$9)-1,"")</f>
        <v>-0.20726965342349957</v>
      </c>
      <c r="Z918" s="19">
        <f ca="1">IF('Stock Price'!$I$11="OK",M918/INDEX(M$5:M$1258,'Stock Price'!$I$9)-1,"")</f>
        <v>-3.9666624890337232E-2</v>
      </c>
    </row>
    <row r="919" spans="1:26" x14ac:dyDescent="0.2">
      <c r="A919" s="16">
        <f>'Stock Price'!A919</f>
        <v>45805</v>
      </c>
      <c r="B919" s="17">
        <f>'Stock Price'!E919</f>
        <v>183.09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719.39</v>
      </c>
      <c r="L919" s="18">
        <v>46.97</v>
      </c>
      <c r="M919" s="18">
        <v>152.43</v>
      </c>
      <c r="O919" s="19">
        <f ca="1">IF('Stock Price'!$I$11="OK",B919/INDEX(B$5:B$1258,'Stock Price'!$I$9)-1,"")</f>
        <v>0.67190210939640216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2.1151864201273112</v>
      </c>
      <c r="Y919" s="19">
        <f ca="1">IF('Stock Price'!$I$11="OK",L919/INDEX(L$5:L$1258,'Stock Price'!$I$9)-1,"")</f>
        <v>-0.2059171597633136</v>
      </c>
      <c r="Z919" s="19">
        <f ca="1">IF('Stock Price'!$I$11="OK",M919/INDEX(M$5:M$1258,'Stock Price'!$I$9)-1,"")</f>
        <v>-4.4805113422734744E-2</v>
      </c>
    </row>
    <row r="920" spans="1:26" x14ac:dyDescent="0.2">
      <c r="A920" s="16">
        <f>'Stock Price'!A920</f>
        <v>45806</v>
      </c>
      <c r="B920" s="17">
        <f>'Stock Price'!E920</f>
        <v>185.62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722.57</v>
      </c>
      <c r="L920" s="18">
        <v>47.85</v>
      </c>
      <c r="M920" s="18">
        <v>153.58000000000001</v>
      </c>
      <c r="O920" s="19">
        <f ca="1">IF('Stock Price'!$I$11="OK",B920/INDEX(B$5:B$1258,'Stock Price'!$I$9)-1,"")</f>
        <v>0.69500502237238604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2.1289568267440351</v>
      </c>
      <c r="Y920" s="19">
        <f ca="1">IF('Stock Price'!$I$11="OK",L920/INDEX(L$5:L$1258,'Stock Price'!$I$9)-1,"")</f>
        <v>-0.19103972950126791</v>
      </c>
      <c r="Z920" s="19">
        <f ca="1">IF('Stock Price'!$I$11="OK",M920/INDEX(M$5:M$1258,'Stock Price'!$I$9)-1,"")</f>
        <v>-3.7598696578518553E-2</v>
      </c>
    </row>
    <row r="921" spans="1:26" x14ac:dyDescent="0.2">
      <c r="A921" s="16">
        <f>'Stock Price'!A921</f>
        <v>45807</v>
      </c>
      <c r="B921" s="17">
        <f>'Stock Price'!E921</f>
        <v>186.11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737.67</v>
      </c>
      <c r="L921" s="18">
        <v>48.28</v>
      </c>
      <c r="M921" s="18">
        <v>155.21</v>
      </c>
      <c r="O921" s="19">
        <f ca="1">IF('Stock Price'!$I$11="OK",B921/INDEX(B$5:B$1258,'Stock Price'!$I$9)-1,"")</f>
        <v>0.69947949958907873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2.1943446065907417</v>
      </c>
      <c r="Y921" s="19">
        <f ca="1">IF('Stock Price'!$I$11="OK",L921/INDEX(L$5:L$1258,'Stock Price'!$I$9)-1,"")</f>
        <v>-0.1837700760777683</v>
      </c>
      <c r="Z921" s="19">
        <f ca="1">IF('Stock Price'!$I$11="OK",M921/INDEX(M$5:M$1258,'Stock Price'!$I$9)-1,"")</f>
        <v>-2.7384384008021123E-2</v>
      </c>
    </row>
    <row r="922" spans="1:26" x14ac:dyDescent="0.2">
      <c r="A922" s="16">
        <f>'Stock Price'!A922</f>
        <v>45810</v>
      </c>
      <c r="B922" s="17">
        <f>'Stock Price'!E922</f>
        <v>186.99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747.12</v>
      </c>
      <c r="L922" s="18">
        <v>48.79</v>
      </c>
      <c r="M922" s="18">
        <v>155.4</v>
      </c>
      <c r="O922" s="19">
        <f ca="1">IF('Stock Price'!$I$11="OK",B922/INDEX(B$5:B$1258,'Stock Price'!$I$9)-1,"")</f>
        <v>0.70751529540681224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2.2352660979517602</v>
      </c>
      <c r="Y922" s="19">
        <f ca="1">IF('Stock Price'!$I$11="OK",L922/INDEX(L$5:L$1258,'Stock Price'!$I$9)-1,"")</f>
        <v>-0.17514792899408282</v>
      </c>
      <c r="Z922" s="19">
        <f ca="1">IF('Stock Price'!$I$11="OK",M922/INDEX(M$5:M$1258,'Stock Price'!$I$9)-1,"")</f>
        <v>-2.6193758616367968E-2</v>
      </c>
    </row>
    <row r="923" spans="1:26" x14ac:dyDescent="0.2">
      <c r="A923" s="16">
        <f>'Stock Price'!A923</f>
        <v>45811</v>
      </c>
      <c r="B923" s="17">
        <f>'Stock Price'!E923</f>
        <v>187.25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750.78</v>
      </c>
      <c r="L923" s="18">
        <v>48.09</v>
      </c>
      <c r="M923" s="18">
        <v>154.41999999999999</v>
      </c>
      <c r="O923" s="19">
        <f ca="1">IF('Stock Price'!$I$11="OK",B923/INDEX(B$5:B$1258,'Stock Price'!$I$9)-1,"")</f>
        <v>0.70988950780750604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2.2511150565106308</v>
      </c>
      <c r="Y923" s="19">
        <f ca="1">IF('Stock Price'!$I$11="OK",L923/INDEX(L$5:L$1258,'Stock Price'!$I$9)-1,"")</f>
        <v>-0.18698224852070999</v>
      </c>
      <c r="Z923" s="19">
        <f ca="1">IF('Stock Price'!$I$11="OK",M923/INDEX(M$5:M$1258,'Stock Price'!$I$9)-1,"")</f>
        <v>-3.2334879057526189E-2</v>
      </c>
    </row>
    <row r="924" spans="1:26" x14ac:dyDescent="0.2">
      <c r="A924" s="16">
        <f>'Stock Price'!A924</f>
        <v>45812</v>
      </c>
      <c r="B924" s="17">
        <f>'Stock Price'!E924</f>
        <v>187.34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765.84</v>
      </c>
      <c r="L924" s="18">
        <v>47.95</v>
      </c>
      <c r="M924" s="18">
        <v>153.22</v>
      </c>
      <c r="O924" s="19">
        <f ca="1">IF('Stock Price'!$I$11="OK",B924/INDEX(B$5:B$1258,'Stock Price'!$I$9)-1,"")</f>
        <v>0.71071135056159251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2.3163296236954922</v>
      </c>
      <c r="Y924" s="19">
        <f ca="1">IF('Stock Price'!$I$11="OK",L924/INDEX(L$5:L$1258,'Stock Price'!$I$9)-1,"")</f>
        <v>-0.18934911242603547</v>
      </c>
      <c r="Z924" s="19">
        <f ca="1">IF('Stock Price'!$I$11="OK",M924/INDEX(M$5:M$1258,'Stock Price'!$I$9)-1,"")</f>
        <v>-3.9854618373229789E-2</v>
      </c>
    </row>
    <row r="925" spans="1:26" x14ac:dyDescent="0.2">
      <c r="A925" s="16">
        <f>'Stock Price'!A925</f>
        <v>45813</v>
      </c>
      <c r="B925" s="17">
        <f>'Stock Price'!E925</f>
        <v>187.47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765.68</v>
      </c>
      <c r="L925" s="18">
        <v>47.84</v>
      </c>
      <c r="M925" s="18">
        <v>153.66</v>
      </c>
      <c r="O925" s="19">
        <f ca="1">IF('Stock Price'!$I$11="OK",B925/INDEX(B$5:B$1258,'Stock Price'!$I$9)-1,"")</f>
        <v>0.71189845676193952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2.3156367730481096</v>
      </c>
      <c r="Y925" s="19">
        <f ca="1">IF('Stock Price'!$I$11="OK",L925/INDEX(L$5:L$1258,'Stock Price'!$I$9)-1,"")</f>
        <v>-0.19120879120879108</v>
      </c>
      <c r="Z925" s="19">
        <f ca="1">IF('Stock Price'!$I$11="OK",M925/INDEX(M$5:M$1258,'Stock Price'!$I$9)-1,"")</f>
        <v>-3.7097380624138476E-2</v>
      </c>
    </row>
    <row r="926" spans="1:26" x14ac:dyDescent="0.2">
      <c r="A926" s="16">
        <f>'Stock Price'!A926</f>
        <v>45814</v>
      </c>
      <c r="B926" s="17">
        <f>'Stock Price'!E926</f>
        <v>189.83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769.88</v>
      </c>
      <c r="L926" s="18">
        <v>48.41</v>
      </c>
      <c r="M926" s="18">
        <v>155.03</v>
      </c>
      <c r="O926" s="19">
        <f ca="1">IF('Stock Price'!$I$11="OK",B926/INDEX(B$5:B$1258,'Stock Price'!$I$9)-1,"")</f>
        <v>0.73344900009131586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2.3338241025418958</v>
      </c>
      <c r="Y926" s="19">
        <f ca="1">IF('Stock Price'!$I$11="OK",L926/INDEX(L$5:L$1258,'Stock Price'!$I$9)-1,"")</f>
        <v>-0.18157227387996622</v>
      </c>
      <c r="Z926" s="19">
        <f ca="1">IF('Stock Price'!$I$11="OK",M926/INDEX(M$5:M$1258,'Stock Price'!$I$9)-1,"")</f>
        <v>-2.8512344905376685E-2</v>
      </c>
    </row>
    <row r="927" spans="1:26" x14ac:dyDescent="0.2">
      <c r="A927" s="16">
        <f>'Stock Price'!A927</f>
        <v>45817</v>
      </c>
      <c r="B927" s="17">
        <f>'Stock Price'!E927</f>
        <v>189.16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773.71</v>
      </c>
      <c r="L927" s="18">
        <v>49</v>
      </c>
      <c r="M927" s="18">
        <v>155.22999999999999</v>
      </c>
      <c r="O927" s="19">
        <f ca="1">IF('Stock Price'!$I$11="OK",B927/INDEX(B$5:B$1258,'Stock Price'!$I$9)-1,"")</f>
        <v>0.72733083736645043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2.3504092149136104</v>
      </c>
      <c r="Y927" s="19">
        <f ca="1">IF('Stock Price'!$I$11="OK",L927/INDEX(L$5:L$1258,'Stock Price'!$I$9)-1,"")</f>
        <v>-0.17159763313609466</v>
      </c>
      <c r="Z927" s="19">
        <f ca="1">IF('Stock Price'!$I$11="OK",M927/INDEX(M$5:M$1258,'Stock Price'!$I$9)-1,"")</f>
        <v>-2.7259055019426159E-2</v>
      </c>
    </row>
    <row r="928" spans="1:26" x14ac:dyDescent="0.2">
      <c r="A928" s="16">
        <f>'Stock Price'!A928</f>
        <v>45818</v>
      </c>
      <c r="B928" s="17">
        <f>'Stock Price'!E928</f>
        <v>189.5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807.19</v>
      </c>
      <c r="L928" s="18">
        <v>49.97</v>
      </c>
      <c r="M928" s="18">
        <v>156.44999999999999</v>
      </c>
      <c r="O928" s="19">
        <f ca="1">IF('Stock Price'!$I$11="OK",B928/INDEX(B$5:B$1258,'Stock Price'!$I$9)-1,"")</f>
        <v>0.73043557665966574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2.4953882128783613</v>
      </c>
      <c r="Y928" s="19">
        <f ca="1">IF('Stock Price'!$I$11="OK",L928/INDEX(L$5:L$1258,'Stock Price'!$I$9)-1,"")</f>
        <v>-0.15519864750633983</v>
      </c>
      <c r="Z928" s="19">
        <f ca="1">IF('Stock Price'!$I$11="OK",M928/INDEX(M$5:M$1258,'Stock Price'!$I$9)-1,"")</f>
        <v>-1.9613986715127374E-2</v>
      </c>
    </row>
    <row r="929" spans="1:26" x14ac:dyDescent="0.2">
      <c r="A929" s="16">
        <f>'Stock Price'!A929</f>
        <v>45819</v>
      </c>
      <c r="B929" s="17">
        <f>'Stock Price'!E929</f>
        <v>191.5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808.61</v>
      </c>
      <c r="L929" s="18">
        <v>50.16</v>
      </c>
      <c r="M929" s="18">
        <v>155.26</v>
      </c>
      <c r="O929" s="19">
        <f ca="1">IF('Stock Price'!$I$11="OK",B929/INDEX(B$5:B$1258,'Stock Price'!$I$9)-1,"")</f>
        <v>0.74869874897269639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2.5015372623738794</v>
      </c>
      <c r="Y929" s="19">
        <f ca="1">IF('Stock Price'!$I$11="OK",L929/INDEX(L$5:L$1258,'Stock Price'!$I$9)-1,"")</f>
        <v>-0.15198647506339813</v>
      </c>
      <c r="Z929" s="19">
        <f ca="1">IF('Stock Price'!$I$11="OK",M929/INDEX(M$5:M$1258,'Stock Price'!$I$9)-1,"")</f>
        <v>-2.7071061536533492E-2</v>
      </c>
    </row>
    <row r="930" spans="1:26" x14ac:dyDescent="0.2">
      <c r="A930" s="16">
        <f>'Stock Price'!A930</f>
        <v>45820</v>
      </c>
      <c r="B930" s="17">
        <f>'Stock Price'!E930</f>
        <v>192.42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812.03</v>
      </c>
      <c r="L930" s="18">
        <v>50.69</v>
      </c>
      <c r="M930" s="18">
        <v>156.66</v>
      </c>
      <c r="O930" s="19">
        <f ca="1">IF('Stock Price'!$I$11="OK",B930/INDEX(B$5:B$1258,'Stock Price'!$I$9)-1,"")</f>
        <v>0.75709980823669043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2.5163469449616764</v>
      </c>
      <c r="Y930" s="19">
        <f ca="1">IF('Stock Price'!$I$11="OK",L930/INDEX(L$5:L$1258,'Stock Price'!$I$9)-1,"")</f>
        <v>-0.14302620456466608</v>
      </c>
      <c r="Z930" s="19">
        <f ca="1">IF('Stock Price'!$I$11="OK",M930/INDEX(M$5:M$1258,'Stock Price'!$I$9)-1,"")</f>
        <v>-1.8298032334879144E-2</v>
      </c>
    </row>
    <row r="931" spans="1:26" x14ac:dyDescent="0.2">
      <c r="A931" s="16">
        <f>'Stock Price'!A931</f>
        <v>45821</v>
      </c>
      <c r="B931" s="17">
        <f>'Stock Price'!E931</f>
        <v>191.08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819.36</v>
      </c>
      <c r="L931" s="18">
        <v>49.75</v>
      </c>
      <c r="M931" s="18">
        <v>157.1</v>
      </c>
      <c r="O931" s="19">
        <f ca="1">IF('Stock Price'!$I$11="OK",B931/INDEX(B$5:B$1258,'Stock Price'!$I$9)-1,"")</f>
        <v>0.74486348278696002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2.5480881652448795</v>
      </c>
      <c r="Y931" s="19">
        <f ca="1">IF('Stock Price'!$I$11="OK",L931/INDEX(L$5:L$1258,'Stock Price'!$I$9)-1,"")</f>
        <v>-0.15891800507185116</v>
      </c>
      <c r="Z931" s="19">
        <f ca="1">IF('Stock Price'!$I$11="OK",M931/INDEX(M$5:M$1258,'Stock Price'!$I$9)-1,"")</f>
        <v>-1.5540794585787832E-2</v>
      </c>
    </row>
    <row r="932" spans="1:26" x14ac:dyDescent="0.2">
      <c r="A932" s="16">
        <f>'Stock Price'!A932</f>
        <v>45824</v>
      </c>
      <c r="B932" s="17">
        <f>'Stock Price'!E932</f>
        <v>190.86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807.58</v>
      </c>
      <c r="L932" s="18">
        <v>48.66</v>
      </c>
      <c r="M932" s="18">
        <v>155.22</v>
      </c>
      <c r="O932" s="19">
        <f ca="1">IF('Stock Price'!$I$11="OK",B932/INDEX(B$5:B$1258,'Stock Price'!$I$9)-1,"")</f>
        <v>0.74285453383252675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2.4970770363313557</v>
      </c>
      <c r="Y932" s="19">
        <f ca="1">IF('Stock Price'!$I$11="OK",L932/INDEX(L$5:L$1258,'Stock Price'!$I$9)-1,"")</f>
        <v>-0.17734573119188513</v>
      </c>
      <c r="Z932" s="19">
        <f ca="1">IF('Stock Price'!$I$11="OK",M932/INDEX(M$5:M$1258,'Stock Price'!$I$9)-1,"")</f>
        <v>-2.7321719513723641E-2</v>
      </c>
    </row>
    <row r="933" spans="1:26" x14ac:dyDescent="0.2">
      <c r="A933" s="16">
        <f>'Stock Price'!A933</f>
        <v>45825</v>
      </c>
      <c r="B933" s="17">
        <f>'Stock Price'!E933</f>
        <v>185.48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791.24</v>
      </c>
      <c r="L933" s="18">
        <v>47.23</v>
      </c>
      <c r="M933" s="18">
        <v>152.38</v>
      </c>
      <c r="O933" s="19">
        <f ca="1">IF('Stock Price'!$I$11="OK",B933/INDEX(B$5:B$1258,'Stock Price'!$I$9)-1,"")</f>
        <v>0.69372660031047384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2.426319663967436</v>
      </c>
      <c r="Y933" s="19">
        <f ca="1">IF('Stock Price'!$I$11="OK",L933/INDEX(L$5:L$1258,'Stock Price'!$I$9)-1,"")</f>
        <v>-0.20152155536770922</v>
      </c>
      <c r="Z933" s="19">
        <f ca="1">IF('Stock Price'!$I$11="OK",M933/INDEX(M$5:M$1258,'Stock Price'!$I$9)-1,"")</f>
        <v>-4.5118435894222486E-2</v>
      </c>
    </row>
    <row r="934" spans="1:26" x14ac:dyDescent="0.2">
      <c r="A934" s="16">
        <f>'Stock Price'!A934</f>
        <v>45826</v>
      </c>
      <c r="B934" s="17">
        <f>'Stock Price'!E934</f>
        <v>185.49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785.03</v>
      </c>
      <c r="L934" s="18">
        <v>46.84</v>
      </c>
      <c r="M934" s="18">
        <v>150.72999999999999</v>
      </c>
      <c r="O934" s="19">
        <f ca="1">IF('Stock Price'!$I$11="OK",B934/INDEX(B$5:B$1258,'Stock Price'!$I$9)-1,"")</f>
        <v>0.69381791617203903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2.3994283982159095</v>
      </c>
      <c r="Y934" s="19">
        <f ca="1">IF('Stock Price'!$I$11="OK",L934/INDEX(L$5:L$1258,'Stock Price'!$I$9)-1,"")</f>
        <v>-0.20811496196111579</v>
      </c>
      <c r="Z934" s="19">
        <f ca="1">IF('Stock Price'!$I$11="OK",M934/INDEX(M$5:M$1258,'Stock Price'!$I$9)-1,"")</f>
        <v>-5.5458077453315102E-2</v>
      </c>
    </row>
    <row r="935" spans="1:26" x14ac:dyDescent="0.2">
      <c r="A935" s="16">
        <f>'Stock Price'!A935</f>
        <v>45828</v>
      </c>
      <c r="B935" s="17">
        <f>'Stock Price'!E935</f>
        <v>185.3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762.73</v>
      </c>
      <c r="L935" s="18">
        <v>46.86</v>
      </c>
      <c r="M935" s="18">
        <v>149.79</v>
      </c>
      <c r="O935" s="19">
        <f ca="1">IF('Stock Price'!$I$11="OK",B935/INDEX(B$5:B$1258,'Stock Price'!$I$9)-1,"")</f>
        <v>0.69208291480230111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2.3028623392369982</v>
      </c>
      <c r="Y935" s="19">
        <f ca="1">IF('Stock Price'!$I$11="OK",L935/INDEX(L$5:L$1258,'Stock Price'!$I$9)-1,"")</f>
        <v>-0.20777683854606932</v>
      </c>
      <c r="Z935" s="19">
        <f ca="1">IF('Stock Price'!$I$11="OK",M935/INDEX(M$5:M$1258,'Stock Price'!$I$9)-1,"")</f>
        <v>-6.1348539917282952E-2</v>
      </c>
    </row>
    <row r="936" spans="1:26" x14ac:dyDescent="0.2">
      <c r="A936" s="16">
        <f>'Stock Price'!A936</f>
        <v>45831</v>
      </c>
      <c r="B936" s="17">
        <f>'Stock Price'!E936</f>
        <v>183.76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770.64</v>
      </c>
      <c r="L936" s="18">
        <v>46.92</v>
      </c>
      <c r="M936" s="18">
        <v>151.32</v>
      </c>
      <c r="O936" s="19">
        <f ca="1">IF('Stock Price'!$I$11="OK",B936/INDEX(B$5:B$1258,'Stock Price'!$I$9)-1,"")</f>
        <v>0.67802027212126736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2.3371151431169617</v>
      </c>
      <c r="Y936" s="19">
        <f ca="1">IF('Stock Price'!$I$11="OK",L936/INDEX(L$5:L$1258,'Stock Price'!$I$9)-1,"")</f>
        <v>-0.20676246830092981</v>
      </c>
      <c r="Z936" s="19">
        <f ca="1">IF('Stock Price'!$I$11="OK",M936/INDEX(M$5:M$1258,'Stock Price'!$I$9)-1,"")</f>
        <v>-5.1760872289760784E-2</v>
      </c>
    </row>
    <row r="937" spans="1:26" x14ac:dyDescent="0.2">
      <c r="A937" s="16">
        <f>'Stock Price'!A937</f>
        <v>45832</v>
      </c>
      <c r="B937" s="17">
        <f>'Stock Price'!E937</f>
        <v>185.55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778.08</v>
      </c>
      <c r="L937" s="18">
        <v>47.03</v>
      </c>
      <c r="M937" s="18">
        <v>152.19</v>
      </c>
      <c r="O937" s="19">
        <f ca="1">IF('Stock Price'!$I$11="OK",B937/INDEX(B$5:B$1258,'Stock Price'!$I$9)-1,"")</f>
        <v>0.69436581134142994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2.3693326982202398</v>
      </c>
      <c r="Y937" s="19">
        <f ca="1">IF('Stock Price'!$I$11="OK",L937/INDEX(L$5:L$1258,'Stock Price'!$I$9)-1,"")</f>
        <v>-0.20490278951817409</v>
      </c>
      <c r="Z937" s="19">
        <f ca="1">IF('Stock Price'!$I$11="OK",M937/INDEX(M$5:M$1258,'Stock Price'!$I$9)-1,"")</f>
        <v>-4.630906128587553E-2</v>
      </c>
    </row>
    <row r="938" spans="1:26" x14ac:dyDescent="0.2">
      <c r="A938" s="16">
        <f>'Stock Price'!A938</f>
        <v>45833</v>
      </c>
      <c r="B938" s="17">
        <f>'Stock Price'!E938</f>
        <v>185.39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792.3</v>
      </c>
      <c r="L938" s="18">
        <v>46.68</v>
      </c>
      <c r="M938" s="18">
        <v>152.28</v>
      </c>
      <c r="O938" s="19">
        <f ca="1">IF('Stock Price'!$I$11="OK",B938/INDEX(B$5:B$1258,'Stock Price'!$I$9)-1,"")</f>
        <v>0.69290475755638736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2.4309097995063436</v>
      </c>
      <c r="Y938" s="19">
        <f ca="1">IF('Stock Price'!$I$11="OK",L938/INDEX(L$5:L$1258,'Stock Price'!$I$9)-1,"")</f>
        <v>-0.21081994928148773</v>
      </c>
      <c r="Z938" s="19">
        <f ca="1">IF('Stock Price'!$I$11="OK",M938/INDEX(M$5:M$1258,'Stock Price'!$I$9)-1,"")</f>
        <v>-4.5745080837197749E-2</v>
      </c>
    </row>
    <row r="939" spans="1:26" x14ac:dyDescent="0.2">
      <c r="A939" s="16">
        <f>'Stock Price'!A939</f>
        <v>45834</v>
      </c>
      <c r="B939" s="17">
        <f>'Stock Price'!E939</f>
        <v>186.79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795.12</v>
      </c>
      <c r="L939" s="18">
        <v>46.65</v>
      </c>
      <c r="M939" s="18">
        <v>152.01</v>
      </c>
      <c r="O939" s="19">
        <f ca="1">IF('Stock Price'!$I$11="OK",B939/INDEX(B$5:B$1258,'Stock Price'!$I$9)-1,"")</f>
        <v>0.70568897817550891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2.4431212921664573</v>
      </c>
      <c r="Y939" s="19">
        <f ca="1">IF('Stock Price'!$I$11="OK",L939/INDEX(L$5:L$1258,'Stock Price'!$I$9)-1,"")</f>
        <v>-0.21132713440405748</v>
      </c>
      <c r="Z939" s="19">
        <f ca="1">IF('Stock Price'!$I$11="OK",M939/INDEX(M$5:M$1258,'Stock Price'!$I$9)-1,"")</f>
        <v>-4.7437022183231092E-2</v>
      </c>
    </row>
    <row r="940" spans="1:26" x14ac:dyDescent="0.2">
      <c r="A940" s="16">
        <f>'Stock Price'!A940</f>
        <v>45835</v>
      </c>
      <c r="B940" s="17">
        <f>'Stock Price'!E940</f>
        <v>182.31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775.45</v>
      </c>
      <c r="L940" s="18">
        <v>46.35</v>
      </c>
      <c r="M940" s="18">
        <v>152.41</v>
      </c>
      <c r="O940" s="19">
        <f ca="1">IF('Stock Price'!$I$11="OK",B940/INDEX(B$5:B$1258,'Stock Price'!$I$9)-1,"")</f>
        <v>0.6647794721943201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2.357943965703893</v>
      </c>
      <c r="Y940" s="19">
        <f ca="1">IF('Stock Price'!$I$11="OK",L940/INDEX(L$5:L$1258,'Stock Price'!$I$9)-1,"")</f>
        <v>-0.21639898562975479</v>
      </c>
      <c r="Z940" s="19">
        <f ca="1">IF('Stock Price'!$I$11="OK",M940/INDEX(M$5:M$1258,'Stock Price'!$I$9)-1,"")</f>
        <v>-4.4930442411329818E-2</v>
      </c>
    </row>
    <row r="941" spans="1:26" x14ac:dyDescent="0.2">
      <c r="A941" s="16">
        <f>'Stock Price'!A941</f>
        <v>45838</v>
      </c>
      <c r="B941" s="17">
        <f>'Stock Price'!E941</f>
        <v>185.62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779.53</v>
      </c>
      <c r="L941" s="18">
        <v>46.29</v>
      </c>
      <c r="M941" s="18">
        <v>152.75</v>
      </c>
      <c r="O941" s="19">
        <f ca="1">IF('Stock Price'!$I$11="OK",B941/INDEX(B$5:B$1258,'Stock Price'!$I$9)-1,"")</f>
        <v>0.69500502237238604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2.3756116572121422</v>
      </c>
      <c r="Y941" s="19">
        <f ca="1">IF('Stock Price'!$I$11="OK",L941/INDEX(L$5:L$1258,'Stock Price'!$I$9)-1,"")</f>
        <v>-0.2174133558748943</v>
      </c>
      <c r="Z941" s="19">
        <f ca="1">IF('Stock Price'!$I$11="OK",M941/INDEX(M$5:M$1258,'Stock Price'!$I$9)-1,"")</f>
        <v>-4.2799849605213769E-2</v>
      </c>
    </row>
    <row r="942" spans="1:26" x14ac:dyDescent="0.2">
      <c r="A942" s="16">
        <f>'Stock Price'!A942</f>
        <v>45839</v>
      </c>
      <c r="B942" s="17">
        <f>'Stock Price'!E942</f>
        <v>189.99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775.9</v>
      </c>
      <c r="L942" s="18">
        <v>47.51</v>
      </c>
      <c r="M942" s="18">
        <v>155.91999999999999</v>
      </c>
      <c r="O942" s="19">
        <f ca="1">IF('Stock Price'!$I$11="OK",B942/INDEX(B$5:B$1258,'Stock Price'!$I$9)-1,"")</f>
        <v>0.73491005387635822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2.3598926081496554</v>
      </c>
      <c r="Y942" s="19">
        <f ca="1">IF('Stock Price'!$I$11="OK",L942/INDEX(L$5:L$1258,'Stock Price'!$I$9)-1,"")</f>
        <v>-0.19678782755705837</v>
      </c>
      <c r="Z942" s="19">
        <f ca="1">IF('Stock Price'!$I$11="OK",M942/INDEX(M$5:M$1258,'Stock Price'!$I$9)-1,"")</f>
        <v>-2.2935204912896467E-2</v>
      </c>
    </row>
    <row r="943" spans="1:26" x14ac:dyDescent="0.2">
      <c r="A943" s="16">
        <f>'Stock Price'!A943</f>
        <v>45840</v>
      </c>
      <c r="B943" s="17">
        <f>'Stock Price'!E943</f>
        <v>190.75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779.28</v>
      </c>
      <c r="L943" s="18">
        <v>47.63</v>
      </c>
      <c r="M943" s="18">
        <v>155.56</v>
      </c>
      <c r="O943" s="19">
        <f ca="1">IF('Stock Price'!$I$11="OK",B943/INDEX(B$5:B$1258,'Stock Price'!$I$9)-1,"")</f>
        <v>0.7418500593553099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2.3745290780756072</v>
      </c>
      <c r="Y943" s="19">
        <f ca="1">IF('Stock Price'!$I$11="OK",L943/INDEX(L$5:L$1258,'Stock Price'!$I$9)-1,"")</f>
        <v>-0.19475908706677936</v>
      </c>
      <c r="Z943" s="19">
        <f ca="1">IF('Stock Price'!$I$11="OK",M943/INDEX(M$5:M$1258,'Stock Price'!$I$9)-1,"")</f>
        <v>-2.5191126707607481E-2</v>
      </c>
    </row>
    <row r="944" spans="1:26" x14ac:dyDescent="0.2">
      <c r="A944" s="16">
        <f>'Stock Price'!A944</f>
        <v>45841</v>
      </c>
      <c r="B944" s="17">
        <f>'Stock Price'!E944</f>
        <v>189.28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780.67</v>
      </c>
      <c r="L944" s="18">
        <v>46.92</v>
      </c>
      <c r="M944" s="18">
        <v>156.01</v>
      </c>
      <c r="O944" s="19">
        <f ca="1">IF('Stock Price'!$I$11="OK",B944/INDEX(B$5:B$1258,'Stock Price'!$I$9)-1,"")</f>
        <v>0.72842662770523225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2.380548218074741</v>
      </c>
      <c r="Y944" s="19">
        <f ca="1">IF('Stock Price'!$I$11="OK",L944/INDEX(L$5:L$1258,'Stock Price'!$I$9)-1,"")</f>
        <v>-0.20676246830092981</v>
      </c>
      <c r="Z944" s="19">
        <f ca="1">IF('Stock Price'!$I$11="OK",M944/INDEX(M$5:M$1258,'Stock Price'!$I$9)-1,"")</f>
        <v>-2.2371224464218686E-2</v>
      </c>
    </row>
    <row r="945" spans="1:26" x14ac:dyDescent="0.2">
      <c r="A945" s="16">
        <f>'Stock Price'!A945</f>
        <v>45845</v>
      </c>
      <c r="B945" s="17">
        <f>'Stock Price'!E945</f>
        <v>187.63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772.87</v>
      </c>
      <c r="L945" s="18">
        <v>46.49</v>
      </c>
      <c r="M945" s="18">
        <v>155.27000000000001</v>
      </c>
      <c r="O945" s="19">
        <f ca="1">IF('Stock Price'!$I$11="OK",B945/INDEX(B$5:B$1258,'Stock Price'!$I$9)-1,"")</f>
        <v>0.71335951054698188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2.3467717490148527</v>
      </c>
      <c r="Y945" s="19">
        <f ca="1">IF('Stock Price'!$I$11="OK",L945/INDEX(L$5:L$1258,'Stock Price'!$I$9)-1,"")</f>
        <v>-0.21403212172442931</v>
      </c>
      <c r="Z945" s="19">
        <f ca="1">IF('Stock Price'!$I$11="OK",M945/INDEX(M$5:M$1258,'Stock Price'!$I$9)-1,"")</f>
        <v>-2.7008397042235899E-2</v>
      </c>
    </row>
    <row r="946" spans="1:26" x14ac:dyDescent="0.2">
      <c r="A946" s="16">
        <f>'Stock Price'!A946</f>
        <v>45846</v>
      </c>
      <c r="B946" s="17">
        <f>'Stock Price'!E946</f>
        <v>189.77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777.66</v>
      </c>
      <c r="L946" s="18">
        <v>47.04</v>
      </c>
      <c r="M946" s="18">
        <v>155.79</v>
      </c>
      <c r="O946" s="19">
        <f ca="1">IF('Stock Price'!$I$11="OK",B946/INDEX(B$5:B$1258,'Stock Price'!$I$9)-1,"")</f>
        <v>0.73290110492192495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2.3675139652708612</v>
      </c>
      <c r="Y946" s="19">
        <f ca="1">IF('Stock Price'!$I$11="OK",L946/INDEX(L$5:L$1258,'Stock Price'!$I$9)-1,"")</f>
        <v>-0.20473372781065091</v>
      </c>
      <c r="Z946" s="19">
        <f ca="1">IF('Stock Price'!$I$11="OK",M946/INDEX(M$5:M$1258,'Stock Price'!$I$9)-1,"")</f>
        <v>-2.3749843338764398E-2</v>
      </c>
    </row>
    <row r="947" spans="1:26" x14ac:dyDescent="0.2">
      <c r="A947" s="16">
        <f>'Stock Price'!A947</f>
        <v>45847</v>
      </c>
      <c r="B947" s="17">
        <f>'Stock Price'!E947</f>
        <v>190.62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786.92</v>
      </c>
      <c r="L947" s="18">
        <v>47.66</v>
      </c>
      <c r="M947" s="18">
        <v>156.28</v>
      </c>
      <c r="O947" s="19">
        <f ca="1">IF('Stock Price'!$I$11="OK",B947/INDEX(B$5:B$1258,'Stock Price'!$I$9)-1,"")</f>
        <v>0.74066295315496289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2.4076126964881128</v>
      </c>
      <c r="Y947" s="19">
        <f ca="1">IF('Stock Price'!$I$11="OK",L947/INDEX(L$5:L$1258,'Stock Price'!$I$9)-1,"")</f>
        <v>-0.19425190194420972</v>
      </c>
      <c r="Z947" s="19">
        <f ca="1">IF('Stock Price'!$I$11="OK",M947/INDEX(M$5:M$1258,'Stock Price'!$I$9)-1,"")</f>
        <v>-2.0679283118185343E-2</v>
      </c>
    </row>
    <row r="948" spans="1:26" x14ac:dyDescent="0.2">
      <c r="A948" s="16">
        <f>'Stock Price'!A948</f>
        <v>45848</v>
      </c>
      <c r="B948" s="17">
        <f>'Stock Price'!E948</f>
        <v>195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790.65</v>
      </c>
      <c r="L948" s="18">
        <v>48.52</v>
      </c>
      <c r="M948" s="18">
        <v>157.69</v>
      </c>
      <c r="O948" s="19">
        <f ca="1">IF('Stock Price'!$I$11="OK",B948/INDEX(B$5:B$1258,'Stock Price'!$I$9)-1,"")</f>
        <v>0.78065930052050025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2.4237647772052133</v>
      </c>
      <c r="Y948" s="19">
        <f ca="1">IF('Stock Price'!$I$11="OK",L948/INDEX(L$5:L$1258,'Stock Price'!$I$9)-1,"")</f>
        <v>-0.17971259509721038</v>
      </c>
      <c r="Z948" s="19">
        <f ca="1">IF('Stock Price'!$I$11="OK",M948/INDEX(M$5:M$1258,'Stock Price'!$I$9)-1,"")</f>
        <v>-1.1843589422233403E-2</v>
      </c>
    </row>
    <row r="949" spans="1:26" x14ac:dyDescent="0.2">
      <c r="A949" s="16">
        <f>'Stock Price'!A949</f>
        <v>45849</v>
      </c>
      <c r="B949" s="17">
        <f>'Stock Price'!E949</f>
        <v>192.45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793.01</v>
      </c>
      <c r="L949" s="18">
        <v>46.86</v>
      </c>
      <c r="M949" s="18">
        <v>156.9</v>
      </c>
      <c r="O949" s="19">
        <f ca="1">IF('Stock Price'!$I$11="OK",B949/INDEX(B$5:B$1258,'Stock Price'!$I$9)-1,"")</f>
        <v>0.757373755821386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2.4339843242541028</v>
      </c>
      <c r="Y949" s="19">
        <f ca="1">IF('Stock Price'!$I$11="OK",L949/INDEX(L$5:L$1258,'Stock Price'!$I$9)-1,"")</f>
        <v>-0.20777683854606932</v>
      </c>
      <c r="Z949" s="19">
        <f ca="1">IF('Stock Price'!$I$11="OK",M949/INDEX(M$5:M$1258,'Stock Price'!$I$9)-1,"")</f>
        <v>-1.6794084471738358E-2</v>
      </c>
    </row>
    <row r="950" spans="1:26" x14ac:dyDescent="0.2">
      <c r="A950" s="16">
        <f>'Stock Price'!A950</f>
        <v>45852</v>
      </c>
      <c r="B950" s="17">
        <f>'Stock Price'!E950</f>
        <v>191.52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799.34</v>
      </c>
      <c r="L950" s="18">
        <v>47.34</v>
      </c>
      <c r="M950" s="18">
        <v>156.82</v>
      </c>
      <c r="O950" s="19">
        <f ca="1">IF('Stock Price'!$I$11="OK",B950/INDEX(B$5:B$1258,'Stock Price'!$I$9)-1,"")</f>
        <v>0.74888138069582677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2.4613952279911664</v>
      </c>
      <c r="Y950" s="19">
        <f ca="1">IF('Stock Price'!$I$11="OK",L950/INDEX(L$5:L$1258,'Stock Price'!$I$9)-1,"")</f>
        <v>-0.19966187658495338</v>
      </c>
      <c r="Z950" s="19">
        <f ca="1">IF('Stock Price'!$I$11="OK",M950/INDEX(M$5:M$1258,'Stock Price'!$I$9)-1,"")</f>
        <v>-1.7295400426118657E-2</v>
      </c>
    </row>
    <row r="951" spans="1:26" x14ac:dyDescent="0.2">
      <c r="A951" s="16">
        <f>'Stock Price'!A951</f>
        <v>45853</v>
      </c>
      <c r="B951" s="17">
        <f>'Stock Price'!E951</f>
        <v>186.39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771.75</v>
      </c>
      <c r="L951" s="18">
        <v>46.43</v>
      </c>
      <c r="M951" s="18">
        <v>155.16999999999999</v>
      </c>
      <c r="O951" s="19">
        <f ca="1">IF('Stock Price'!$I$11="OK",B951/INDEX(B$5:B$1258,'Stock Price'!$I$9)-1,"")</f>
        <v>0.70203634371290269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2.3419217944831767</v>
      </c>
      <c r="Y951" s="19">
        <f ca="1">IF('Stock Price'!$I$11="OK",L951/INDEX(L$5:L$1258,'Stock Price'!$I$9)-1,"")</f>
        <v>-0.21504649196956893</v>
      </c>
      <c r="Z951" s="19">
        <f ca="1">IF('Stock Price'!$I$11="OK",M951/INDEX(M$5:M$1258,'Stock Price'!$I$9)-1,"")</f>
        <v>-2.7635041985211384E-2</v>
      </c>
    </row>
    <row r="952" spans="1:26" x14ac:dyDescent="0.2">
      <c r="A952" s="16">
        <f>'Stock Price'!A952</f>
        <v>45854</v>
      </c>
      <c r="B952" s="17">
        <f>'Stock Price'!E952</f>
        <v>190.58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789.8</v>
      </c>
      <c r="L952" s="18">
        <v>47.17</v>
      </c>
      <c r="M952" s="18">
        <v>164.78</v>
      </c>
      <c r="O952" s="19">
        <f ca="1">IF('Stock Price'!$I$11="OK",B952/INDEX(B$5:B$1258,'Stock Price'!$I$9)-1,"")</f>
        <v>0.74029768970870236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2.4200840081409947</v>
      </c>
      <c r="Y952" s="19">
        <f ca="1">IF('Stock Price'!$I$11="OK",L952/INDEX(L$5:L$1258,'Stock Price'!$I$9)-1,"")</f>
        <v>-0.20253592561284861</v>
      </c>
      <c r="Z952" s="19">
        <f ca="1">IF('Stock Price'!$I$11="OK",M952/INDEX(M$5:M$1258,'Stock Price'!$I$9)-1,"")</f>
        <v>3.2585537034716117E-2</v>
      </c>
    </row>
    <row r="953" spans="1:26" x14ac:dyDescent="0.2">
      <c r="A953" s="16">
        <f>'Stock Price'!A953</f>
        <v>45855</v>
      </c>
      <c r="B953" s="17">
        <f>'Stock Price'!E953</f>
        <v>191.4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761.5</v>
      </c>
      <c r="L953" s="18">
        <v>48.06</v>
      </c>
      <c r="M953" s="18">
        <v>162.97999999999999</v>
      </c>
      <c r="O953" s="19">
        <f ca="1">IF('Stock Price'!$I$11="OK",B953/INDEX(B$5:B$1258,'Stock Price'!$I$9)-1,"")</f>
        <v>0.74778559035704495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2.2975360498852466</v>
      </c>
      <c r="Y953" s="19">
        <f ca="1">IF('Stock Price'!$I$11="OK",L953/INDEX(L$5:L$1258,'Stock Price'!$I$9)-1,"")</f>
        <v>-0.18748943364327975</v>
      </c>
      <c r="Z953" s="19">
        <f ca="1">IF('Stock Price'!$I$11="OK",M953/INDEX(M$5:M$1258,'Stock Price'!$I$9)-1,"")</f>
        <v>2.1305928061160495E-2</v>
      </c>
    </row>
    <row r="954" spans="1:26" x14ac:dyDescent="0.2">
      <c r="A954" s="16">
        <f>'Stock Price'!A954</f>
        <v>45856</v>
      </c>
      <c r="B954" s="17">
        <f>'Stock Price'!E954</f>
        <v>189.26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771.71</v>
      </c>
      <c r="L954" s="18">
        <v>47.36</v>
      </c>
      <c r="M954" s="18">
        <v>163.69999999999999</v>
      </c>
      <c r="O954" s="19">
        <f ca="1">IF('Stock Price'!$I$11="OK",B954/INDEX(B$5:B$1258,'Stock Price'!$I$9)-1,"")</f>
        <v>0.72824399598210188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2.3417485818213311</v>
      </c>
      <c r="Y954" s="19">
        <f ca="1">IF('Stock Price'!$I$11="OK",L954/INDEX(L$5:L$1258,'Stock Price'!$I$9)-1,"")</f>
        <v>-0.19932375316990703</v>
      </c>
      <c r="Z954" s="19">
        <f ca="1">IF('Stock Price'!$I$11="OK",M954/INDEX(M$5:M$1258,'Stock Price'!$I$9)-1,"")</f>
        <v>2.5817771650582522E-2</v>
      </c>
    </row>
    <row r="955" spans="1:26" x14ac:dyDescent="0.2">
      <c r="A955" s="16">
        <f>'Stock Price'!A955</f>
        <v>45859</v>
      </c>
      <c r="B955" s="17">
        <f>'Stock Price'!E955</f>
        <v>184.85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762.18</v>
      </c>
      <c r="L955" s="18">
        <v>46.69</v>
      </c>
      <c r="M955" s="18">
        <v>164.36</v>
      </c>
      <c r="O955" s="19">
        <f ca="1">IF('Stock Price'!$I$11="OK",B955/INDEX(B$5:B$1258,'Stock Price'!$I$9)-1,"")</f>
        <v>0.68797370103186917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2.3004806651366212</v>
      </c>
      <c r="Y955" s="19">
        <f ca="1">IF('Stock Price'!$I$11="OK",L955/INDEX(L$5:L$1258,'Stock Price'!$I$9)-1,"")</f>
        <v>-0.21065088757396455</v>
      </c>
      <c r="Z955" s="19">
        <f ca="1">IF('Stock Price'!$I$11="OK",M955/INDEX(M$5:M$1258,'Stock Price'!$I$9)-1,"")</f>
        <v>2.9953628274219879E-2</v>
      </c>
    </row>
    <row r="956" spans="1:26" x14ac:dyDescent="0.2">
      <c r="A956" s="16">
        <f>'Stock Price'!A956</f>
        <v>45860</v>
      </c>
      <c r="B956" s="17">
        <f>'Stock Price'!E956</f>
        <v>187.11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776.44</v>
      </c>
      <c r="L956" s="18">
        <v>48.02</v>
      </c>
      <c r="M956" s="18">
        <v>167.93</v>
      </c>
      <c r="O956" s="19">
        <f ca="1">IF('Stock Price'!$I$11="OK",B956/INDEX(B$5:B$1258,'Stock Price'!$I$9)-1,"")</f>
        <v>0.70861108574559406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2.362230979084571</v>
      </c>
      <c r="Y956" s="19">
        <f ca="1">IF('Stock Price'!$I$11="OK",L956/INDEX(L$5:L$1258,'Stock Price'!$I$9)-1,"")</f>
        <v>-0.18816568047337268</v>
      </c>
      <c r="Z956" s="19">
        <f ca="1">IF('Stock Price'!$I$11="OK",M956/INDEX(M$5:M$1258,'Stock Price'!$I$9)-1,"")</f>
        <v>5.2324852738438343E-2</v>
      </c>
    </row>
    <row r="957" spans="1:26" x14ac:dyDescent="0.2">
      <c r="A957" s="16">
        <f>'Stock Price'!A957</f>
        <v>45861</v>
      </c>
      <c r="B957" s="17">
        <f>'Stock Price'!E957</f>
        <v>190.55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798.89</v>
      </c>
      <c r="L957" s="18">
        <v>48.98</v>
      </c>
      <c r="M957" s="18">
        <v>169.1</v>
      </c>
      <c r="O957" s="19">
        <f ca="1">IF('Stock Price'!$I$11="OK",B957/INDEX(B$5:B$1258,'Stock Price'!$I$9)-1,"")</f>
        <v>0.74002374212400701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2.4594465855454031</v>
      </c>
      <c r="Y957" s="19">
        <f ca="1">IF('Stock Price'!$I$11="OK",L957/INDEX(L$5:L$1258,'Stock Price'!$I$9)-1,"")</f>
        <v>-0.17193575655114124</v>
      </c>
      <c r="Z957" s="19">
        <f ca="1">IF('Stock Price'!$I$11="OK",M957/INDEX(M$5:M$1258,'Stock Price'!$I$9)-1,"")</f>
        <v>5.9656598571249386E-2</v>
      </c>
    </row>
    <row r="958" spans="1:26" x14ac:dyDescent="0.2">
      <c r="A958" s="16">
        <f>'Stock Price'!A958</f>
        <v>45862</v>
      </c>
      <c r="B958" s="17">
        <f>'Stock Price'!E958</f>
        <v>190.83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805.43</v>
      </c>
      <c r="L958" s="18">
        <v>48.94</v>
      </c>
      <c r="M958" s="18">
        <v>169.56</v>
      </c>
      <c r="O958" s="19">
        <f ca="1">IF('Stock Price'!$I$11="OK",B958/INDEX(B$5:B$1258,'Stock Price'!$I$9)-1,"")</f>
        <v>0.74258058624783119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2.4877668557571555</v>
      </c>
      <c r="Y958" s="19">
        <f ca="1">IF('Stock Price'!$I$11="OK",L958/INDEX(L$5:L$1258,'Stock Price'!$I$9)-1,"")</f>
        <v>-0.17261200338123417</v>
      </c>
      <c r="Z958" s="19">
        <f ca="1">IF('Stock Price'!$I$11="OK",M958/INDEX(M$5:M$1258,'Stock Price'!$I$9)-1,"")</f>
        <v>6.2539165308935996E-2</v>
      </c>
    </row>
    <row r="959" spans="1:26" x14ac:dyDescent="0.2">
      <c r="A959" s="16">
        <f>'Stock Price'!A959</f>
        <v>45863</v>
      </c>
      <c r="B959" s="17">
        <f>'Stock Price'!E959</f>
        <v>190.28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812.69</v>
      </c>
      <c r="L959" s="18">
        <v>48.43</v>
      </c>
      <c r="M959" s="18">
        <v>168.3</v>
      </c>
      <c r="O959" s="19">
        <f ca="1">IF('Stock Price'!$I$11="OK",B959/INDEX(B$5:B$1258,'Stock Price'!$I$9)-1,"")</f>
        <v>0.7375582138617478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2.5192049538821291</v>
      </c>
      <c r="Y959" s="19">
        <f ca="1">IF('Stock Price'!$I$11="OK",L959/INDEX(L$5:L$1258,'Stock Price'!$I$9)-1,"")</f>
        <v>-0.18123415046491964</v>
      </c>
      <c r="Z959" s="19">
        <f ca="1">IF('Stock Price'!$I$11="OK",M959/INDEX(M$5:M$1258,'Stock Price'!$I$9)-1,"")</f>
        <v>5.464343902744706E-2</v>
      </c>
    </row>
    <row r="960" spans="1:26" x14ac:dyDescent="0.2">
      <c r="A960" s="16">
        <f>'Stock Price'!A960</f>
        <v>45866</v>
      </c>
      <c r="B960" s="17">
        <f>'Stock Price'!E960</f>
        <v>188.52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808.11</v>
      </c>
      <c r="L960" s="18">
        <v>47.51</v>
      </c>
      <c r="M960" s="18">
        <v>166.22</v>
      </c>
      <c r="O960" s="19">
        <f ca="1">IF('Stock Price'!$I$11="OK",B960/INDEX(B$5:B$1258,'Stock Price'!$I$9)-1,"")</f>
        <v>0.72148662222628079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2.4993721041008099</v>
      </c>
      <c r="Y960" s="19">
        <f ca="1">IF('Stock Price'!$I$11="OK",L960/INDEX(L$5:L$1258,'Stock Price'!$I$9)-1,"")</f>
        <v>-0.19678782755705837</v>
      </c>
      <c r="Z960" s="19">
        <f ca="1">IF('Stock Price'!$I$11="OK",M960/INDEX(M$5:M$1258,'Stock Price'!$I$9)-1,"")</f>
        <v>4.1609224213560614E-2</v>
      </c>
    </row>
    <row r="961" spans="1:26" x14ac:dyDescent="0.2">
      <c r="A961" s="16">
        <f>'Stock Price'!A961</f>
        <v>45867</v>
      </c>
      <c r="B961" s="17">
        <f>'Stock Price'!E961</f>
        <v>191.22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762.95</v>
      </c>
      <c r="L961" s="18">
        <v>46.86</v>
      </c>
      <c r="M961" s="18">
        <v>168.11</v>
      </c>
      <c r="O961" s="19">
        <f ca="1">IF('Stock Price'!$I$11="OK",B961/INDEX(B$5:B$1258,'Stock Price'!$I$9)-1,"")</f>
        <v>0.74614190484887222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2.303815008877149</v>
      </c>
      <c r="Y961" s="19">
        <f ca="1">IF('Stock Price'!$I$11="OK",L961/INDEX(L$5:L$1258,'Stock Price'!$I$9)-1,"")</f>
        <v>-0.20777683854606932</v>
      </c>
      <c r="Z961" s="19">
        <f ca="1">IF('Stock Price'!$I$11="OK",M961/INDEX(M$5:M$1258,'Stock Price'!$I$9)-1,"")</f>
        <v>5.3452813635793905E-2</v>
      </c>
    </row>
    <row r="962" spans="1:26" x14ac:dyDescent="0.2">
      <c r="A962" s="16">
        <f>'Stock Price'!A962</f>
        <v>45868</v>
      </c>
      <c r="B962" s="17">
        <f>'Stock Price'!E962</f>
        <v>189.31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760.08</v>
      </c>
      <c r="L962" s="18">
        <v>45.98</v>
      </c>
      <c r="M962" s="18">
        <v>167.26</v>
      </c>
      <c r="O962" s="19">
        <f ca="1">IF('Stock Price'!$I$11="OK",B962/INDEX(B$5:B$1258,'Stock Price'!$I$9)-1,"")</f>
        <v>0.72870057528992782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2.2913870003897285</v>
      </c>
      <c r="Y962" s="19">
        <f ca="1">IF('Stock Price'!$I$11="OK",L962/INDEX(L$5:L$1258,'Stock Price'!$I$9)-1,"")</f>
        <v>-0.22265426880811501</v>
      </c>
      <c r="Z962" s="19">
        <f ca="1">IF('Stock Price'!$I$11="OK",M962/INDEX(M$5:M$1258,'Stock Price'!$I$9)-1,"")</f>
        <v>4.8126331620503615E-2</v>
      </c>
    </row>
    <row r="963" spans="1:26" x14ac:dyDescent="0.2">
      <c r="A963" s="16">
        <f>'Stock Price'!A963</f>
        <v>45869</v>
      </c>
      <c r="B963" s="17">
        <f>'Stock Price'!E963</f>
        <v>189.02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740.07</v>
      </c>
      <c r="L963" s="18">
        <v>43.31</v>
      </c>
      <c r="M963" s="18">
        <v>164.74</v>
      </c>
      <c r="O963" s="19">
        <f ca="1">IF('Stock Price'!$I$11="OK",B963/INDEX(B$5:B$1258,'Stock Price'!$I$9)-1,"")</f>
        <v>0.72605241530453846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2.2047373663014769</v>
      </c>
      <c r="Y963" s="19">
        <f ca="1">IF('Stock Price'!$I$11="OK",L963/INDEX(L$5:L$1258,'Stock Price'!$I$9)-1,"")</f>
        <v>-0.2677937447168216</v>
      </c>
      <c r="Z963" s="19">
        <f ca="1">IF('Stock Price'!$I$11="OK",M963/INDEX(M$5:M$1258,'Stock Price'!$I$9)-1,"")</f>
        <v>3.2334879057525967E-2</v>
      </c>
    </row>
    <row r="964" spans="1:26" x14ac:dyDescent="0.2">
      <c r="A964" s="16">
        <f>'Stock Price'!A964</f>
        <v>45870</v>
      </c>
      <c r="B964" s="17">
        <f>'Stock Price'!E964</f>
        <v>195.22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762.33</v>
      </c>
      <c r="L964" s="18">
        <v>44.23</v>
      </c>
      <c r="M964" s="18">
        <v>167.33</v>
      </c>
      <c r="O964" s="19">
        <f ca="1">IF('Stock Price'!$I$11="OK",B964/INDEX(B$5:B$1258,'Stock Price'!$I$9)-1,"")</f>
        <v>0.78266824947493374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2.3011302126185424</v>
      </c>
      <c r="Y964" s="19">
        <f ca="1">IF('Stock Price'!$I$11="OK",L964/INDEX(L$5:L$1258,'Stock Price'!$I$9)-1,"")</f>
        <v>-0.2522400676246831</v>
      </c>
      <c r="Z964" s="19">
        <f ca="1">IF('Stock Price'!$I$11="OK",M964/INDEX(M$5:M$1258,'Stock Price'!$I$9)-1,"")</f>
        <v>4.8564983080586543E-2</v>
      </c>
    </row>
    <row r="965" spans="1:26" x14ac:dyDescent="0.2">
      <c r="A965" s="16">
        <f>'Stock Price'!A965</f>
        <v>45873</v>
      </c>
      <c r="B965" s="17">
        <f>'Stock Price'!E965</f>
        <v>197.19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769</v>
      </c>
      <c r="L965" s="18">
        <v>45.4</v>
      </c>
      <c r="M965" s="18">
        <v>171.04</v>
      </c>
      <c r="O965" s="19">
        <f ca="1">IF('Stock Price'!$I$11="OK",B965/INDEX(B$5:B$1258,'Stock Price'!$I$9)-1,"")</f>
        <v>0.80065747420326905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2.3300134239812929</v>
      </c>
      <c r="Y965" s="19">
        <f ca="1">IF('Stock Price'!$I$11="OK",L965/INDEX(L$5:L$1258,'Stock Price'!$I$9)-1,"")</f>
        <v>-0.23245984784446327</v>
      </c>
      <c r="Z965" s="19">
        <f ca="1">IF('Stock Price'!$I$11="OK",M965/INDEX(M$5:M$1258,'Stock Price'!$I$9)-1,"")</f>
        <v>7.181351046497042E-2</v>
      </c>
    </row>
    <row r="966" spans="1:26" x14ac:dyDescent="0.2">
      <c r="A966" s="16">
        <f>'Stock Price'!A966</f>
        <v>45874</v>
      </c>
      <c r="B966" s="17">
        <f>'Stock Price'!E966</f>
        <v>198.55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765.95</v>
      </c>
      <c r="L966" s="18">
        <v>45.85</v>
      </c>
      <c r="M966" s="18">
        <v>170.74</v>
      </c>
      <c r="O966" s="19">
        <f ca="1">IF('Stock Price'!$I$11="OK",B966/INDEX(B$5:B$1258,'Stock Price'!$I$9)-1,"")</f>
        <v>0.81307643137613006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2.3168059585155674</v>
      </c>
      <c r="Y966" s="19">
        <f ca="1">IF('Stock Price'!$I$11="OK",L966/INDEX(L$5:L$1258,'Stock Price'!$I$9)-1,"")</f>
        <v>-0.22485207100591709</v>
      </c>
      <c r="Z966" s="19">
        <f ca="1">IF('Stock Price'!$I$11="OK",M966/INDEX(M$5:M$1258,'Stock Price'!$I$9)-1,"")</f>
        <v>6.9933575636044631E-2</v>
      </c>
    </row>
    <row r="967" spans="1:26" x14ac:dyDescent="0.2">
      <c r="A967" s="16">
        <f>'Stock Price'!A967</f>
        <v>45875</v>
      </c>
      <c r="B967" s="17">
        <f>'Stock Price'!E967</f>
        <v>196.3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746.37</v>
      </c>
      <c r="L967" s="18">
        <v>44.82</v>
      </c>
      <c r="M967" s="18">
        <v>170.59</v>
      </c>
      <c r="O967" s="19">
        <f ca="1">IF('Stock Price'!$I$11="OK",B967/INDEX(B$5:B$1258,'Stock Price'!$I$9)-1,"")</f>
        <v>0.79253036252397036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2.2320183605421557</v>
      </c>
      <c r="Y967" s="19">
        <f ca="1">IF('Stock Price'!$I$11="OK",L967/INDEX(L$5:L$1258,'Stock Price'!$I$9)-1,"")</f>
        <v>-0.24226542688081143</v>
      </c>
      <c r="Z967" s="19">
        <f ca="1">IF('Stock Price'!$I$11="OK",M967/INDEX(M$5:M$1258,'Stock Price'!$I$9)-1,"")</f>
        <v>6.8993608221581626E-2</v>
      </c>
    </row>
    <row r="968" spans="1:26" x14ac:dyDescent="0.2">
      <c r="A968" s="16">
        <f>'Stock Price'!A968</f>
        <v>45876</v>
      </c>
      <c r="B968" s="17">
        <f>'Stock Price'!E968</f>
        <v>198.86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640.86</v>
      </c>
      <c r="L968" s="18">
        <v>45.36</v>
      </c>
      <c r="M968" s="18">
        <v>171.53</v>
      </c>
      <c r="O968" s="19">
        <f ca="1">IF('Stock Price'!$I$11="OK",B968/INDEX(B$5:B$1258,'Stock Price'!$I$9)-1,"")</f>
        <v>0.8159072230846498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1.7751266617589745</v>
      </c>
      <c r="Y968" s="19">
        <f ca="1">IF('Stock Price'!$I$11="OK",L968/INDEX(L$5:L$1258,'Stock Price'!$I$9)-1,"")</f>
        <v>-0.2331360946745562</v>
      </c>
      <c r="Z968" s="19">
        <f ca="1">IF('Stock Price'!$I$11="OK",M968/INDEX(M$5:M$1258,'Stock Price'!$I$9)-1,"")</f>
        <v>7.4884070685549586E-2</v>
      </c>
    </row>
    <row r="969" spans="1:26" x14ac:dyDescent="0.2">
      <c r="A969" s="16">
        <f>'Stock Price'!A969</f>
        <v>45877</v>
      </c>
      <c r="B969" s="17">
        <f>'Stock Price'!E969</f>
        <v>198.05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625.65</v>
      </c>
      <c r="L969" s="18">
        <v>45.95</v>
      </c>
      <c r="M969" s="18">
        <v>173.33</v>
      </c>
      <c r="O969" s="19">
        <f ca="1">IF('Stock Price'!$I$11="OK",B969/INDEX(B$5:B$1258,'Stock Price'!$I$9)-1,"")</f>
        <v>0.8085106382978724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1.7092625470921923</v>
      </c>
      <c r="Y969" s="19">
        <f ca="1">IF('Stock Price'!$I$11="OK",L969/INDEX(L$5:L$1258,'Stock Price'!$I$9)-1,"")</f>
        <v>-0.22316145393068465</v>
      </c>
      <c r="Z969" s="19">
        <f ca="1">IF('Stock Price'!$I$11="OK",M969/INDEX(M$5:M$1258,'Stock Price'!$I$9)-1,"")</f>
        <v>8.6163679659105208E-2</v>
      </c>
    </row>
    <row r="970" spans="1:26" x14ac:dyDescent="0.2">
      <c r="A970" s="16">
        <f>'Stock Price'!A970</f>
        <v>45880</v>
      </c>
      <c r="B970" s="17">
        <f>'Stock Price'!E970</f>
        <v>198.64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635.22</v>
      </c>
      <c r="L970" s="18">
        <v>45.93</v>
      </c>
      <c r="M970" s="18">
        <v>173.82</v>
      </c>
      <c r="O970" s="19">
        <f ca="1">IF('Stock Price'!$I$11="OK",B970/INDEX(B$5:B$1258,'Stock Price'!$I$9)-1,"")</f>
        <v>0.81389827413021631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1.7507036764387478</v>
      </c>
      <c r="Y970" s="19">
        <f ca="1">IF('Stock Price'!$I$11="OK",L970/INDEX(L$5:L$1258,'Stock Price'!$I$9)-1,"")</f>
        <v>-0.22349957734573123</v>
      </c>
      <c r="Z970" s="19">
        <f ca="1">IF('Stock Price'!$I$11="OK",M970/INDEX(M$5:M$1258,'Stock Price'!$I$9)-1,"")</f>
        <v>8.9234239879684152E-2</v>
      </c>
    </row>
    <row r="971" spans="1:26" x14ac:dyDescent="0.2">
      <c r="A971" s="16">
        <f>'Stock Price'!A971</f>
        <v>45881</v>
      </c>
      <c r="B971" s="17">
        <f>'Stock Price'!E971</f>
        <v>198.64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639.42999999999995</v>
      </c>
      <c r="L971" s="18">
        <v>46.55</v>
      </c>
      <c r="M971" s="18">
        <v>172.78</v>
      </c>
      <c r="O971" s="19">
        <f ca="1">IF('Stock Price'!$I$11="OK",B971/INDEX(B$5:B$1258,'Stock Price'!$I$9)-1,"")</f>
        <v>0.81389827413021631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1.768934309097995</v>
      </c>
      <c r="Y971" s="19">
        <f ca="1">IF('Stock Price'!$I$11="OK",L971/INDEX(L$5:L$1258,'Stock Price'!$I$9)-1,"")</f>
        <v>-0.21301775147928992</v>
      </c>
      <c r="Z971" s="19">
        <f ca="1">IF('Stock Price'!$I$11="OK",M971/INDEX(M$5:M$1258,'Stock Price'!$I$9)-1,"")</f>
        <v>8.2717132472740929E-2</v>
      </c>
    </row>
    <row r="972" spans="1:26" x14ac:dyDescent="0.2">
      <c r="A972" s="16">
        <f>'Stock Price'!A972</f>
        <v>45882</v>
      </c>
      <c r="B972" s="17">
        <f>'Stock Price'!E972</f>
        <v>201.47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660.49</v>
      </c>
      <c r="L972" s="18">
        <v>47.85</v>
      </c>
      <c r="M972" s="18">
        <v>174.42</v>
      </c>
      <c r="O972" s="19">
        <f ca="1">IF('Stock Price'!$I$11="OK",B972/INDEX(B$5:B$1258,'Stock Price'!$I$9)-1,"")</f>
        <v>0.83974066295315497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1.8601307755596932</v>
      </c>
      <c r="Y972" s="19">
        <f ca="1">IF('Stock Price'!$I$11="OK",L972/INDEX(L$5:L$1258,'Stock Price'!$I$9)-1,"")</f>
        <v>-0.19103972950126791</v>
      </c>
      <c r="Z972" s="19">
        <f ca="1">IF('Stock Price'!$I$11="OK",M972/INDEX(M$5:M$1258,'Stock Price'!$I$9)-1,"")</f>
        <v>9.2994109537535952E-2</v>
      </c>
    </row>
    <row r="973" spans="1:26" x14ac:dyDescent="0.2">
      <c r="A973" s="16">
        <f>'Stock Price'!A973</f>
        <v>45883</v>
      </c>
      <c r="B973" s="17">
        <f>'Stock Price'!E973</f>
        <v>204.68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684.43</v>
      </c>
      <c r="L973" s="18">
        <v>47.81</v>
      </c>
      <c r="M973" s="18">
        <v>174.72</v>
      </c>
      <c r="O973" s="19">
        <f ca="1">IF('Stock Price'!$I$11="OK",B973/INDEX(B$5:B$1258,'Stock Price'!$I$9)-1,"")</f>
        <v>0.86905305451556925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1.9637985536742733</v>
      </c>
      <c r="Y973" s="19">
        <f ca="1">IF('Stock Price'!$I$11="OK",L973/INDEX(L$5:L$1258,'Stock Price'!$I$9)-1,"")</f>
        <v>-0.19171597633136084</v>
      </c>
      <c r="Z973" s="19">
        <f ca="1">IF('Stock Price'!$I$11="OK",M973/INDEX(M$5:M$1258,'Stock Price'!$I$9)-1,"")</f>
        <v>9.4874044366461963E-2</v>
      </c>
    </row>
    <row r="974" spans="1:26" x14ac:dyDescent="0.2">
      <c r="A974" s="16">
        <f>'Stock Price'!A974</f>
        <v>45884</v>
      </c>
      <c r="B974" s="17">
        <f>'Stock Price'!E974</f>
        <v>206.69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701.23</v>
      </c>
      <c r="L974" s="18">
        <v>48.44</v>
      </c>
      <c r="M974" s="18">
        <v>176.64</v>
      </c>
      <c r="O974" s="19">
        <f ca="1">IF('Stock Price'!$I$11="OK",B974/INDEX(B$5:B$1258,'Stock Price'!$I$9)-1,"")</f>
        <v>0.88740754269016509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2.0365478716494176</v>
      </c>
      <c r="Y974" s="19">
        <f ca="1">IF('Stock Price'!$I$11="OK",L974/INDEX(L$5:L$1258,'Stock Price'!$I$9)-1,"")</f>
        <v>-0.18106508875739646</v>
      </c>
      <c r="Z974" s="19">
        <f ca="1">IF('Stock Price'!$I$11="OK",M974/INDEX(M$5:M$1258,'Stock Price'!$I$9)-1,"")</f>
        <v>0.10690562727158781</v>
      </c>
    </row>
    <row r="975" spans="1:26" x14ac:dyDescent="0.2">
      <c r="A975" s="16">
        <f>'Stock Price'!A975</f>
        <v>45887</v>
      </c>
      <c r="B975" s="17">
        <f>'Stock Price'!E975</f>
        <v>206.57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698.05</v>
      </c>
      <c r="L975" s="18">
        <v>48.19</v>
      </c>
      <c r="M975" s="18">
        <v>176.25</v>
      </c>
      <c r="O975" s="19">
        <f ca="1">IF('Stock Price'!$I$11="OK",B975/INDEX(B$5:B$1258,'Stock Price'!$I$9)-1,"")</f>
        <v>0.88631175235138326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2.0227774650326937</v>
      </c>
      <c r="Y975" s="19">
        <f ca="1">IF('Stock Price'!$I$11="OK",L975/INDEX(L$5:L$1258,'Stock Price'!$I$9)-1,"")</f>
        <v>-0.18529163144547767</v>
      </c>
      <c r="Z975" s="19">
        <f ca="1">IF('Stock Price'!$I$11="OK",M975/INDEX(M$5:M$1258,'Stock Price'!$I$9)-1,"")</f>
        <v>0.10446171199398413</v>
      </c>
    </row>
    <row r="976" spans="1:26" x14ac:dyDescent="0.2">
      <c r="A976" s="16">
        <f>'Stock Price'!A976</f>
        <v>45888</v>
      </c>
      <c r="B976" s="17">
        <f>'Stock Price'!E976</f>
        <v>206.19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703.21</v>
      </c>
      <c r="L976" s="18">
        <v>48.34</v>
      </c>
      <c r="M976" s="18">
        <v>177.8</v>
      </c>
      <c r="O976" s="19">
        <f ca="1">IF('Stock Price'!$I$11="OK",B976/INDEX(B$5:B$1258,'Stock Price'!$I$9)-1,"")</f>
        <v>0.88284174961190742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2.0451218984107737</v>
      </c>
      <c r="Y976" s="19">
        <f ca="1">IF('Stock Price'!$I$11="OK",L976/INDEX(L$5:L$1258,'Stock Price'!$I$9)-1,"")</f>
        <v>-0.18275570583262879</v>
      </c>
      <c r="Z976" s="19">
        <f ca="1">IF('Stock Price'!$I$11="OK",M976/INDEX(M$5:M$1258,'Stock Price'!$I$9)-1,"")</f>
        <v>0.11417470861010148</v>
      </c>
    </row>
    <row r="977" spans="1:26" x14ac:dyDescent="0.2">
      <c r="A977" s="16">
        <f>'Stock Price'!A977</f>
        <v>45889</v>
      </c>
      <c r="B977" s="17">
        <f>'Stock Price'!E977</f>
        <v>209.15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705.44</v>
      </c>
      <c r="L977" s="18">
        <v>48.26</v>
      </c>
      <c r="M977" s="18">
        <v>178.84</v>
      </c>
      <c r="O977" s="19">
        <f ca="1">IF('Stock Price'!$I$11="OK",B977/INDEX(B$5:B$1258,'Stock Price'!$I$9)-1,"")</f>
        <v>0.90987124463519309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2.0547785043086653</v>
      </c>
      <c r="Y977" s="19">
        <f ca="1">IF('Stock Price'!$I$11="OK",L977/INDEX(L$5:L$1258,'Stock Price'!$I$9)-1,"")</f>
        <v>-0.18410819949281487</v>
      </c>
      <c r="Z977" s="19">
        <f ca="1">IF('Stock Price'!$I$11="OK",M977/INDEX(M$5:M$1258,'Stock Price'!$I$9)-1,"")</f>
        <v>0.12069181601704471</v>
      </c>
    </row>
    <row r="978" spans="1:26" x14ac:dyDescent="0.2">
      <c r="A978" s="16">
        <f>'Stock Price'!A978</f>
        <v>45890</v>
      </c>
      <c r="B978" s="17">
        <f>'Stock Price'!E978</f>
        <v>209.5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709.82</v>
      </c>
      <c r="L978" s="18">
        <v>48.43</v>
      </c>
      <c r="M978" s="18">
        <v>178.93</v>
      </c>
      <c r="O978" s="19">
        <f ca="1">IF('Stock Price'!$I$11="OK",B978/INDEX(B$5:B$1258,'Stock Price'!$I$9)-1,"")</f>
        <v>0.91306729978997336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2.0737452907807561</v>
      </c>
      <c r="Y978" s="19">
        <f ca="1">IF('Stock Price'!$I$11="OK",L978/INDEX(L$5:L$1258,'Stock Price'!$I$9)-1,"")</f>
        <v>-0.18123415046491964</v>
      </c>
      <c r="Z978" s="19">
        <f ca="1">IF('Stock Price'!$I$11="OK",M978/INDEX(M$5:M$1258,'Stock Price'!$I$9)-1,"")</f>
        <v>0.12125579646572238</v>
      </c>
    </row>
    <row r="979" spans="1:26" x14ac:dyDescent="0.2">
      <c r="A979" s="16">
        <f>'Stock Price'!A979</f>
        <v>45891</v>
      </c>
      <c r="B979" s="17">
        <f>'Stock Price'!E979</f>
        <v>210.6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711.68</v>
      </c>
      <c r="L979" s="18">
        <v>47.92</v>
      </c>
      <c r="M979" s="18">
        <v>179.29</v>
      </c>
      <c r="O979" s="19">
        <f ca="1">IF('Stock Price'!$I$11="OK",B979/INDEX(B$5:B$1258,'Stock Price'!$I$9)-1,"")</f>
        <v>0.92311204456214035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2.0817996795565752</v>
      </c>
      <c r="Y979" s="19">
        <f ca="1">IF('Stock Price'!$I$11="OK",L979/INDEX(L$5:L$1258,'Stock Price'!$I$9)-1,"")</f>
        <v>-0.18985629754860522</v>
      </c>
      <c r="Z979" s="19">
        <f ca="1">IF('Stock Price'!$I$11="OK",M979/INDEX(M$5:M$1258,'Stock Price'!$I$9)-1,"")</f>
        <v>0.1235117182604335</v>
      </c>
    </row>
    <row r="980" spans="1:26" x14ac:dyDescent="0.2">
      <c r="A980" s="16">
        <f>'Stock Price'!A980</f>
        <v>45894</v>
      </c>
      <c r="B980" s="17">
        <f>'Stock Price'!E980</f>
        <v>207.55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695.33</v>
      </c>
      <c r="L980" s="18">
        <v>47.14</v>
      </c>
      <c r="M980" s="18">
        <v>178.41</v>
      </c>
      <c r="O980" s="19">
        <f ca="1">IF('Stock Price'!$I$11="OK",B980/INDEX(B$5:B$1258,'Stock Price'!$I$9)-1,"")</f>
        <v>0.89526070678476843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2.0109990040271946</v>
      </c>
      <c r="Y980" s="19">
        <f ca="1">IF('Stock Price'!$I$11="OK",L980/INDEX(L$5:L$1258,'Stock Price'!$I$9)-1,"")</f>
        <v>-0.20304311073541836</v>
      </c>
      <c r="Z980" s="19">
        <f ca="1">IF('Stock Price'!$I$11="OK",M980/INDEX(M$5:M$1258,'Stock Price'!$I$9)-1,"")</f>
        <v>0.11799724276225088</v>
      </c>
    </row>
    <row r="981" spans="1:26" x14ac:dyDescent="0.2">
      <c r="A981" s="16">
        <f>'Stock Price'!A981</f>
        <v>45895</v>
      </c>
      <c r="B981" s="17">
        <f>'Stock Price'!E981</f>
        <v>208.36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736.03</v>
      </c>
      <c r="L981" s="18">
        <v>47.21</v>
      </c>
      <c r="M981" s="18">
        <v>176.49</v>
      </c>
      <c r="O981" s="19">
        <f ca="1">IF('Stock Price'!$I$11="OK",B981/INDEX(B$5:B$1258,'Stock Price'!$I$9)-1,"")</f>
        <v>0.90265729157154606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2.1872428874550729</v>
      </c>
      <c r="Y981" s="19">
        <f ca="1">IF('Stock Price'!$I$11="OK",L981/INDEX(L$5:L$1258,'Stock Price'!$I$9)-1,"")</f>
        <v>-0.20185967878275568</v>
      </c>
      <c r="Z981" s="19">
        <f ca="1">IF('Stock Price'!$I$11="OK",M981/INDEX(M$5:M$1258,'Stock Price'!$I$9)-1,"")</f>
        <v>0.10596565985712503</v>
      </c>
    </row>
    <row r="982" spans="1:26" x14ac:dyDescent="0.2">
      <c r="A982" s="16">
        <f>'Stock Price'!A982</f>
        <v>45896</v>
      </c>
      <c r="B982" s="17">
        <f>'Stock Price'!E982</f>
        <v>208.06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734.17</v>
      </c>
      <c r="L982" s="18">
        <v>47.63</v>
      </c>
      <c r="M982" s="18">
        <v>176.79</v>
      </c>
      <c r="O982" s="19">
        <f ca="1">IF('Stock Price'!$I$11="OK",B982/INDEX(B$5:B$1258,'Stock Price'!$I$9)-1,"")</f>
        <v>0.89991781572459129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2.1791884986792533</v>
      </c>
      <c r="Y982" s="19">
        <f ca="1">IF('Stock Price'!$I$11="OK",L982/INDEX(L$5:L$1258,'Stock Price'!$I$9)-1,"")</f>
        <v>-0.19475908706677936</v>
      </c>
      <c r="Z982" s="19">
        <f ca="1">IF('Stock Price'!$I$11="OK",M982/INDEX(M$5:M$1258,'Stock Price'!$I$9)-1,"")</f>
        <v>0.10784559468605082</v>
      </c>
    </row>
    <row r="983" spans="1:26" x14ac:dyDescent="0.2">
      <c r="A983" s="16">
        <f>'Stock Price'!A983</f>
        <v>45897</v>
      </c>
      <c r="B983" s="17">
        <f>'Stock Price'!E983</f>
        <v>207.92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731.96</v>
      </c>
      <c r="L983" s="18">
        <v>46.88</v>
      </c>
      <c r="M983" s="18">
        <v>175.45</v>
      </c>
      <c r="O983" s="19">
        <f ca="1">IF('Stock Price'!$I$11="OK",B983/INDEX(B$5:B$1258,'Stock Price'!$I$9)-1,"")</f>
        <v>0.89863939366267909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2.1696184991122851</v>
      </c>
      <c r="Y983" s="19">
        <f ca="1">IF('Stock Price'!$I$11="OK",L983/INDEX(L$5:L$1258,'Stock Price'!$I$9)-1,"")</f>
        <v>-0.20743871513102274</v>
      </c>
      <c r="Z983" s="19">
        <f ca="1">IF('Stock Price'!$I$11="OK",M983/INDEX(M$5:M$1258,'Stock Price'!$I$9)-1,"")</f>
        <v>9.9448552450181582E-2</v>
      </c>
    </row>
    <row r="984" spans="1:26" x14ac:dyDescent="0.2">
      <c r="A984" s="16">
        <f>'Stock Price'!A984</f>
        <v>45898</v>
      </c>
      <c r="B984" s="17">
        <f>'Stock Price'!E984</f>
        <v>210.4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732.58</v>
      </c>
      <c r="L984" s="18">
        <v>47.18</v>
      </c>
      <c r="M984" s="18">
        <v>177.17</v>
      </c>
      <c r="O984" s="19">
        <f ca="1">IF('Stock Price'!$I$11="OK",B984/INDEX(B$5:B$1258,'Stock Price'!$I$9)-1,"")</f>
        <v>0.92128572733083725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2.1723032953708916</v>
      </c>
      <c r="Y984" s="19">
        <f ca="1">IF('Stock Price'!$I$11="OK",L984/INDEX(L$5:L$1258,'Stock Price'!$I$9)-1,"")</f>
        <v>-0.20236686390532543</v>
      </c>
      <c r="Z984" s="19">
        <f ca="1">IF('Stock Price'!$I$11="OK",M984/INDEX(M$5:M$1258,'Stock Price'!$I$9)-1,"")</f>
        <v>0.1102268454693569</v>
      </c>
    </row>
    <row r="985" spans="1:26" x14ac:dyDescent="0.2">
      <c r="A985" s="16">
        <f>'Stock Price'!A985</f>
        <v>45902</v>
      </c>
      <c r="B985" s="17">
        <f>'Stock Price'!E985</f>
        <v>211.92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735.19</v>
      </c>
      <c r="L985" s="18">
        <v>47.41</v>
      </c>
      <c r="M985" s="18">
        <v>178.06</v>
      </c>
      <c r="O985" s="19">
        <f ca="1">IF('Stock Price'!$I$11="OK",B985/INDEX(B$5:B$1258,'Stock Price'!$I$9)-1,"")</f>
        <v>0.93516573828874061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2.1836054215563161</v>
      </c>
      <c r="Y985" s="19">
        <f ca="1">IF('Stock Price'!$I$11="OK",L985/INDEX(L$5:L$1258,'Stock Price'!$I$9)-1,"")</f>
        <v>-0.19847844463229081</v>
      </c>
      <c r="Z985" s="19">
        <f ca="1">IF('Stock Price'!$I$11="OK",M985/INDEX(M$5:M$1258,'Stock Price'!$I$9)-1,"")</f>
        <v>0.11580398546183734</v>
      </c>
    </row>
    <row r="986" spans="1:26" x14ac:dyDescent="0.2">
      <c r="A986" s="16">
        <f>'Stock Price'!A986</f>
        <v>45903</v>
      </c>
      <c r="B986" s="17">
        <f>'Stock Price'!E986</f>
        <v>211.86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737.83</v>
      </c>
      <c r="L986" s="18">
        <v>47.5</v>
      </c>
      <c r="M986" s="18">
        <v>178</v>
      </c>
      <c r="O986" s="19">
        <f ca="1">IF('Stock Price'!$I$11="OK",B986/INDEX(B$5:B$1258,'Stock Price'!$I$9)-1,"")</f>
        <v>0.93461784311934992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2.1950374572381244</v>
      </c>
      <c r="Y986" s="19">
        <f ca="1">IF('Stock Price'!$I$11="OK",L986/INDEX(L$5:L$1258,'Stock Price'!$I$9)-1,"")</f>
        <v>-0.19695688926458155</v>
      </c>
      <c r="Z986" s="19">
        <f ca="1">IF('Stock Price'!$I$11="OK",M986/INDEX(M$5:M$1258,'Stock Price'!$I$9)-1,"")</f>
        <v>0.11542799849605201</v>
      </c>
    </row>
    <row r="987" spans="1:26" x14ac:dyDescent="0.2">
      <c r="A987" s="16">
        <f>'Stock Price'!A987</f>
        <v>45904</v>
      </c>
      <c r="B987" s="17">
        <f>'Stock Price'!E987</f>
        <v>213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742.91</v>
      </c>
      <c r="L987" s="18">
        <v>46.69</v>
      </c>
      <c r="M987" s="18">
        <v>178.76</v>
      </c>
      <c r="O987" s="19">
        <f ca="1">IF('Stock Price'!$I$11="OK",B987/INDEX(B$5:B$1258,'Stock Price'!$I$9)-1,"")</f>
        <v>0.94502785133777722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2.2170354652925126</v>
      </c>
      <c r="Y987" s="19">
        <f ca="1">IF('Stock Price'!$I$11="OK",L987/INDEX(L$5:L$1258,'Stock Price'!$I$9)-1,"")</f>
        <v>-0.21065088757396455</v>
      </c>
      <c r="Z987" s="19">
        <f ca="1">IF('Stock Price'!$I$11="OK",M987/INDEX(M$5:M$1258,'Stock Price'!$I$9)-1,"")</f>
        <v>0.12019050006266441</v>
      </c>
    </row>
    <row r="988" spans="1:26" x14ac:dyDescent="0.2">
      <c r="A988" s="16">
        <f>'Stock Price'!A988</f>
        <v>45905</v>
      </c>
      <c r="B988" s="17">
        <f>'Stock Price'!E988</f>
        <v>212.56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727.21</v>
      </c>
      <c r="L988" s="18">
        <v>47.14</v>
      </c>
      <c r="M988" s="18">
        <v>178.43</v>
      </c>
      <c r="O988" s="19">
        <f ca="1">IF('Stock Price'!$I$11="OK",B988/INDEX(B$5:B$1258,'Stock Price'!$I$9)-1,"")</f>
        <v>0.94100995342891047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2.1490494955181223</v>
      </c>
      <c r="Y988" s="19">
        <f ca="1">IF('Stock Price'!$I$11="OK",L988/INDEX(L$5:L$1258,'Stock Price'!$I$9)-1,"")</f>
        <v>-0.20304311073541836</v>
      </c>
      <c r="Z988" s="19">
        <f ca="1">IF('Stock Price'!$I$11="OK",M988/INDEX(M$5:M$1258,'Stock Price'!$I$9)-1,"")</f>
        <v>0.11812257175084584</v>
      </c>
    </row>
    <row r="989" spans="1:26" x14ac:dyDescent="0.2">
      <c r="A989" s="16">
        <f>'Stock Price'!A989</f>
        <v>45908</v>
      </c>
      <c r="B989" s="17">
        <f>'Stock Price'!E989</f>
        <v>209.79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738.64</v>
      </c>
      <c r="L989" s="18">
        <v>46.72</v>
      </c>
      <c r="M989" s="18">
        <v>178.13</v>
      </c>
      <c r="O989" s="19">
        <f ca="1">IF('Stock Price'!$I$11="OK",B989/INDEX(B$5:B$1258,'Stock Price'!$I$9)-1,"")</f>
        <v>0.91571545977536273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2.1985450136404969</v>
      </c>
      <c r="Y989" s="19">
        <f ca="1">IF('Stock Price'!$I$11="OK",L989/INDEX(L$5:L$1258,'Stock Price'!$I$9)-1,"")</f>
        <v>-0.2101437024513948</v>
      </c>
      <c r="Z989" s="19">
        <f ca="1">IF('Stock Price'!$I$11="OK",M989/INDEX(M$5:M$1258,'Stock Price'!$I$9)-1,"")</f>
        <v>0.11624263692191983</v>
      </c>
    </row>
    <row r="990" spans="1:26" x14ac:dyDescent="0.2">
      <c r="A990" s="16">
        <f>'Stock Price'!A990</f>
        <v>45909</v>
      </c>
      <c r="B990" s="17">
        <f>'Stock Price'!E990</f>
        <v>210.42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750.61</v>
      </c>
      <c r="L990" s="18">
        <v>47.23</v>
      </c>
      <c r="M990" s="18">
        <v>176.96</v>
      </c>
      <c r="O990" s="19">
        <f ca="1">IF('Stock Price'!$I$11="OK",B990/INDEX(B$5:B$1258,'Stock Price'!$I$9)-1,"")</f>
        <v>0.9214683590539674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2.2503789026977872</v>
      </c>
      <c r="Y990" s="19">
        <f ca="1">IF('Stock Price'!$I$11="OK",L990/INDEX(L$5:L$1258,'Stock Price'!$I$9)-1,"")</f>
        <v>-0.20152155536770922</v>
      </c>
      <c r="Z990" s="19">
        <f ca="1">IF('Stock Price'!$I$11="OK",M990/INDEX(M$5:M$1258,'Stock Price'!$I$9)-1,"")</f>
        <v>0.10891089108910879</v>
      </c>
    </row>
    <row r="991" spans="1:26" x14ac:dyDescent="0.2">
      <c r="A991" s="16">
        <f>'Stock Price'!A991</f>
        <v>45910</v>
      </c>
      <c r="B991" s="17">
        <f>'Stock Price'!E991</f>
        <v>211.64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754.62</v>
      </c>
      <c r="L991" s="18">
        <v>47.15</v>
      </c>
      <c r="M991" s="18">
        <v>175.79</v>
      </c>
      <c r="O991" s="19">
        <f ca="1">IF('Stock Price'!$I$11="OK",B991/INDEX(B$5:B$1258,'Stock Price'!$I$9)-1,"")</f>
        <v>0.93260889416491621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2.2677434720478065</v>
      </c>
      <c r="Y991" s="19">
        <f ca="1">IF('Stock Price'!$I$11="OK",L991/INDEX(L$5:L$1258,'Stock Price'!$I$9)-1,"")</f>
        <v>-0.20287404902789519</v>
      </c>
      <c r="Z991" s="19">
        <f ca="1">IF('Stock Price'!$I$11="OK",M991/INDEX(M$5:M$1258,'Stock Price'!$I$9)-1,"")</f>
        <v>0.10157914525629774</v>
      </c>
    </row>
    <row r="992" spans="1:26" x14ac:dyDescent="0.2">
      <c r="A992" s="16">
        <f>'Stock Price'!A992</f>
        <v>45911</v>
      </c>
      <c r="B992" s="17">
        <f>'Stock Price'!E992</f>
        <v>220.22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756.28</v>
      </c>
      <c r="L992" s="18">
        <v>47.54</v>
      </c>
      <c r="M992" s="18">
        <v>178.5</v>
      </c>
      <c r="O992" s="19">
        <f ca="1">IF('Stock Price'!$I$11="OK",B992/INDEX(B$5:B$1258,'Stock Price'!$I$9)-1,"")</f>
        <v>1.0109579033878182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2.2749317975143981</v>
      </c>
      <c r="Y992" s="19">
        <f ca="1">IF('Stock Price'!$I$11="OK",L992/INDEX(L$5:L$1258,'Stock Price'!$I$9)-1,"")</f>
        <v>-0.19628064243448862</v>
      </c>
      <c r="Z992" s="19">
        <f ca="1">IF('Stock Price'!$I$11="OK",M992/INDEX(M$5:M$1258,'Stock Price'!$I$9)-1,"")</f>
        <v>0.11856122321092855</v>
      </c>
    </row>
    <row r="993" spans="1:26" x14ac:dyDescent="0.2">
      <c r="A993" s="16">
        <f>'Stock Price'!A993</f>
        <v>45912</v>
      </c>
      <c r="B993" s="17">
        <f>'Stock Price'!E993</f>
        <v>218.34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755.39</v>
      </c>
      <c r="L993" s="18">
        <v>46.2</v>
      </c>
      <c r="M993" s="18">
        <v>178.06</v>
      </c>
      <c r="O993" s="19">
        <f ca="1">IF('Stock Price'!$I$11="OK",B993/INDEX(B$5:B$1258,'Stock Price'!$I$9)-1,"")</f>
        <v>0.99379052141356938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2.2710778157883338</v>
      </c>
      <c r="Y993" s="19">
        <f ca="1">IF('Stock Price'!$I$11="OK",L993/INDEX(L$5:L$1258,'Stock Price'!$I$9)-1,"")</f>
        <v>-0.21893491124260345</v>
      </c>
      <c r="Z993" s="19">
        <f ca="1">IF('Stock Price'!$I$11="OK",M993/INDEX(M$5:M$1258,'Stock Price'!$I$9)-1,"")</f>
        <v>0.11580398546183734</v>
      </c>
    </row>
    <row r="994" spans="1:26" x14ac:dyDescent="0.2">
      <c r="A994" s="16">
        <f>'Stock Price'!A994</f>
        <v>45915</v>
      </c>
      <c r="B994" s="17">
        <f>'Stock Price'!E994</f>
        <v>217.61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748.19</v>
      </c>
      <c r="L994" s="18">
        <v>46.35</v>
      </c>
      <c r="M994" s="18">
        <v>177.4</v>
      </c>
      <c r="O994" s="19">
        <f ca="1">IF('Stock Price'!$I$11="OK",B994/INDEX(B$5:B$1258,'Stock Price'!$I$9)-1,"")</f>
        <v>0.98712446351931327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2.2398995366561296</v>
      </c>
      <c r="Y994" s="19">
        <f ca="1">IF('Stock Price'!$I$11="OK",L994/INDEX(L$5:L$1258,'Stock Price'!$I$9)-1,"")</f>
        <v>-0.21639898562975479</v>
      </c>
      <c r="Z994" s="19">
        <f ca="1">IF('Stock Price'!$I$11="OK",M994/INDEX(M$5:M$1258,'Stock Price'!$I$9)-1,"")</f>
        <v>0.11166812883820021</v>
      </c>
    </row>
    <row r="995" spans="1:26" x14ac:dyDescent="0.2">
      <c r="A995" s="16">
        <f>'Stock Price'!A995</f>
        <v>45916</v>
      </c>
      <c r="B995" s="17">
        <f>'Stock Price'!E995</f>
        <v>216.26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764.71</v>
      </c>
      <c r="L995" s="18">
        <v>46.34</v>
      </c>
      <c r="M995" s="18">
        <v>176.46</v>
      </c>
      <c r="O995" s="19">
        <f ca="1">IF('Stock Price'!$I$11="OK",B995/INDEX(B$5:B$1258,'Stock Price'!$I$9)-1,"")</f>
        <v>0.97479682220801744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2.3114363659983543</v>
      </c>
      <c r="Y995" s="19">
        <f ca="1">IF('Stock Price'!$I$11="OK",L995/INDEX(L$5:L$1258,'Stock Price'!$I$9)-1,"")</f>
        <v>-0.21656804733727808</v>
      </c>
      <c r="Z995" s="19">
        <f ca="1">IF('Stock Price'!$I$11="OK",M995/INDEX(M$5:M$1258,'Stock Price'!$I$9)-1,"")</f>
        <v>0.10577766637423225</v>
      </c>
    </row>
    <row r="996" spans="1:26" x14ac:dyDescent="0.2">
      <c r="A996" s="16">
        <f>'Stock Price'!A996</f>
        <v>45917</v>
      </c>
      <c r="B996" s="17">
        <f>'Stock Price'!E996</f>
        <v>220.81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760.13</v>
      </c>
      <c r="L996" s="18">
        <v>46.15</v>
      </c>
      <c r="M996" s="18">
        <v>177.2</v>
      </c>
      <c r="O996" s="19">
        <f ca="1">IF('Stock Price'!$I$11="OK",B996/INDEX(B$5:B$1258,'Stock Price'!$I$9)-1,"")</f>
        <v>1.0163455392201626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2.2916035162170352</v>
      </c>
      <c r="Y996" s="19">
        <f ca="1">IF('Stock Price'!$I$11="OK",L996/INDEX(L$5:L$1258,'Stock Price'!$I$9)-1,"")</f>
        <v>-0.21978021978021978</v>
      </c>
      <c r="Z996" s="19">
        <f ca="1">IF('Stock Price'!$I$11="OK",M996/INDEX(M$5:M$1258,'Stock Price'!$I$9)-1,"")</f>
        <v>0.11041483895224946</v>
      </c>
    </row>
    <row r="997" spans="1:26" x14ac:dyDescent="0.2">
      <c r="A997" s="16">
        <f>'Stock Price'!A997</f>
        <v>45918</v>
      </c>
      <c r="B997" s="17">
        <f>'Stock Price'!E997</f>
        <v>221.99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762.93</v>
      </c>
      <c r="L997" s="18">
        <v>45.6</v>
      </c>
      <c r="M997" s="18">
        <v>174.16</v>
      </c>
      <c r="O997" s="19">
        <f ca="1">IF('Stock Price'!$I$11="OK",B997/INDEX(B$5:B$1258,'Stock Price'!$I$9)-1,"")</f>
        <v>1.0271208108848509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2.3037284025462257</v>
      </c>
      <c r="Y997" s="19">
        <f ca="1">IF('Stock Price'!$I$11="OK",L997/INDEX(L$5:L$1258,'Stock Price'!$I$9)-1,"")</f>
        <v>-0.22907861369399829</v>
      </c>
      <c r="Z997" s="19">
        <f ca="1">IF('Stock Price'!$I$11="OK",M997/INDEX(M$5:M$1258,'Stock Price'!$I$9)-1,"")</f>
        <v>9.136483268580009E-2</v>
      </c>
    </row>
    <row r="998" spans="1:26" x14ac:dyDescent="0.2">
      <c r="A998" s="16">
        <f>'Stock Price'!A998</f>
        <v>45919</v>
      </c>
      <c r="B998" s="17">
        <f>'Stock Price'!E998</f>
        <v>222.47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751.99</v>
      </c>
      <c r="L998" s="18">
        <v>45.02</v>
      </c>
      <c r="M998" s="18">
        <v>176.19</v>
      </c>
      <c r="O998" s="19">
        <f ca="1">IF('Stock Price'!$I$11="OK",B998/INDEX(B$5:B$1258,'Stock Price'!$I$9)-1,"")</f>
        <v>1.0315039722399781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2.2563547395314596</v>
      </c>
      <c r="Y998" s="19">
        <f ca="1">IF('Stock Price'!$I$11="OK",L998/INDEX(L$5:L$1258,'Stock Price'!$I$9)-1,"")</f>
        <v>-0.23888419273034656</v>
      </c>
      <c r="Z998" s="19">
        <f ca="1">IF('Stock Price'!$I$11="OK",M998/INDEX(M$5:M$1258,'Stock Price'!$I$9)-1,"")</f>
        <v>0.10408572502819902</v>
      </c>
    </row>
    <row r="999" spans="1:26" x14ac:dyDescent="0.2">
      <c r="A999" s="16">
        <f>'Stock Price'!A999</f>
        <v>45922</v>
      </c>
      <c r="B999" s="17">
        <f>'Stock Price'!E999</f>
        <v>222.59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754.95</v>
      </c>
      <c r="L999" s="18">
        <v>44.98</v>
      </c>
      <c r="M999" s="18">
        <v>174.21</v>
      </c>
      <c r="O999" s="19">
        <f ca="1">IF('Stock Price'!$I$11="OK",B999/INDEX(B$5:B$1258,'Stock Price'!$I$9)-1,"")</f>
        <v>1.03259976257876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2.2691724765080328</v>
      </c>
      <c r="Y999" s="19">
        <f ca="1">IF('Stock Price'!$I$11="OK",L999/INDEX(L$5:L$1258,'Stock Price'!$I$9)-1,"")</f>
        <v>-0.2395604395604396</v>
      </c>
      <c r="Z999" s="19">
        <f ca="1">IF('Stock Price'!$I$11="OK",M999/INDEX(M$5:M$1258,'Stock Price'!$I$9)-1,"")</f>
        <v>9.1678155157287833E-2</v>
      </c>
    </row>
    <row r="1000" spans="1:26" x14ac:dyDescent="0.2">
      <c r="A1000" s="16">
        <f>'Stock Price'!A1000</f>
        <v>45923</v>
      </c>
      <c r="B1000" s="17">
        <f>'Stock Price'!E1000</f>
        <v>222.61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746.98</v>
      </c>
      <c r="L1000" s="18">
        <v>44.91</v>
      </c>
      <c r="M1000" s="18">
        <v>176.58</v>
      </c>
      <c r="O1000" s="19">
        <f ca="1">IF('Stock Price'!$I$11="OK",B1000/INDEX(B$5:B$1258,'Stock Price'!$I$9)-1,"")</f>
        <v>1.0327823943018903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2.2346598536353008</v>
      </c>
      <c r="Y1000" s="19">
        <f ca="1">IF('Stock Price'!$I$11="OK",L1000/INDEX(L$5:L$1258,'Stock Price'!$I$9)-1,"")</f>
        <v>-0.24074387151310228</v>
      </c>
      <c r="Z1000" s="19">
        <f ca="1">IF('Stock Price'!$I$11="OK",M1000/INDEX(M$5:M$1258,'Stock Price'!$I$9)-1,"")</f>
        <v>0.1065296403058027</v>
      </c>
    </row>
    <row r="1001" spans="1:26" x14ac:dyDescent="0.2">
      <c r="A1001" s="16">
        <f>'Stock Price'!A1001</f>
        <v>45924</v>
      </c>
      <c r="B1001" s="17">
        <f>'Stock Price'!E1001</f>
        <v>219.99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741.85</v>
      </c>
      <c r="L1001" s="18">
        <v>44.16</v>
      </c>
      <c r="M1001" s="18">
        <v>176.69</v>
      </c>
      <c r="O1001" s="19">
        <f ca="1">IF('Stock Price'!$I$11="OK",B1001/INDEX(B$5:B$1258,'Stock Price'!$I$9)-1,"")</f>
        <v>1.0088576385718198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2.2124453297536051</v>
      </c>
      <c r="Y1001" s="19">
        <f ca="1">IF('Stock Price'!$I$11="OK",L1001/INDEX(L$5:L$1258,'Stock Price'!$I$9)-1,"")</f>
        <v>-0.25342349957734578</v>
      </c>
      <c r="Z1001" s="19">
        <f ca="1">IF('Stock Price'!$I$11="OK",M1001/INDEX(M$5:M$1258,'Stock Price'!$I$9)-1,"")</f>
        <v>0.10721894974307555</v>
      </c>
    </row>
    <row r="1002" spans="1:26" x14ac:dyDescent="0.2">
      <c r="A1002" s="16">
        <f>'Stock Price'!A1002</f>
        <v>45925</v>
      </c>
      <c r="B1002" s="17">
        <f>'Stock Price'!E1002</f>
        <v>218.54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714.59</v>
      </c>
      <c r="L1002" s="18">
        <v>43.41</v>
      </c>
      <c r="M1002" s="18">
        <v>177.73</v>
      </c>
      <c r="O1002" s="19">
        <f ca="1">IF('Stock Price'!$I$11="OK",B1002/INDEX(B$5:B$1258,'Stock Price'!$I$9)-1,"")</f>
        <v>0.99561683864487249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2.0944009007058417</v>
      </c>
      <c r="Y1002" s="19">
        <f ca="1">IF('Stock Price'!$I$11="OK",L1002/INDEX(L$5:L$1258,'Stock Price'!$I$9)-1,"")</f>
        <v>-0.26610312764158917</v>
      </c>
      <c r="Z1002" s="19">
        <f ca="1">IF('Stock Price'!$I$11="OK",M1002/INDEX(M$5:M$1258,'Stock Price'!$I$9)-1,"")</f>
        <v>0.11373605715001855</v>
      </c>
    </row>
    <row r="1003" spans="1:26" x14ac:dyDescent="0.2">
      <c r="A1003" s="16">
        <f>'Stock Price'!A1003</f>
        <v>45926</v>
      </c>
      <c r="B1003" s="17">
        <f>'Stock Price'!E1003</f>
        <v>220.61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724.54</v>
      </c>
      <c r="L1003" s="18">
        <v>44.12</v>
      </c>
      <c r="M1003" s="18">
        <v>179.71</v>
      </c>
      <c r="O1003" s="19">
        <f ca="1">IF('Stock Price'!$I$11="OK",B1003/INDEX(B$5:B$1258,'Stock Price'!$I$9)-1,"")</f>
        <v>1.0145192219888597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2.1374875503399298</v>
      </c>
      <c r="Y1003" s="19">
        <f ca="1">IF('Stock Price'!$I$11="OK",L1003/INDEX(L$5:L$1258,'Stock Price'!$I$9)-1,"")</f>
        <v>-0.25409974640743871</v>
      </c>
      <c r="Z1003" s="19">
        <f ca="1">IF('Stock Price'!$I$11="OK",M1003/INDEX(M$5:M$1258,'Stock Price'!$I$9)-1,"")</f>
        <v>0.12614362702092996</v>
      </c>
    </row>
    <row r="1004" spans="1:26" x14ac:dyDescent="0.2">
      <c r="A1004" s="16">
        <f>'Stock Price'!A1004</f>
        <v>45929</v>
      </c>
      <c r="B1004" s="17">
        <f>'Stock Price'!E1004</f>
        <v>223.16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726.51</v>
      </c>
      <c r="L1004" s="18">
        <v>44.15</v>
      </c>
      <c r="M1004" s="18">
        <v>181.62</v>
      </c>
      <c r="O1004" s="19">
        <f ca="1">IF('Stock Price'!$I$11="OK",B1004/INDEX(B$5:B$1258,'Stock Price'!$I$9)-1,"")</f>
        <v>1.0378047666879735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2.1460182739358244</v>
      </c>
      <c r="Y1004" s="19">
        <f ca="1">IF('Stock Price'!$I$11="OK",L1004/INDEX(L$5:L$1258,'Stock Price'!$I$9)-1,"")</f>
        <v>-0.25359256128486896</v>
      </c>
      <c r="Z1004" s="19">
        <f ca="1">IF('Stock Price'!$I$11="OK",M1004/INDEX(M$5:M$1258,'Stock Price'!$I$9)-1,"")</f>
        <v>0.13811254543175822</v>
      </c>
    </row>
    <row r="1005" spans="1:26" x14ac:dyDescent="0.2">
      <c r="A1005" s="16">
        <f>'Stock Price'!A1005</f>
        <v>45930</v>
      </c>
      <c r="B1005" s="17">
        <f>'Stock Price'!E1005</f>
        <v>231.54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763</v>
      </c>
      <c r="L1005" s="18">
        <v>45.1</v>
      </c>
      <c r="M1005" s="18">
        <v>185.42</v>
      </c>
      <c r="O1005" s="19">
        <f ca="1">IF('Stock Price'!$I$11="OK",B1005/INDEX(B$5:B$1258,'Stock Price'!$I$9)-1,"")</f>
        <v>1.1143274586795724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2.3040315247044556</v>
      </c>
      <c r="Y1005" s="19">
        <f ca="1">IF('Stock Price'!$I$11="OK",L1005/INDEX(L$5:L$1258,'Stock Price'!$I$9)-1,"")</f>
        <v>-0.23753169907016058</v>
      </c>
      <c r="Z1005" s="19">
        <f ca="1">IF('Stock Price'!$I$11="OK",M1005/INDEX(M$5:M$1258,'Stock Price'!$I$9)-1,"")</f>
        <v>0.16192505326481998</v>
      </c>
    </row>
    <row r="1006" spans="1:26" x14ac:dyDescent="0.2">
      <c r="A1006" s="16">
        <f>'Stock Price'!A1006</f>
        <v>45931</v>
      </c>
      <c r="B1006" s="17">
        <f>'Stock Price'!E1006</f>
        <v>244.38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825.42</v>
      </c>
      <c r="L1006" s="18">
        <v>47.43</v>
      </c>
      <c r="M1006" s="18">
        <v>186.05</v>
      </c>
      <c r="O1006" s="19">
        <f ca="1">IF('Stock Price'!$I$11="OK",B1006/INDEX(B$5:B$1258,'Stock Price'!$I$9)-1,"")</f>
        <v>1.2315770249292299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2.5743298835144848</v>
      </c>
      <c r="Y1006" s="19">
        <f ca="1">IF('Stock Price'!$I$11="OK",L1006/INDEX(L$5:L$1258,'Stock Price'!$I$9)-1,"")</f>
        <v>-0.19814032121724423</v>
      </c>
      <c r="Z1006" s="19">
        <f ca="1">IF('Stock Price'!$I$11="OK",M1006/INDEX(M$5:M$1258,'Stock Price'!$I$9)-1,"")</f>
        <v>0.16587291640556456</v>
      </c>
    </row>
    <row r="1007" spans="1:26" x14ac:dyDescent="0.2">
      <c r="A1007" s="16">
        <f>'Stock Price'!A1007</f>
        <v>45932</v>
      </c>
      <c r="B1007" s="17">
        <f>'Stock Price'!E1007</f>
        <v>236.56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819.85</v>
      </c>
      <c r="L1007" s="18">
        <v>45.73</v>
      </c>
      <c r="M1007" s="18">
        <v>185.98</v>
      </c>
      <c r="O1007" s="19">
        <f ca="1">IF('Stock Price'!$I$11="OK",B1007/INDEX(B$5:B$1258,'Stock Price'!$I$9)-1,"")</f>
        <v>1.1601680211852798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2.5502100203524876</v>
      </c>
      <c r="Y1007" s="19">
        <f ca="1">IF('Stock Price'!$I$11="OK",L1007/INDEX(L$5:L$1258,'Stock Price'!$I$9)-1,"")</f>
        <v>-0.2268808114961961</v>
      </c>
      <c r="Z1007" s="19">
        <f ca="1">IF('Stock Price'!$I$11="OK",M1007/INDEX(M$5:M$1258,'Stock Price'!$I$9)-1,"")</f>
        <v>0.16543426494548163</v>
      </c>
    </row>
    <row r="1008" spans="1:26" x14ac:dyDescent="0.2">
      <c r="A1008" s="16">
        <f>'Stock Price'!A1008</f>
        <v>45933</v>
      </c>
      <c r="B1008" s="17">
        <f>'Stock Price'!E1008</f>
        <v>233.91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839.87</v>
      </c>
      <c r="L1008" s="18">
        <v>45.45</v>
      </c>
      <c r="M1008" s="18">
        <v>188.64</v>
      </c>
      <c r="O1008" s="19">
        <f ca="1">IF('Stock Price'!$I$11="OK",B1008/INDEX(B$5:B$1258,'Stock Price'!$I$9)-1,"")</f>
        <v>1.1359693178705141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2.6369029576062011</v>
      </c>
      <c r="Y1008" s="19">
        <f ca="1">IF('Stock Price'!$I$11="OK",L1008/INDEX(L$5:L$1258,'Stock Price'!$I$9)-1,"")</f>
        <v>-0.23161453930684694</v>
      </c>
      <c r="Z1008" s="19">
        <f ca="1">IF('Stock Price'!$I$11="OK",M1008/INDEX(M$5:M$1258,'Stock Price'!$I$9)-1,"")</f>
        <v>0.18210302042862492</v>
      </c>
    </row>
    <row r="1009" spans="1:26" x14ac:dyDescent="0.2">
      <c r="A1009" s="16">
        <f>'Stock Price'!A1009</f>
        <v>45936</v>
      </c>
      <c r="B1009" s="17">
        <f>'Stock Price'!E1009</f>
        <v>230.19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845.05</v>
      </c>
      <c r="L1009" s="18">
        <v>45.14</v>
      </c>
      <c r="M1009" s="18">
        <v>188.16</v>
      </c>
      <c r="O1009" s="19">
        <f ca="1">IF('Stock Price'!$I$11="OK",B1009/INDEX(B$5:B$1258,'Stock Price'!$I$9)-1,"")</f>
        <v>1.1019998173682768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2.6593339973152035</v>
      </c>
      <c r="Y1009" s="19">
        <f ca="1">IF('Stock Price'!$I$11="OK",L1009/INDEX(L$5:L$1258,'Stock Price'!$I$9)-1,"")</f>
        <v>-0.23685545224006754</v>
      </c>
      <c r="Z1009" s="19">
        <f ca="1">IF('Stock Price'!$I$11="OK",M1009/INDEX(M$5:M$1258,'Stock Price'!$I$9)-1,"")</f>
        <v>0.17909512470234357</v>
      </c>
    </row>
    <row r="1010" spans="1:26" x14ac:dyDescent="0.2">
      <c r="A1010" s="16">
        <f>'Stock Price'!A1010</f>
        <v>45937</v>
      </c>
      <c r="B1010" s="17">
        <f>'Stock Price'!E1010</f>
        <v>232.83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843.63</v>
      </c>
      <c r="L1010" s="18">
        <v>44.66</v>
      </c>
      <c r="M1010" s="18">
        <v>188.89</v>
      </c>
      <c r="O1010" s="19">
        <f ca="1">IF('Stock Price'!$I$11="OK",B1010/INDEX(B$5:B$1258,'Stock Price'!$I$9)-1,"")</f>
        <v>1.1261072048214773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2.6531849478196854</v>
      </c>
      <c r="Y1010" s="19">
        <f ca="1">IF('Stock Price'!$I$11="OK",L1010/INDEX(L$5:L$1258,'Stock Price'!$I$9)-1,"")</f>
        <v>-0.24497041420118348</v>
      </c>
      <c r="Z1010" s="19">
        <f ca="1">IF('Stock Price'!$I$11="OK",M1010/INDEX(M$5:M$1258,'Stock Price'!$I$9)-1,"")</f>
        <v>0.18366963278606319</v>
      </c>
    </row>
    <row r="1011" spans="1:26" x14ac:dyDescent="0.2">
      <c r="A1011" s="16">
        <f>'Stock Price'!A1011</f>
        <v>45938</v>
      </c>
      <c r="B1011" s="17">
        <f>'Stock Price'!E1011</f>
        <v>231.24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845.72</v>
      </c>
      <c r="L1011" s="18">
        <v>44.54</v>
      </c>
      <c r="M1011" s="18">
        <v>189.69</v>
      </c>
      <c r="O1011" s="19">
        <f ca="1">IF('Stock Price'!$I$11="OK",B1011/INDEX(B$5:B$1258,'Stock Price'!$I$9)-1,"")</f>
        <v>1.1115879828326181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2.6622353094011171</v>
      </c>
      <c r="Y1011" s="19">
        <f ca="1">IF('Stock Price'!$I$11="OK",L1011/INDEX(L$5:L$1258,'Stock Price'!$I$9)-1,"")</f>
        <v>-0.24699915469146239</v>
      </c>
      <c r="Z1011" s="19">
        <f ca="1">IF('Stock Price'!$I$11="OK",M1011/INDEX(M$5:M$1258,'Stock Price'!$I$9)-1,"")</f>
        <v>0.18868279232986573</v>
      </c>
    </row>
    <row r="1012" spans="1:26" x14ac:dyDescent="0.2">
      <c r="A1012" s="16">
        <f>'Stock Price'!A1012</f>
        <v>45939</v>
      </c>
      <c r="B1012" s="17">
        <f>'Stock Price'!E1012</f>
        <v>230.69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855.35</v>
      </c>
      <c r="L1012" s="18">
        <v>44.68</v>
      </c>
      <c r="M1012" s="18">
        <v>191.08</v>
      </c>
      <c r="O1012" s="19">
        <f ca="1">IF('Stock Price'!$I$11="OK",B1012/INDEX(B$5:B$1258,'Stock Price'!$I$9)-1,"")</f>
        <v>1.1065656104465345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2.7039362577404407</v>
      </c>
      <c r="Y1012" s="19">
        <f ca="1">IF('Stock Price'!$I$11="OK",L1012/INDEX(L$5:L$1258,'Stock Price'!$I$9)-1,"")</f>
        <v>-0.24463229078613691</v>
      </c>
      <c r="Z1012" s="19">
        <f ca="1">IF('Stock Price'!$I$11="OK",M1012/INDEX(M$5:M$1258,'Stock Price'!$I$9)-1,"")</f>
        <v>0.19739315703722271</v>
      </c>
    </row>
    <row r="1013" spans="1:26" x14ac:dyDescent="0.2">
      <c r="A1013" s="16">
        <f>'Stock Price'!A1013</f>
        <v>45940</v>
      </c>
      <c r="B1013" s="17">
        <f>'Stock Price'!E1013</f>
        <v>230.5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833.49</v>
      </c>
      <c r="L1013" s="18">
        <v>43.96</v>
      </c>
      <c r="M1013" s="18">
        <v>190.72</v>
      </c>
      <c r="O1013" s="19">
        <f ca="1">IF('Stock Price'!$I$11="OK",B1013/INDEX(B$5:B$1258,'Stock Price'!$I$9)-1,"")</f>
        <v>1.1048306090767968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2.6092755380418309</v>
      </c>
      <c r="Y1013" s="19">
        <f ca="1">IF('Stock Price'!$I$11="OK",L1013/INDEX(L$5:L$1258,'Stock Price'!$I$9)-1,"")</f>
        <v>-0.25680473372781065</v>
      </c>
      <c r="Z1013" s="19">
        <f ca="1">IF('Stock Price'!$I$11="OK",M1013/INDEX(M$5:M$1258,'Stock Price'!$I$9)-1,"")</f>
        <v>0.19513723524251159</v>
      </c>
    </row>
    <row r="1014" spans="1:26" x14ac:dyDescent="0.2">
      <c r="A1014" s="16">
        <f>'Stock Price'!A1014</f>
        <v>45943</v>
      </c>
      <c r="B1014" s="17">
        <f>'Stock Price'!E1014</f>
        <v>230.3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819.4</v>
      </c>
      <c r="L1014" s="18">
        <v>43.54</v>
      </c>
      <c r="M1014" s="18">
        <v>190.9</v>
      </c>
      <c r="O1014" s="19">
        <f ca="1">IF('Stock Price'!$I$11="OK",B1014/INDEX(B$5:B$1258,'Stock Price'!$I$9)-1,"")</f>
        <v>1.1030042918454934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2.5482613779067247</v>
      </c>
      <c r="Y1014" s="19">
        <f ca="1">IF('Stock Price'!$I$11="OK",L1014/INDEX(L$5:L$1258,'Stock Price'!$I$9)-1,"")</f>
        <v>-0.26390532544378698</v>
      </c>
      <c r="Z1014" s="19">
        <f ca="1">IF('Stock Price'!$I$11="OK",M1014/INDEX(M$5:M$1258,'Stock Price'!$I$9)-1,"")</f>
        <v>0.19626519613986715</v>
      </c>
    </row>
    <row r="1015" spans="1:26" x14ac:dyDescent="0.2">
      <c r="A1015" s="16">
        <f>'Stock Price'!A1015</f>
        <v>45944</v>
      </c>
      <c r="B1015" s="17">
        <f>'Stock Price'!E1015</f>
        <v>229.13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812.35</v>
      </c>
      <c r="L1015" s="18">
        <v>43.8</v>
      </c>
      <c r="M1015" s="18">
        <v>190.85</v>
      </c>
      <c r="O1015" s="19">
        <f ca="1">IF('Stock Price'!$I$11="OK",B1015/INDEX(B$5:B$1258,'Stock Price'!$I$9)-1,"")</f>
        <v>1.0923203360423703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2.5177326462564413</v>
      </c>
      <c r="Y1015" s="19">
        <f ca="1">IF('Stock Price'!$I$11="OK",L1015/INDEX(L$5:L$1258,'Stock Price'!$I$9)-1,"")</f>
        <v>-0.2595097210481826</v>
      </c>
      <c r="Z1015" s="19">
        <f ca="1">IF('Stock Price'!$I$11="OK",M1015/INDEX(M$5:M$1258,'Stock Price'!$I$9)-1,"")</f>
        <v>0.19595187366837941</v>
      </c>
    </row>
    <row r="1016" spans="1:26" x14ac:dyDescent="0.2">
      <c r="A1016" s="16">
        <f>'Stock Price'!A1016</f>
        <v>45945</v>
      </c>
      <c r="B1016" s="17">
        <f>'Stock Price'!E1016</f>
        <v>226.22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826.57</v>
      </c>
      <c r="L1016" s="18">
        <v>43.61</v>
      </c>
      <c r="M1016" s="18">
        <v>191.17</v>
      </c>
      <c r="O1016" s="19">
        <f ca="1">IF('Stock Price'!$I$11="OK",B1016/INDEX(B$5:B$1258,'Stock Price'!$I$9)-1,"")</f>
        <v>1.0657474203269106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2.5793097475425455</v>
      </c>
      <c r="Y1016" s="19">
        <f ca="1">IF('Stock Price'!$I$11="OK",L1016/INDEX(L$5:L$1258,'Stock Price'!$I$9)-1,"")</f>
        <v>-0.26272189349112429</v>
      </c>
      <c r="Z1016" s="19">
        <f ca="1">IF('Stock Price'!$I$11="OK",M1016/INDEX(M$5:M$1258,'Stock Price'!$I$9)-1,"")</f>
        <v>0.19795713748590038</v>
      </c>
    </row>
    <row r="1017" spans="1:26" x14ac:dyDescent="0.2">
      <c r="A1017" s="16">
        <f>'Stock Price'!A1017</f>
        <v>45946</v>
      </c>
      <c r="B1017" s="17">
        <f>'Stock Price'!E1017</f>
        <v>226.87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819.38</v>
      </c>
      <c r="L1017" s="18">
        <v>43.39</v>
      </c>
      <c r="M1017" s="18">
        <v>192.12</v>
      </c>
      <c r="O1017" s="19">
        <f ca="1">IF('Stock Price'!$I$11="OK",B1017/INDEX(B$5:B$1258,'Stock Price'!$I$9)-1,"")</f>
        <v>1.0716829513286457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2.5481747715758019</v>
      </c>
      <c r="Y1017" s="19">
        <f ca="1">IF('Stock Price'!$I$11="OK",L1017/INDEX(L$5:L$1258,'Stock Price'!$I$9)-1,"")</f>
        <v>-0.26644125105663563</v>
      </c>
      <c r="Z1017" s="19">
        <f ca="1">IF('Stock Price'!$I$11="OK",M1017/INDEX(M$5:M$1258,'Stock Price'!$I$9)-1,"")</f>
        <v>0.20391026444416593</v>
      </c>
    </row>
    <row r="1018" spans="1:26" x14ac:dyDescent="0.2">
      <c r="A1018" s="16">
        <f>'Stock Price'!A1018</f>
        <v>45947</v>
      </c>
      <c r="B1018" s="17">
        <f>'Stock Price'!E1018</f>
        <v>229.57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802.83</v>
      </c>
      <c r="L1018" s="18">
        <v>43.63</v>
      </c>
      <c r="M1018" s="18">
        <v>193.22</v>
      </c>
      <c r="O1018" s="19">
        <f ca="1">IF('Stock Price'!$I$11="OK",B1018/INDEX(B$5:B$1258,'Stock Price'!$I$9)-1,"")</f>
        <v>1.0963382339512373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2.4765080327371933</v>
      </c>
      <c r="Y1018" s="19">
        <f ca="1">IF('Stock Price'!$I$11="OK",L1018/INDEX(L$5:L$1258,'Stock Price'!$I$9)-1,"")</f>
        <v>-0.26238377007607772</v>
      </c>
      <c r="Z1018" s="19">
        <f ca="1">IF('Stock Price'!$I$11="OK",M1018/INDEX(M$5:M$1258,'Stock Price'!$I$9)-1,"")</f>
        <v>0.21080335881689427</v>
      </c>
    </row>
    <row r="1019" spans="1:26" x14ac:dyDescent="0.2">
      <c r="A1019" s="16">
        <f>'Stock Price'!A1019</f>
        <v>45950</v>
      </c>
      <c r="B1019" s="17">
        <f>'Stock Price'!E1019</f>
        <v>232.06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808.96</v>
      </c>
      <c r="L1019" s="18">
        <v>43.59</v>
      </c>
      <c r="M1019" s="18">
        <v>193.72</v>
      </c>
      <c r="O1019" s="19">
        <f ca="1">IF('Stock Price'!$I$11="OK",B1019/INDEX(B$5:B$1258,'Stock Price'!$I$9)-1,"")</f>
        <v>1.1190758834809604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2.5030528731650286</v>
      </c>
      <c r="Y1019" s="19">
        <f ca="1">IF('Stock Price'!$I$11="OK",L1019/INDEX(L$5:L$1258,'Stock Price'!$I$9)-1,"")</f>
        <v>-0.26306001690617065</v>
      </c>
      <c r="Z1019" s="19">
        <f ca="1">IF('Stock Price'!$I$11="OK",M1019/INDEX(M$5:M$1258,'Stock Price'!$I$9)-1,"")</f>
        <v>0.21393658353177081</v>
      </c>
    </row>
    <row r="1020" spans="1:26" x14ac:dyDescent="0.2">
      <c r="A1020" s="16">
        <f>'Stock Price'!A1020</f>
        <v>45951</v>
      </c>
      <c r="B1020" s="17">
        <f>'Stock Price'!E1020</f>
        <v>231.39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799.57</v>
      </c>
      <c r="L1020" s="18">
        <v>44.54</v>
      </c>
      <c r="M1020" s="18">
        <v>191.88</v>
      </c>
      <c r="O1020" s="19">
        <f ca="1">IF('Stock Price'!$I$11="OK",B1020/INDEX(B$5:B$1258,'Stock Price'!$I$9)-1,"")</f>
        <v>1.112957720756095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2.4623912007967785</v>
      </c>
      <c r="Y1020" s="19">
        <f ca="1">IF('Stock Price'!$I$11="OK",L1020/INDEX(L$5:L$1258,'Stock Price'!$I$9)-1,"")</f>
        <v>-0.24699915469146239</v>
      </c>
      <c r="Z1020" s="19">
        <f ca="1">IF('Stock Price'!$I$11="OK",M1020/INDEX(M$5:M$1258,'Stock Price'!$I$9)-1,"")</f>
        <v>0.20240631658102504</v>
      </c>
    </row>
    <row r="1021" spans="1:26" x14ac:dyDescent="0.2">
      <c r="A1021" s="16">
        <f>'Stock Price'!A1021</f>
        <v>45952</v>
      </c>
      <c r="B1021" s="17">
        <f>'Stock Price'!E1021</f>
        <v>228.68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812.43</v>
      </c>
      <c r="L1021" s="18">
        <v>44.39</v>
      </c>
      <c r="M1021" s="18">
        <v>192.94</v>
      </c>
      <c r="O1021" s="19">
        <f ca="1">IF('Stock Price'!$I$11="OK",B1021/INDEX(B$5:B$1258,'Stock Price'!$I$9)-1,"")</f>
        <v>1.0882111222719386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2.5180790715801322</v>
      </c>
      <c r="Y1021" s="19">
        <f ca="1">IF('Stock Price'!$I$11="OK",L1021/INDEX(L$5:L$1258,'Stock Price'!$I$9)-1,"")</f>
        <v>-0.24953508030431104</v>
      </c>
      <c r="Z1021" s="19">
        <f ca="1">IF('Stock Price'!$I$11="OK",M1021/INDEX(M$5:M$1258,'Stock Price'!$I$9)-1,"")</f>
        <v>0.20904875297656345</v>
      </c>
    </row>
    <row r="1022" spans="1:26" x14ac:dyDescent="0.2">
      <c r="A1022" s="16">
        <f>'Stock Price'!A1022</f>
        <v>45953</v>
      </c>
      <c r="B1022" s="17">
        <f>'Stock Price'!E1022</f>
        <v>228.25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821.04</v>
      </c>
      <c r="L1022" s="18">
        <v>43.83</v>
      </c>
      <c r="M1022" s="18">
        <v>192.47</v>
      </c>
      <c r="O1022" s="19">
        <f ca="1">IF('Stock Price'!$I$11="OK",B1022/INDEX(B$5:B$1258,'Stock Price'!$I$9)-1,"")</f>
        <v>1.0842845402246368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2.5553630970423935</v>
      </c>
      <c r="Y1022" s="19">
        <f ca="1">IF('Stock Price'!$I$11="OK",L1022/INDEX(L$5:L$1258,'Stock Price'!$I$9)-1,"")</f>
        <v>-0.25900253592561284</v>
      </c>
      <c r="Z1022" s="19">
        <f ca="1">IF('Stock Price'!$I$11="OK",M1022/INDEX(M$5:M$1258,'Stock Price'!$I$9)-1,"")</f>
        <v>0.20610352174457947</v>
      </c>
    </row>
    <row r="1023" spans="1:26" x14ac:dyDescent="0.2">
      <c r="A1023" s="16">
        <f>'Stock Price'!A1023</f>
        <v>45954</v>
      </c>
      <c r="B1023" s="17">
        <f>'Stock Price'!E1023</f>
        <v>227.99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825.45</v>
      </c>
      <c r="L1023" s="18">
        <v>43.83</v>
      </c>
      <c r="M1023" s="18">
        <v>190.4</v>
      </c>
      <c r="O1023" s="19">
        <f ca="1">IF('Stock Price'!$I$11="OK",B1023/INDEX(B$5:B$1258,'Stock Price'!$I$9)-1,"")</f>
        <v>1.0819103278239428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2.574459793010869</v>
      </c>
      <c r="Y1023" s="19">
        <f ca="1">IF('Stock Price'!$I$11="OK",L1023/INDEX(L$5:L$1258,'Stock Price'!$I$9)-1,"")</f>
        <v>-0.25900253592561284</v>
      </c>
      <c r="Z1023" s="19">
        <f ca="1">IF('Stock Price'!$I$11="OK",M1023/INDEX(M$5:M$1258,'Stock Price'!$I$9)-1,"")</f>
        <v>0.19313197142499061</v>
      </c>
    </row>
    <row r="1024" spans="1:26" x14ac:dyDescent="0.2">
      <c r="A1024" s="16">
        <f>'Stock Price'!A1024</f>
        <v>45957</v>
      </c>
      <c r="B1024" s="17">
        <f>'Stock Price'!E1024</f>
        <v>228.03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826.41</v>
      </c>
      <c r="L1024" s="18">
        <v>43.39</v>
      </c>
      <c r="M1024" s="18">
        <v>190.3</v>
      </c>
      <c r="O1024" s="19">
        <f ca="1">IF('Stock Price'!$I$11="OK",B1024/INDEX(B$5:B$1258,'Stock Price'!$I$9)-1,"")</f>
        <v>1.0822755912702036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2.5786168968951628</v>
      </c>
      <c r="Y1024" s="19">
        <f ca="1">IF('Stock Price'!$I$11="OK",L1024/INDEX(L$5:L$1258,'Stock Price'!$I$9)-1,"")</f>
        <v>-0.26644125105663563</v>
      </c>
      <c r="Z1024" s="19">
        <f ca="1">IF('Stock Price'!$I$11="OK",M1024/INDEX(M$5:M$1258,'Stock Price'!$I$9)-1,"")</f>
        <v>0.19250532648201535</v>
      </c>
    </row>
    <row r="1025" spans="1:26" x14ac:dyDescent="0.2">
      <c r="A1025" s="16">
        <f>'Stock Price'!A1025</f>
        <v>45958</v>
      </c>
      <c r="B1025" s="17">
        <f>'Stock Price'!E1025</f>
        <v>227.54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820.1</v>
      </c>
      <c r="L1025" s="18">
        <v>42.82</v>
      </c>
      <c r="M1025" s="18">
        <v>186.93</v>
      </c>
      <c r="O1025" s="19">
        <f ca="1">IF('Stock Price'!$I$11="OK",B1025/INDEX(B$5:B$1258,'Stock Price'!$I$9)-1,"")</f>
        <v>1.0778011140535111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2.5512925994890225</v>
      </c>
      <c r="Y1025" s="19">
        <f ca="1">IF('Stock Price'!$I$11="OK",L1025/INDEX(L$5:L$1258,'Stock Price'!$I$9)-1,"")</f>
        <v>-0.27607776838546072</v>
      </c>
      <c r="Z1025" s="19">
        <f ca="1">IF('Stock Price'!$I$11="OK",M1025/INDEX(M$5:M$1258,'Stock Price'!$I$9)-1,"")</f>
        <v>0.17138739190374719</v>
      </c>
    </row>
    <row r="1026" spans="1:26" x14ac:dyDescent="0.2">
      <c r="A1026" s="16">
        <f>'Stock Price'!A1026</f>
        <v>45959</v>
      </c>
      <c r="B1026" s="17">
        <f>'Stock Price'!E1026</f>
        <v>225.14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813.53</v>
      </c>
      <c r="L1026" s="18">
        <v>42.6</v>
      </c>
      <c r="M1026" s="18">
        <v>186.6</v>
      </c>
      <c r="O1026" s="19">
        <f ca="1">IF('Stock Price'!$I$11="OK",B1026/INDEX(B$5:B$1258,'Stock Price'!$I$9)-1,"")</f>
        <v>1.0558853072778738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2.5228424197808859</v>
      </c>
      <c r="Y1026" s="19">
        <f ca="1">IF('Stock Price'!$I$11="OK",L1026/INDEX(L$5:L$1258,'Stock Price'!$I$9)-1,"")</f>
        <v>-0.27979712595097206</v>
      </c>
      <c r="Z1026" s="19">
        <f ca="1">IF('Stock Price'!$I$11="OK",M1026/INDEX(M$5:M$1258,'Stock Price'!$I$9)-1,"")</f>
        <v>0.16931946359192862</v>
      </c>
    </row>
    <row r="1027" spans="1:26" x14ac:dyDescent="0.2">
      <c r="A1027" s="16">
        <f>'Stock Price'!A1027</f>
        <v>45960</v>
      </c>
      <c r="B1027" s="17">
        <f>'Stock Price'!E1027</f>
        <v>228.2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844.5</v>
      </c>
      <c r="L1027" s="18">
        <v>45.62</v>
      </c>
      <c r="M1027" s="18">
        <v>189.05</v>
      </c>
      <c r="O1027" s="19">
        <f ca="1">IF('Stock Price'!$I$11="OK",B1027/INDEX(B$5:B$1258,'Stock Price'!$I$9)-1,"")</f>
        <v>1.0838279609168109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2.6569523232148269</v>
      </c>
      <c r="Y1027" s="19">
        <f ca="1">IF('Stock Price'!$I$11="OK",L1027/INDEX(L$5:L$1258,'Stock Price'!$I$9)-1,"")</f>
        <v>-0.22874049027895182</v>
      </c>
      <c r="Z1027" s="19">
        <f ca="1">IF('Stock Price'!$I$11="OK",M1027/INDEX(M$5:M$1258,'Stock Price'!$I$9)-1,"")</f>
        <v>0.18467226469482378</v>
      </c>
    </row>
    <row r="1028" spans="1:26" x14ac:dyDescent="0.2">
      <c r="A1028" s="16">
        <f>'Stock Price'!A1028</f>
        <v>45961</v>
      </c>
      <c r="B1028" s="17">
        <f>'Stock Price'!E1028</f>
        <v>218.04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862.86</v>
      </c>
      <c r="L1028" s="18">
        <v>46.07</v>
      </c>
      <c r="M1028" s="18">
        <v>188.87</v>
      </c>
      <c r="O1028" s="19">
        <f ca="1">IF('Stock Price'!$I$11="OK",B1028/INDEX(B$5:B$1258,'Stock Price'!$I$9)-1,"")</f>
        <v>0.99105104556661483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2.7364569350019488</v>
      </c>
      <c r="Y1028" s="19">
        <f ca="1">IF('Stock Price'!$I$11="OK",L1028/INDEX(L$5:L$1258,'Stock Price'!$I$9)-1,"")</f>
        <v>-0.22113271344040575</v>
      </c>
      <c r="Z1028" s="19">
        <f ca="1">IF('Stock Price'!$I$11="OK",M1028/INDEX(M$5:M$1258,'Stock Price'!$I$9)-1,"")</f>
        <v>0.18354430379746822</v>
      </c>
    </row>
    <row r="1029" spans="1:26" x14ac:dyDescent="0.2">
      <c r="A1029" s="16">
        <f>'Stock Price'!A1029</f>
        <v>45964</v>
      </c>
      <c r="B1029" s="17">
        <f>'Stock Price'!E1029</f>
        <v>211.96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896.53</v>
      </c>
      <c r="L1029" s="18">
        <v>46.02</v>
      </c>
      <c r="M1029" s="18">
        <v>186.26</v>
      </c>
      <c r="O1029" s="19">
        <f ca="1">IF('Stock Price'!$I$11="OK",B1029/INDEX(B$5:B$1258,'Stock Price'!$I$9)-1,"")</f>
        <v>0.93553100173500137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2.8822586931104661</v>
      </c>
      <c r="Y1029" s="19">
        <f ca="1">IF('Stock Price'!$I$11="OK",L1029/INDEX(L$5:L$1258,'Stock Price'!$I$9)-1,"")</f>
        <v>-0.22197802197802186</v>
      </c>
      <c r="Z1029" s="19">
        <f ca="1">IF('Stock Price'!$I$11="OK",M1029/INDEX(M$5:M$1258,'Stock Price'!$I$9)-1,"")</f>
        <v>0.16718887078581268</v>
      </c>
    </row>
    <row r="1030" spans="1:26" x14ac:dyDescent="0.2">
      <c r="A1030" s="16">
        <f>'Stock Price'!A1030</f>
        <v>45965</v>
      </c>
      <c r="B1030" s="17">
        <f>'Stock Price'!E1030</f>
        <v>215.89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906.86</v>
      </c>
      <c r="L1030" s="18">
        <v>45.59</v>
      </c>
      <c r="M1030" s="18">
        <v>186.86</v>
      </c>
      <c r="O1030" s="19">
        <f ca="1">IF('Stock Price'!$I$11="OK",B1030/INDEX(B$5:B$1258,'Stock Price'!$I$9)-1,"")</f>
        <v>0.97141813533010657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2.9269908630320876</v>
      </c>
      <c r="Y1030" s="19">
        <f ca="1">IF('Stock Price'!$I$11="OK",L1030/INDEX(L$5:L$1258,'Stock Price'!$I$9)-1,"")</f>
        <v>-0.22924767540152147</v>
      </c>
      <c r="Z1030" s="19">
        <f ca="1">IF('Stock Price'!$I$11="OK",M1030/INDEX(M$5:M$1258,'Stock Price'!$I$9)-1,"")</f>
        <v>0.1709487404436647</v>
      </c>
    </row>
    <row r="1031" spans="1:26" x14ac:dyDescent="0.2">
      <c r="A1031" s="16">
        <f>'Stock Price'!A1031</f>
        <v>45966</v>
      </c>
      <c r="B1031" s="17">
        <f>'Stock Price'!E1031</f>
        <v>216.77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925.81</v>
      </c>
      <c r="L1031" s="18">
        <v>46.47</v>
      </c>
      <c r="M1031" s="18">
        <v>186</v>
      </c>
      <c r="O1031" s="19">
        <f ca="1">IF('Stock Price'!$I$11="OK",B1031/INDEX(B$5:B$1258,'Stock Price'!$I$9)-1,"")</f>
        <v>0.9794539311478403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3.0090503615814317</v>
      </c>
      <c r="Y1031" s="19">
        <f ca="1">IF('Stock Price'!$I$11="OK",L1031/INDEX(L$5:L$1258,'Stock Price'!$I$9)-1,"")</f>
        <v>-0.21437024513947589</v>
      </c>
      <c r="Z1031" s="19">
        <f ca="1">IF('Stock Price'!$I$11="OK",M1031/INDEX(M$5:M$1258,'Stock Price'!$I$9)-1,"")</f>
        <v>0.16555959393407682</v>
      </c>
    </row>
    <row r="1032" spans="1:26" x14ac:dyDescent="0.2">
      <c r="A1032" s="16">
        <f>'Stock Price'!A1032</f>
        <v>45967</v>
      </c>
      <c r="B1032" s="17">
        <f>'Stock Price'!E1032</f>
        <v>219.04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937.44</v>
      </c>
      <c r="L1032" s="18">
        <v>46.63</v>
      </c>
      <c r="M1032" s="18">
        <v>186.97</v>
      </c>
      <c r="O1032" s="19">
        <f ca="1">IF('Stock Price'!$I$11="OK",B1032/INDEX(B$5:B$1258,'Stock Price'!$I$9)-1,"")</f>
        <v>1.0001826317231299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3.0594119430130347</v>
      </c>
      <c r="Y1032" s="19">
        <f ca="1">IF('Stock Price'!$I$11="OK",L1032/INDEX(L$5:L$1258,'Stock Price'!$I$9)-1,"")</f>
        <v>-0.21166525781910395</v>
      </c>
      <c r="Z1032" s="19">
        <f ca="1">IF('Stock Price'!$I$11="OK",M1032/INDEX(M$5:M$1258,'Stock Price'!$I$9)-1,"")</f>
        <v>0.17163804988093734</v>
      </c>
    </row>
    <row r="1033" spans="1:26" x14ac:dyDescent="0.2">
      <c r="A1033" s="16">
        <f>'Stock Price'!A1033</f>
        <v>45968</v>
      </c>
      <c r="B1033" s="17">
        <f>'Stock Price'!E1033</f>
        <v>219.16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924.37</v>
      </c>
      <c r="L1033" s="18">
        <v>46.69</v>
      </c>
      <c r="M1033" s="18">
        <v>186.57</v>
      </c>
      <c r="O1033" s="19">
        <f ca="1">IF('Stock Price'!$I$11="OK",B1033/INDEX(B$5:B$1258,'Stock Price'!$I$9)-1,"")</f>
        <v>1.0012784220619122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3.0028147057549903</v>
      </c>
      <c r="Y1033" s="19">
        <f ca="1">IF('Stock Price'!$I$11="OK",L1033/INDEX(L$5:L$1258,'Stock Price'!$I$9)-1,"")</f>
        <v>-0.21065088757396455</v>
      </c>
      <c r="Z1033" s="19">
        <f ca="1">IF('Stock Price'!$I$11="OK",M1033/INDEX(M$5:M$1258,'Stock Price'!$I$9)-1,"")</f>
        <v>0.16913147010903606</v>
      </c>
    </row>
    <row r="1034" spans="1:26" x14ac:dyDescent="0.2">
      <c r="A1034" s="16">
        <f>'Stock Price'!A1034</f>
        <v>45971</v>
      </c>
      <c r="B1034" s="17">
        <f>'Stock Price'!E1034</f>
        <v>218.71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966.64</v>
      </c>
      <c r="L1034" s="18">
        <v>47.26</v>
      </c>
      <c r="M1034" s="18">
        <v>188.41</v>
      </c>
      <c r="O1034" s="19">
        <f ca="1">IF('Stock Price'!$I$11="OK",B1034/INDEX(B$5:B$1258,'Stock Price'!$I$9)-1,"")</f>
        <v>0.99716920829148026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3.185857186160308</v>
      </c>
      <c r="Y1034" s="19">
        <f ca="1">IF('Stock Price'!$I$11="OK",L1034/INDEX(L$5:L$1258,'Stock Price'!$I$9)-1,"")</f>
        <v>-0.20101437024513946</v>
      </c>
      <c r="Z1034" s="19">
        <f ca="1">IF('Stock Price'!$I$11="OK",M1034/INDEX(M$5:M$1258,'Stock Price'!$I$9)-1,"")</f>
        <v>0.18066173705978184</v>
      </c>
    </row>
    <row r="1035" spans="1:26" x14ac:dyDescent="0.2">
      <c r="A1035" s="16">
        <f>'Stock Price'!A1035</f>
        <v>45972</v>
      </c>
      <c r="B1035" s="17">
        <f>'Stock Price'!E1035</f>
        <v>225.17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988.62</v>
      </c>
      <c r="L1035" s="18">
        <v>48.72</v>
      </c>
      <c r="M1035" s="18">
        <v>193.83</v>
      </c>
      <c r="O1035" s="19">
        <f ca="1">IF('Stock Price'!$I$11="OK",B1035/INDEX(B$5:B$1258,'Stock Price'!$I$9)-1,"")</f>
        <v>1.0561592548625693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3.2810375438444552</v>
      </c>
      <c r="Y1035" s="19">
        <f ca="1">IF('Stock Price'!$I$11="OK",L1035/INDEX(L$5:L$1258,'Stock Price'!$I$9)-1,"")</f>
        <v>-0.17633136094674551</v>
      </c>
      <c r="Z1035" s="19">
        <f ca="1">IF('Stock Price'!$I$11="OK",M1035/INDEX(M$5:M$1258,'Stock Price'!$I$9)-1,"")</f>
        <v>0.21462589296904366</v>
      </c>
    </row>
    <row r="1036" spans="1:26" x14ac:dyDescent="0.2">
      <c r="A1036" s="16">
        <f>'Stock Price'!A1036</f>
        <v>45973</v>
      </c>
      <c r="B1036" s="17">
        <f>'Stock Price'!E1036</f>
        <v>233.23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1017.78</v>
      </c>
      <c r="L1036" s="18">
        <v>49.08</v>
      </c>
      <c r="M1036" s="18">
        <v>194.39</v>
      </c>
      <c r="O1036" s="19">
        <f ca="1">IF('Stock Price'!$I$11="OK",B1036/INDEX(B$5:B$1258,'Stock Price'!$I$9)-1,"")</f>
        <v>1.1297598392840835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3.4073095743298829</v>
      </c>
      <c r="Y1036" s="19">
        <f ca="1">IF('Stock Price'!$I$11="OK",L1036/INDEX(L$5:L$1258,'Stock Price'!$I$9)-1,"")</f>
        <v>-0.17024513947590869</v>
      </c>
      <c r="Z1036" s="19">
        <f ca="1">IF('Stock Price'!$I$11="OK",M1036/INDEX(M$5:M$1258,'Stock Price'!$I$9)-1,"")</f>
        <v>0.21813510464970531</v>
      </c>
    </row>
    <row r="1037" spans="1:26" x14ac:dyDescent="0.2">
      <c r="A1037" s="16">
        <f>'Stock Price'!A1037</f>
        <v>45974</v>
      </c>
      <c r="B1037" s="17">
        <f>'Stock Price'!E1037</f>
        <v>232.29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1022.87</v>
      </c>
      <c r="L1037" s="18">
        <v>48.63</v>
      </c>
      <c r="M1037" s="18">
        <v>195.25</v>
      </c>
      <c r="O1037" s="19">
        <f ca="1">IF('Stock Price'!$I$11="OK",B1037/INDEX(B$5:B$1258,'Stock Price'!$I$9)-1,"")</f>
        <v>1.1211761482969589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3.4293508855497334</v>
      </c>
      <c r="Y1037" s="19">
        <f ca="1">IF('Stock Price'!$I$11="OK",L1037/INDEX(L$5:L$1258,'Stock Price'!$I$9)-1,"")</f>
        <v>-0.17785291631445477</v>
      </c>
      <c r="Z1037" s="19">
        <f ca="1">IF('Stock Price'!$I$11="OK",M1037/INDEX(M$5:M$1258,'Stock Price'!$I$9)-1,"")</f>
        <v>0.22352425115929297</v>
      </c>
    </row>
    <row r="1038" spans="1:26" x14ac:dyDescent="0.2">
      <c r="A1038" s="16">
        <f>'Stock Price'!A1038</f>
        <v>45975</v>
      </c>
      <c r="B1038" s="17">
        <f>'Stock Price'!E1038</f>
        <v>232.36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1025.28</v>
      </c>
      <c r="L1038" s="18">
        <v>46.65</v>
      </c>
      <c r="M1038" s="18">
        <v>195.93</v>
      </c>
      <c r="O1038" s="19">
        <f ca="1">IF('Stock Price'!$I$11="OK",B1038/INDEX(B$5:B$1258,'Stock Price'!$I$9)-1,"")</f>
        <v>1.1218153593279152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3.4397869484259296</v>
      </c>
      <c r="Y1038" s="19">
        <f ca="1">IF('Stock Price'!$I$11="OK",L1038/INDEX(L$5:L$1258,'Stock Price'!$I$9)-1,"")</f>
        <v>-0.21132713440405748</v>
      </c>
      <c r="Z1038" s="19">
        <f ca="1">IF('Stock Price'!$I$11="OK",M1038/INDEX(M$5:M$1258,'Stock Price'!$I$9)-1,"")</f>
        <v>0.2277854367715253</v>
      </c>
    </row>
    <row r="1039" spans="1:26" x14ac:dyDescent="0.2">
      <c r="A1039" s="16">
        <f>'Stock Price'!A1039</f>
        <v>45978</v>
      </c>
      <c r="B1039" s="17">
        <f>'Stock Price'!E1039</f>
        <v>234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1021.7</v>
      </c>
      <c r="L1039" s="18">
        <v>46.81</v>
      </c>
      <c r="M1039" s="18">
        <v>199.58</v>
      </c>
      <c r="O1039" s="19">
        <f ca="1">IF('Stock Price'!$I$11="OK",B1039/INDEX(B$5:B$1258,'Stock Price'!$I$9)-1,"")</f>
        <v>1.1367911606246004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3.4242844151907503</v>
      </c>
      <c r="Y1039" s="19">
        <f ca="1">IF('Stock Price'!$I$11="OK",L1039/INDEX(L$5:L$1258,'Stock Price'!$I$9)-1,"")</f>
        <v>-0.20862214708368554</v>
      </c>
      <c r="Z1039" s="19">
        <f ca="1">IF('Stock Price'!$I$11="OK",M1039/INDEX(M$5:M$1258,'Stock Price'!$I$9)-1,"")</f>
        <v>0.25065797719012406</v>
      </c>
    </row>
    <row r="1040" spans="1:26" x14ac:dyDescent="0.2">
      <c r="A1040" s="16">
        <f>'Stock Price'!A1040</f>
        <v>45979</v>
      </c>
      <c r="B1040" s="17">
        <f>'Stock Price'!E1040</f>
        <v>233.87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1030.05</v>
      </c>
      <c r="L1040" s="18">
        <v>47.06</v>
      </c>
      <c r="M1040" s="18">
        <v>200</v>
      </c>
      <c r="O1040" s="19">
        <f ca="1">IF('Stock Price'!$I$11="OK",B1040/INDEX(B$5:B$1258,'Stock Price'!$I$9)-1,"")</f>
        <v>1.1356040544242534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3.4604425583510148</v>
      </c>
      <c r="Y1040" s="19">
        <f ca="1">IF('Stock Price'!$I$11="OK",L1040/INDEX(L$5:L$1258,'Stock Price'!$I$9)-1,"")</f>
        <v>-0.20439560439560434</v>
      </c>
      <c r="Z1040" s="19">
        <f ca="1">IF('Stock Price'!$I$11="OK",M1040/INDEX(M$5:M$1258,'Stock Price'!$I$9)-1,"")</f>
        <v>0.2532898859506203</v>
      </c>
    </row>
    <row r="1041" spans="1:26" x14ac:dyDescent="0.2">
      <c r="A1041" s="16">
        <f>'Stock Price'!A1041</f>
        <v>45980</v>
      </c>
      <c r="B1041" s="17">
        <f>'Stock Price'!E1041</f>
        <v>232.91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1049.5999999999999</v>
      </c>
      <c r="L1041" s="18">
        <v>45.79</v>
      </c>
      <c r="M1041" s="18">
        <v>202.51</v>
      </c>
      <c r="O1041" s="19">
        <f ca="1">IF('Stock Price'!$I$11="OK",B1041/INDEX(B$5:B$1258,'Stock Price'!$I$9)-1,"")</f>
        <v>1.1268377317139984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3.545100246828043</v>
      </c>
      <c r="Y1041" s="19">
        <f ca="1">IF('Stock Price'!$I$11="OK",L1041/INDEX(L$5:L$1258,'Stock Price'!$I$9)-1,"")</f>
        <v>-0.22586644125105659</v>
      </c>
      <c r="Z1041" s="19">
        <f ca="1">IF('Stock Price'!$I$11="OK",M1041/INDEX(M$5:M$1258,'Stock Price'!$I$9)-1,"")</f>
        <v>0.26901867401930057</v>
      </c>
    </row>
    <row r="1042" spans="1:26" x14ac:dyDescent="0.2">
      <c r="A1042" s="16">
        <f>'Stock Price'!A1042</f>
        <v>45981</v>
      </c>
      <c r="B1042" s="17">
        <f>'Stock Price'!E1042</f>
        <v>229.45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1043.29</v>
      </c>
      <c r="L1042" s="18">
        <v>45.94</v>
      </c>
      <c r="M1042" s="18">
        <v>203.07</v>
      </c>
      <c r="O1042" s="19">
        <f ca="1">IF('Stock Price'!$I$11="OK",B1042/INDEX(B$5:B$1258,'Stock Price'!$I$9)-1,"")</f>
        <v>1.0952424436124555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3.5177759494219023</v>
      </c>
      <c r="Y1042" s="19">
        <f ca="1">IF('Stock Price'!$I$11="OK",L1042/INDEX(L$5:L$1258,'Stock Price'!$I$9)-1,"")</f>
        <v>-0.22333051563820794</v>
      </c>
      <c r="Z1042" s="19">
        <f ca="1">IF('Stock Price'!$I$11="OK",M1042/INDEX(M$5:M$1258,'Stock Price'!$I$9)-1,"")</f>
        <v>0.27252788569996222</v>
      </c>
    </row>
    <row r="1043" spans="1:26" x14ac:dyDescent="0.2">
      <c r="A1043" s="16">
        <f>'Stock Price'!A1043</f>
        <v>45982</v>
      </c>
      <c r="B1043" s="17">
        <f>'Stock Price'!E1043</f>
        <v>236.28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1059.7</v>
      </c>
      <c r="L1043" s="18">
        <v>46.25</v>
      </c>
      <c r="M1043" s="18">
        <v>203.9</v>
      </c>
      <c r="O1043" s="19">
        <f ca="1">IF('Stock Price'!$I$11="OK",B1043/INDEX(B$5:B$1258,'Stock Price'!$I$9)-1,"")</f>
        <v>1.1576111770614554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3.5888364439440528</v>
      </c>
      <c r="Y1043" s="19">
        <f ca="1">IF('Stock Price'!$I$11="OK",L1043/INDEX(L$5:L$1258,'Stock Price'!$I$9)-1,"")</f>
        <v>-0.21808960270498734</v>
      </c>
      <c r="Z1043" s="19">
        <f ca="1">IF('Stock Price'!$I$11="OK",M1043/INDEX(M$5:M$1258,'Stock Price'!$I$9)-1,"")</f>
        <v>0.27772903872665733</v>
      </c>
    </row>
    <row r="1044" spans="1:26" x14ac:dyDescent="0.2">
      <c r="A1044" s="16">
        <f>'Stock Price'!A1044</f>
        <v>45985</v>
      </c>
      <c r="B1044" s="17">
        <f>'Stock Price'!E1044</f>
        <v>229.51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1070.1600000000001</v>
      </c>
      <c r="L1044" s="18">
        <v>47.76</v>
      </c>
      <c r="M1044" s="18">
        <v>206.05</v>
      </c>
      <c r="O1044" s="19">
        <f ca="1">IF('Stock Price'!$I$11="OK",B1044/INDEX(B$5:B$1258,'Stock Price'!$I$9)-1,"")</f>
        <v>1.0957903387818462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3.6341315550166717</v>
      </c>
      <c r="Y1044" s="19">
        <f ca="1">IF('Stock Price'!$I$11="OK",L1044/INDEX(L$5:L$1258,'Stock Price'!$I$9)-1,"")</f>
        <v>-0.19256128486897717</v>
      </c>
      <c r="Z1044" s="19">
        <f ca="1">IF('Stock Price'!$I$11="OK",M1044/INDEX(M$5:M$1258,'Stock Price'!$I$9)-1,"")</f>
        <v>0.2912019050006267</v>
      </c>
    </row>
    <row r="1045" spans="1:26" x14ac:dyDescent="0.2">
      <c r="A1045" s="16">
        <f>'Stock Price'!A1045</f>
        <v>45986</v>
      </c>
      <c r="B1045" s="17">
        <f>'Stock Price'!E1045</f>
        <v>231.8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1109.94</v>
      </c>
      <c r="L1045" s="18">
        <v>49.05</v>
      </c>
      <c r="M1045" s="18">
        <v>206.67</v>
      </c>
      <c r="O1045" s="19">
        <f ca="1">IF('Stock Price'!$I$11="OK",B1045/INDEX(B$5:B$1258,'Stock Price'!$I$9)-1,"")</f>
        <v>1.1167016710802669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3.8063915472221019</v>
      </c>
      <c r="Y1045" s="19">
        <f ca="1">IF('Stock Price'!$I$11="OK",L1045/INDEX(L$5:L$1258,'Stock Price'!$I$9)-1,"")</f>
        <v>-0.17075232459847844</v>
      </c>
      <c r="Z1045" s="19">
        <f ca="1">IF('Stock Price'!$I$11="OK",M1045/INDEX(M$5:M$1258,'Stock Price'!$I$9)-1,"")</f>
        <v>0.29508710364707347</v>
      </c>
    </row>
    <row r="1046" spans="1:26" x14ac:dyDescent="0.2">
      <c r="A1046" s="16">
        <f>'Stock Price'!A1046</f>
        <v>45987</v>
      </c>
      <c r="B1046" s="17">
        <f>'Stock Price'!E1046</f>
        <v>227.66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1104.3399999999999</v>
      </c>
      <c r="L1046" s="18">
        <v>49.25</v>
      </c>
      <c r="M1046" s="18">
        <v>207.56</v>
      </c>
      <c r="O1046" s="19">
        <f ca="1">IF('Stock Price'!$I$11="OK",B1046/INDEX(B$5:B$1258,'Stock Price'!$I$9)-1,"")</f>
        <v>1.0788969043922929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3.78214177456372</v>
      </c>
      <c r="Y1046" s="19">
        <f ca="1">IF('Stock Price'!$I$11="OK",L1046/INDEX(L$5:L$1258,'Stock Price'!$I$9)-1,"")</f>
        <v>-0.16737109044801346</v>
      </c>
      <c r="Z1046" s="19">
        <f ca="1">IF('Stock Price'!$I$11="OK",M1046/INDEX(M$5:M$1258,'Stock Price'!$I$9)-1,"")</f>
        <v>0.30066424363955369</v>
      </c>
    </row>
    <row r="1047" spans="1:26" x14ac:dyDescent="0.2">
      <c r="A1047" s="16">
        <f>'Stock Price'!A1047</f>
        <v>45989</v>
      </c>
      <c r="B1047" s="17">
        <f>'Stock Price'!E1047</f>
        <v>227.7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1075.47</v>
      </c>
      <c r="L1047" s="18">
        <v>49.2</v>
      </c>
      <c r="M1047" s="18">
        <v>206.92</v>
      </c>
      <c r="O1047" s="19">
        <f ca="1">IF('Stock Price'!$I$11="OK",B1047/INDEX(B$5:B$1258,'Stock Price'!$I$9)-1,"")</f>
        <v>1.0792621678385532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3.6571255358766726</v>
      </c>
      <c r="Y1047" s="19">
        <f ca="1">IF('Stock Price'!$I$11="OK",L1047/INDEX(L$5:L$1258,'Stock Price'!$I$9)-1,"")</f>
        <v>-0.16821639898562968</v>
      </c>
      <c r="Z1047" s="19">
        <f ca="1">IF('Stock Price'!$I$11="OK",M1047/INDEX(M$5:M$1258,'Stock Price'!$I$9)-1,"")</f>
        <v>0.29665371600451174</v>
      </c>
    </row>
    <row r="1048" spans="1:26" x14ac:dyDescent="0.2">
      <c r="A1048" s="16">
        <f>'Stock Price'!A1048</f>
        <v>45992</v>
      </c>
      <c r="B1048" s="17">
        <f>'Stock Price'!E1048</f>
        <v>225.11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1057.8900000000001</v>
      </c>
      <c r="L1048" s="18">
        <v>49.18</v>
      </c>
      <c r="M1048" s="18">
        <v>205.34</v>
      </c>
      <c r="O1048" s="19">
        <f ca="1">IF('Stock Price'!$I$11="OK",B1048/INDEX(B$5:B$1258,'Stock Price'!$I$9)-1,"")</f>
        <v>1.0556113596931787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3.5809985709955399</v>
      </c>
      <c r="Y1048" s="19">
        <f ca="1">IF('Stock Price'!$I$11="OK",L1048/INDEX(L$5:L$1258,'Stock Price'!$I$9)-1,"")</f>
        <v>-0.16855452240067625</v>
      </c>
      <c r="Z1048" s="19">
        <f ca="1">IF('Stock Price'!$I$11="OK",M1048/INDEX(M$5:M$1258,'Stock Price'!$I$9)-1,"")</f>
        <v>0.28675272590550183</v>
      </c>
    </row>
    <row r="1049" spans="1:26" x14ac:dyDescent="0.2">
      <c r="A1049" s="16">
        <f>'Stock Price'!A1049</f>
        <v>45993</v>
      </c>
      <c r="B1049" s="17">
        <f>'Stock Price'!E1049</f>
        <v>224.37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1046.1199999999999</v>
      </c>
      <c r="L1049" s="18">
        <v>48.25</v>
      </c>
      <c r="M1049" s="18">
        <v>205.42</v>
      </c>
      <c r="O1049" s="19">
        <f ca="1">IF('Stock Price'!$I$11="OK",B1049/INDEX(B$5:B$1258,'Stock Price'!$I$9)-1,"")</f>
        <v>1.0488539859373573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3.5300307452474771</v>
      </c>
      <c r="Y1049" s="19">
        <f ca="1">IF('Stock Price'!$I$11="OK",L1049/INDEX(L$5:L$1258,'Stock Price'!$I$9)-1,"")</f>
        <v>-0.18427726120033805</v>
      </c>
      <c r="Z1049" s="19">
        <f ca="1">IF('Stock Price'!$I$11="OK",M1049/INDEX(M$5:M$1258,'Stock Price'!$I$9)-1,"")</f>
        <v>0.2872540418598819</v>
      </c>
    </row>
    <row r="1050" spans="1:26" x14ac:dyDescent="0.2">
      <c r="A1050" s="16">
        <f>'Stock Price'!A1050</f>
        <v>45994</v>
      </c>
      <c r="B1050" s="17">
        <f>'Stock Price'!E1050</f>
        <v>230.24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1033.56</v>
      </c>
      <c r="L1050" s="18">
        <v>50.96</v>
      </c>
      <c r="M1050" s="18">
        <v>205.33</v>
      </c>
      <c r="O1050" s="19">
        <f ca="1">IF('Stock Price'!$I$11="OK",B1050/INDEX(B$5:B$1258,'Stock Price'!$I$9)-1,"")</f>
        <v>1.1024563966761027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3.475641969427965</v>
      </c>
      <c r="Y1050" s="19">
        <f ca="1">IF('Stock Price'!$I$11="OK",L1050/INDEX(L$5:L$1258,'Stock Price'!$I$9)-1,"")</f>
        <v>-0.13846153846153841</v>
      </c>
      <c r="Z1050" s="19">
        <f ca="1">IF('Stock Price'!$I$11="OK",M1050/INDEX(M$5:M$1258,'Stock Price'!$I$9)-1,"")</f>
        <v>0.28669006141120446</v>
      </c>
    </row>
    <row r="1051" spans="1:26" x14ac:dyDescent="0.2">
      <c r="A1051" s="16">
        <f>'Stock Price'!A1051</f>
        <v>45995</v>
      </c>
      <c r="B1051" s="17">
        <f>'Stock Price'!E1051</f>
        <v>228.71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1014.49</v>
      </c>
      <c r="L1051" s="18">
        <v>51.95</v>
      </c>
      <c r="M1051" s="18">
        <v>202.48</v>
      </c>
      <c r="O1051" s="19">
        <f ca="1">IF('Stock Price'!$I$11="OK",B1051/INDEX(B$5:B$1258,'Stock Price'!$I$9)-1,"")</f>
        <v>1.0884850698566342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3.3930628328930847</v>
      </c>
      <c r="Y1051" s="19">
        <f ca="1">IF('Stock Price'!$I$11="OK",L1051/INDEX(L$5:L$1258,'Stock Price'!$I$9)-1,"")</f>
        <v>-0.121724429416737</v>
      </c>
      <c r="Z1051" s="19">
        <f ca="1">IF('Stock Price'!$I$11="OK",M1051/INDEX(M$5:M$1258,'Stock Price'!$I$9)-1,"")</f>
        <v>0.26883068053640802</v>
      </c>
    </row>
    <row r="1052" spans="1:26" x14ac:dyDescent="0.2">
      <c r="A1052" s="16">
        <f>'Stock Price'!A1052</f>
        <v>45996</v>
      </c>
      <c r="B1052" s="17">
        <f>'Stock Price'!E1052</f>
        <v>226.08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1010.31</v>
      </c>
      <c r="L1052" s="18">
        <v>52.15</v>
      </c>
      <c r="M1052" s="18">
        <v>201.93</v>
      </c>
      <c r="O1052" s="19">
        <f ca="1">IF('Stock Price'!$I$11="OK",B1052/INDEX(B$5:B$1258,'Stock Price'!$I$9)-1,"")</f>
        <v>1.0644689982649989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3.3749621097302205</v>
      </c>
      <c r="Y1052" s="19">
        <f ca="1">IF('Stock Price'!$I$11="OK",L1052/INDEX(L$5:L$1258,'Stock Price'!$I$9)-1,"")</f>
        <v>-0.11834319526627224</v>
      </c>
      <c r="Z1052" s="19">
        <f ca="1">IF('Stock Price'!$I$11="OK",M1052/INDEX(M$5:M$1258,'Stock Price'!$I$9)-1,"")</f>
        <v>0.26538413335004374</v>
      </c>
    </row>
    <row r="1053" spans="1:26" x14ac:dyDescent="0.2">
      <c r="A1053" s="16">
        <f>'Stock Price'!A1053</f>
        <v>45999</v>
      </c>
      <c r="B1053" s="17">
        <f>'Stock Price'!E1053</f>
        <v>223.12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997.59</v>
      </c>
      <c r="L1053" s="18">
        <v>51.67</v>
      </c>
      <c r="M1053" s="18">
        <v>201.62</v>
      </c>
      <c r="O1053" s="19">
        <f ca="1">IF('Stock Price'!$I$11="OK",B1053/INDEX(B$5:B$1258,'Stock Price'!$I$9)-1,"")</f>
        <v>1.0374395032417132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3.3198804832633266</v>
      </c>
      <c r="Y1053" s="19">
        <f ca="1">IF('Stock Price'!$I$11="OK",L1053/INDEX(L$5:L$1258,'Stock Price'!$I$9)-1,"")</f>
        <v>-0.12645815722738796</v>
      </c>
      <c r="Z1053" s="19">
        <f ca="1">IF('Stock Price'!$I$11="OK",M1053/INDEX(M$5:M$1258,'Stock Price'!$I$9)-1,"")</f>
        <v>0.26344153402682036</v>
      </c>
    </row>
    <row r="1054" spans="1:26" x14ac:dyDescent="0.2">
      <c r="A1054" s="16">
        <f>'Stock Price'!A1054</f>
        <v>46000</v>
      </c>
      <c r="B1054" s="17">
        <f>'Stock Price'!E1054</f>
        <v>222.99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982.22</v>
      </c>
      <c r="L1054" s="18">
        <v>50.65</v>
      </c>
      <c r="M1054" s="18">
        <v>199.96</v>
      </c>
      <c r="O1054" s="19">
        <f ca="1">IF('Stock Price'!$I$11="OK",B1054/INDEX(B$5:B$1258,'Stock Price'!$I$9)-1,"")</f>
        <v>1.0362523970413662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3.2533235179491617</v>
      </c>
      <c r="Y1054" s="19">
        <f ca="1">IF('Stock Price'!$I$11="OK",L1054/INDEX(L$5:L$1258,'Stock Price'!$I$9)-1,"")</f>
        <v>-0.14370245139475912</v>
      </c>
      <c r="Z1054" s="19">
        <f ca="1">IF('Stock Price'!$I$11="OK",M1054/INDEX(M$5:M$1258,'Stock Price'!$I$9)-1,"")</f>
        <v>0.25303922797343015</v>
      </c>
    </row>
    <row r="1055" spans="1:26" x14ac:dyDescent="0.2">
      <c r="A1055" s="16">
        <f>'Stock Price'!A1055</f>
        <v>46001</v>
      </c>
      <c r="B1055" s="17">
        <f>'Stock Price'!E1055</f>
        <v>225.18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993.64</v>
      </c>
      <c r="L1055" s="18">
        <v>51.21</v>
      </c>
      <c r="M1055" s="18">
        <v>206.54</v>
      </c>
      <c r="O1055" s="19">
        <f ca="1">IF('Stock Price'!$I$11="OK",B1055/INDEX(B$5:B$1258,'Stock Price'!$I$9)-1,"")</f>
        <v>1.0562505707241345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3.302775732906075</v>
      </c>
      <c r="Y1055" s="19">
        <f ca="1">IF('Stock Price'!$I$11="OK",L1055/INDEX(L$5:L$1258,'Stock Price'!$I$9)-1,"")</f>
        <v>-0.13423499577345732</v>
      </c>
      <c r="Z1055" s="19">
        <f ca="1">IF('Stock Price'!$I$11="OK",M1055/INDEX(M$5:M$1258,'Stock Price'!$I$9)-1,"")</f>
        <v>0.29427246522120543</v>
      </c>
    </row>
    <row r="1056" spans="1:26" x14ac:dyDescent="0.2">
      <c r="A1056" s="16">
        <f>'Stock Price'!A1056</f>
        <v>46002</v>
      </c>
      <c r="B1056" s="17">
        <f>'Stock Price'!E1056</f>
        <v>223.98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1009.38</v>
      </c>
      <c r="L1056" s="18">
        <v>51.2</v>
      </c>
      <c r="M1056" s="18">
        <v>210.01</v>
      </c>
      <c r="O1056" s="19">
        <f ca="1">IF('Stock Price'!$I$11="OK",B1056/INDEX(B$5:B$1258,'Stock Price'!$I$9)-1,"")</f>
        <v>1.0452926673363163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3.3709349153423114</v>
      </c>
      <c r="Y1056" s="19">
        <f ca="1">IF('Stock Price'!$I$11="OK",L1056/INDEX(L$5:L$1258,'Stock Price'!$I$9)-1,"")</f>
        <v>-0.1344040574809805</v>
      </c>
      <c r="Z1056" s="19">
        <f ca="1">IF('Stock Price'!$I$11="OK",M1056/INDEX(M$5:M$1258,'Stock Price'!$I$9)-1,"")</f>
        <v>0.31601704474244885</v>
      </c>
    </row>
    <row r="1057" spans="1:26" x14ac:dyDescent="0.2">
      <c r="A1057" s="16">
        <f>'Stock Price'!A1057</f>
        <v>46003</v>
      </c>
      <c r="B1057" s="17">
        <f>'Stock Price'!E1057</f>
        <v>223.32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1027.51</v>
      </c>
      <c r="L1057" s="18">
        <v>52.41</v>
      </c>
      <c r="M1057" s="18">
        <v>211.58</v>
      </c>
      <c r="O1057" s="19">
        <f ca="1">IF('Stock Price'!$I$11="OK",B1057/INDEX(B$5:B$1258,'Stock Price'!$I$9)-1,"")</f>
        <v>1.0392658204730161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3.4494435543238211</v>
      </c>
      <c r="Y1057" s="19">
        <f ca="1">IF('Stock Price'!$I$11="OK",L1057/INDEX(L$5:L$1258,'Stock Price'!$I$9)-1,"")</f>
        <v>-0.11394759087066786</v>
      </c>
      <c r="Z1057" s="19">
        <f ca="1">IF('Stock Price'!$I$11="OK",M1057/INDEX(M$5:M$1258,'Stock Price'!$I$9)-1,"")</f>
        <v>0.32585537034716117</v>
      </c>
    </row>
    <row r="1058" spans="1:26" x14ac:dyDescent="0.2">
      <c r="A1058" s="16">
        <f>'Stock Price'!A1058</f>
        <v>46006</v>
      </c>
      <c r="B1058" s="17">
        <f>'Stock Price'!E1058</f>
        <v>227.45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1062.19</v>
      </c>
      <c r="L1058" s="18">
        <v>54.29</v>
      </c>
      <c r="M1058" s="18">
        <v>214.17</v>
      </c>
      <c r="O1058" s="19">
        <f ca="1">IF('Stock Price'!$I$11="OK",B1058/INDEX(B$5:B$1258,'Stock Price'!$I$9)-1,"")</f>
        <v>1.0769792712994244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3.5996189321439402</v>
      </c>
      <c r="Y1058" s="19">
        <f ca="1">IF('Stock Price'!$I$11="OK",L1058/INDEX(L$5:L$1258,'Stock Price'!$I$9)-1,"")</f>
        <v>-8.2163989856297581E-2</v>
      </c>
      <c r="Z1058" s="19">
        <f ca="1">IF('Stock Price'!$I$11="OK",M1058/INDEX(M$5:M$1258,'Stock Price'!$I$9)-1,"")</f>
        <v>0.34208547437022174</v>
      </c>
    </row>
    <row r="1059" spans="1:26" x14ac:dyDescent="0.2">
      <c r="A1059" s="16">
        <f>'Stock Price'!A1059</f>
        <v>46007</v>
      </c>
      <c r="B1059" s="17">
        <f>'Stock Price'!E1059</f>
        <v>223.67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1054.29</v>
      </c>
      <c r="L1059" s="18">
        <v>54.23</v>
      </c>
      <c r="M1059" s="18">
        <v>209.3</v>
      </c>
      <c r="O1059" s="19">
        <f ca="1">IF('Stock Price'!$I$11="OK",B1059/INDEX(B$5:B$1258,'Stock Price'!$I$9)-1,"")</f>
        <v>1.0424618756277964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3.5654094314294369</v>
      </c>
      <c r="Y1059" s="19">
        <f ca="1">IF('Stock Price'!$I$11="OK",L1059/INDEX(L$5:L$1258,'Stock Price'!$I$9)-1,"")</f>
        <v>-8.3178360101437088E-2</v>
      </c>
      <c r="Z1059" s="19">
        <f ca="1">IF('Stock Price'!$I$11="OK",M1059/INDEX(M$5:M$1258,'Stock Price'!$I$9)-1,"")</f>
        <v>0.31156786564732419</v>
      </c>
    </row>
    <row r="1060" spans="1:26" x14ac:dyDescent="0.2">
      <c r="A1060" s="16">
        <f>'Stock Price'!A1060</f>
        <v>46008</v>
      </c>
      <c r="B1060" s="17">
        <f>'Stock Price'!E1060</f>
        <v>224.31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1041.79</v>
      </c>
      <c r="L1060" s="18">
        <v>53.55</v>
      </c>
      <c r="M1060" s="18">
        <v>210.33</v>
      </c>
      <c r="O1060" s="19">
        <f ca="1">IF('Stock Price'!$I$11="OK",B1060/INDEX(B$5:B$1258,'Stock Price'!$I$9)-1,"")</f>
        <v>1.0483060907679662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3.5112804746026933</v>
      </c>
      <c r="Y1060" s="19">
        <f ca="1">IF('Stock Price'!$I$11="OK",L1060/INDEX(L$5:L$1258,'Stock Price'!$I$9)-1,"")</f>
        <v>-9.4674556213017791E-2</v>
      </c>
      <c r="Z1060" s="19">
        <f ca="1">IF('Stock Price'!$I$11="OK",M1060/INDEX(M$5:M$1258,'Stock Price'!$I$9)-1,"")</f>
        <v>0.31802230855996982</v>
      </c>
    </row>
    <row r="1061" spans="1:26" x14ac:dyDescent="0.2">
      <c r="A1061" s="16">
        <f>'Stock Price'!A1061</f>
        <v>46009</v>
      </c>
      <c r="B1061" s="17">
        <f>'Stock Price'!E1061</f>
        <v>222.82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1056.8800000000001</v>
      </c>
      <c r="L1061" s="18">
        <v>53.33</v>
      </c>
      <c r="M1061" s="18">
        <v>208.31</v>
      </c>
      <c r="O1061" s="19">
        <f ca="1">IF('Stock Price'!$I$11="OK",B1061/INDEX(B$5:B$1258,'Stock Price'!$I$9)-1,"")</f>
        <v>1.0347000273947584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3.5766249512839394</v>
      </c>
      <c r="Y1061" s="19">
        <f ca="1">IF('Stock Price'!$I$11="OK",L1061/INDEX(L$5:L$1258,'Stock Price'!$I$9)-1,"")</f>
        <v>-9.839391377852913E-2</v>
      </c>
      <c r="Z1061" s="19">
        <f ca="1">IF('Stock Price'!$I$11="OK",M1061/INDEX(M$5:M$1258,'Stock Price'!$I$9)-1,"")</f>
        <v>0.30536408071186849</v>
      </c>
    </row>
    <row r="1062" spans="1:26" x14ac:dyDescent="0.2">
      <c r="A1062" s="16">
        <f>'Stock Price'!A1062</f>
        <v>46010</v>
      </c>
      <c r="B1062" s="17">
        <f>'Stock Price'!E1062</f>
        <v>226.82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1071.44</v>
      </c>
      <c r="L1062" s="18">
        <v>54.19</v>
      </c>
      <c r="M1062" s="18">
        <v>206.37</v>
      </c>
      <c r="O1062" s="19">
        <f ca="1">IF('Stock Price'!$I$11="OK",B1062/INDEX(B$5:B$1258,'Stock Price'!$I$9)-1,"")</f>
        <v>1.0712263720208197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3.6396743601957304</v>
      </c>
      <c r="Y1062" s="19">
        <f ca="1">IF('Stock Price'!$I$11="OK",L1062/INDEX(L$5:L$1258,'Stock Price'!$I$9)-1,"")</f>
        <v>-8.3854606931530018E-2</v>
      </c>
      <c r="Z1062" s="19">
        <f ca="1">IF('Stock Price'!$I$11="OK",M1062/INDEX(M$5:M$1258,'Stock Price'!$I$9)-1,"")</f>
        <v>0.29320716881814746</v>
      </c>
    </row>
    <row r="1063" spans="1:26" x14ac:dyDescent="0.2">
      <c r="A1063" s="16">
        <f>'Stock Price'!A1063</f>
        <v>46013</v>
      </c>
      <c r="B1063" s="17">
        <f>'Stock Price'!E1063</f>
        <v>227.91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1076.48</v>
      </c>
      <c r="L1063" s="18">
        <v>54.66</v>
      </c>
      <c r="M1063" s="18">
        <v>207.32</v>
      </c>
      <c r="O1063" s="19">
        <f ca="1">IF('Stock Price'!$I$11="OK",B1063/INDEX(B$5:B$1258,'Stock Price'!$I$9)-1,"")</f>
        <v>1.0811798009314217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3.6614991555882739</v>
      </c>
      <c r="Y1063" s="19">
        <f ca="1">IF('Stock Price'!$I$11="OK",L1063/INDEX(L$5:L$1258,'Stock Price'!$I$9)-1,"")</f>
        <v>-7.5908706677937476E-2</v>
      </c>
      <c r="Z1063" s="19">
        <f ca="1">IF('Stock Price'!$I$11="OK",M1063/INDEX(M$5:M$1258,'Stock Price'!$I$9)-1,"")</f>
        <v>0.29916029577641301</v>
      </c>
    </row>
    <row r="1064" spans="1:26" x14ac:dyDescent="0.2">
      <c r="A1064" s="16">
        <f>'Stock Price'!A1064</f>
        <v>46014</v>
      </c>
      <c r="B1064" s="17">
        <f>'Stock Price'!E1064</f>
        <v>228.79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1071.6400000000001</v>
      </c>
      <c r="L1064" s="18">
        <v>54.28</v>
      </c>
      <c r="M1064" s="18">
        <v>205.78</v>
      </c>
      <c r="O1064" s="19">
        <f ca="1">IF('Stock Price'!$I$11="OK",B1064/INDEX(B$5:B$1258,'Stock Price'!$I$9)-1,"")</f>
        <v>1.0892155967491552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3.6405404235049588</v>
      </c>
      <c r="Y1064" s="19">
        <f ca="1">IF('Stock Price'!$I$11="OK",L1064/INDEX(L$5:L$1258,'Stock Price'!$I$9)-1,"")</f>
        <v>-8.2333051563820758E-2</v>
      </c>
      <c r="Z1064" s="19">
        <f ca="1">IF('Stock Price'!$I$11="OK",M1064/INDEX(M$5:M$1258,'Stock Price'!$I$9)-1,"")</f>
        <v>0.28950996365459325</v>
      </c>
    </row>
    <row r="1065" spans="1:26" x14ac:dyDescent="0.2">
      <c r="A1065" s="16">
        <f>'Stock Price'!A1065</f>
        <v>46015</v>
      </c>
      <c r="B1065" s="17">
        <f>'Stock Price'!E1065</f>
        <v>229.89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1076.98</v>
      </c>
      <c r="L1065" s="18">
        <v>54.71</v>
      </c>
      <c r="M1065" s="18">
        <v>207.78</v>
      </c>
      <c r="O1065" s="19">
        <f ca="1">IF('Stock Price'!$I$11="OK",B1065/INDEX(B$5:B$1258,'Stock Price'!$I$9)-1,"")</f>
        <v>1.099260341521322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3.6636643138613429</v>
      </c>
      <c r="Y1065" s="19">
        <f ca="1">IF('Stock Price'!$I$11="OK",L1065/INDEX(L$5:L$1258,'Stock Price'!$I$9)-1,"")</f>
        <v>-7.5063398140321147E-2</v>
      </c>
      <c r="Z1065" s="19">
        <f ca="1">IF('Stock Price'!$I$11="OK",M1065/INDEX(M$5:M$1258,'Stock Price'!$I$9)-1,"")</f>
        <v>0.3020428625140994</v>
      </c>
    </row>
    <row r="1066" spans="1:26" x14ac:dyDescent="0.2">
      <c r="A1066" s="16">
        <f>'Stock Price'!A1066</f>
        <v>46017</v>
      </c>
      <c r="B1066" s="17">
        <f>'Stock Price'!E1066</f>
        <v>229.98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1077.75</v>
      </c>
      <c r="L1066" s="18">
        <v>54.64</v>
      </c>
      <c r="M1066" s="18">
        <v>207.63</v>
      </c>
      <c r="O1066" s="19">
        <f ca="1">IF('Stock Price'!$I$11="OK",B1066/INDEX(B$5:B$1258,'Stock Price'!$I$9)-1,"")</f>
        <v>1.1000821842754083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3.6669986576018703</v>
      </c>
      <c r="Y1066" s="19">
        <f ca="1">IF('Stock Price'!$I$11="OK",L1066/INDEX(L$5:L$1258,'Stock Price'!$I$9)-1,"")</f>
        <v>-7.6246830092983942E-2</v>
      </c>
      <c r="Z1066" s="19">
        <f ca="1">IF('Stock Price'!$I$11="OK",M1066/INDEX(M$5:M$1258,'Stock Price'!$I$9)-1,"")</f>
        <v>0.30110289509963639</v>
      </c>
    </row>
    <row r="1067" spans="1:26" x14ac:dyDescent="0.2">
      <c r="A1067" s="16">
        <f>'Stock Price'!A1067</f>
        <v>46020</v>
      </c>
      <c r="B1067" s="17">
        <f>'Stock Price'!E1067</f>
        <v>230.84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1078.73</v>
      </c>
      <c r="L1067" s="18">
        <v>54.11</v>
      </c>
      <c r="M1067" s="18">
        <v>207.56</v>
      </c>
      <c r="O1067" s="19">
        <f ca="1">IF('Stock Price'!$I$11="OK",B1067/INDEX(B$5:B$1258,'Stock Price'!$I$9)-1,"")</f>
        <v>1.1079353483700118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3.6712423678170873</v>
      </c>
      <c r="Y1067" s="19">
        <f ca="1">IF('Stock Price'!$I$11="OK",L1067/INDEX(L$5:L$1258,'Stock Price'!$I$9)-1,"")</f>
        <v>-8.520710059171599E-2</v>
      </c>
      <c r="Z1067" s="19">
        <f ca="1">IF('Stock Price'!$I$11="OK",M1067/INDEX(M$5:M$1258,'Stock Price'!$I$9)-1,"")</f>
        <v>0.30066424363955369</v>
      </c>
    </row>
    <row r="1068" spans="1:26" x14ac:dyDescent="0.2">
      <c r="A1068" s="16">
        <f>'Stock Price'!A1068</f>
        <v>46021</v>
      </c>
      <c r="B1068" s="17">
        <f>'Stock Price'!E1068</f>
        <v>229.74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1079.75</v>
      </c>
      <c r="L1068" s="18">
        <v>54.21</v>
      </c>
      <c r="M1068" s="18">
        <v>206.91</v>
      </c>
      <c r="O1068" s="19">
        <f ca="1">IF('Stock Price'!$I$11="OK",B1068/INDEX(B$5:B$1258,'Stock Price'!$I$9)-1,"")</f>
        <v>1.0978906035978451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3.6756592906941492</v>
      </c>
      <c r="Y1068" s="19">
        <f ca="1">IF('Stock Price'!$I$11="OK",L1068/INDEX(L$5:L$1258,'Stock Price'!$I$9)-1,"")</f>
        <v>-8.3516483516483442E-2</v>
      </c>
      <c r="Z1068" s="19">
        <f ca="1">IF('Stock Price'!$I$11="OK",M1068/INDEX(M$5:M$1258,'Stock Price'!$I$9)-1,"")</f>
        <v>0.29659105151021414</v>
      </c>
    </row>
    <row r="1069" spans="1:26" x14ac:dyDescent="0.2">
      <c r="A1069" s="16">
        <f>'Stock Price'!A1069</f>
        <v>46022</v>
      </c>
      <c r="B1069" s="17">
        <f>'Stock Price'!E1069</f>
        <v>228.49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1074.68</v>
      </c>
      <c r="L1069" s="18">
        <v>53.94</v>
      </c>
      <c r="M1069" s="18">
        <v>206.95</v>
      </c>
      <c r="O1069" s="19">
        <f ca="1">IF('Stock Price'!$I$11="OK",B1069/INDEX(B$5:B$1258,'Stock Price'!$I$9)-1,"")</f>
        <v>1.0864761209022009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3.6537045858052224</v>
      </c>
      <c r="Y1069" s="19">
        <f ca="1">IF('Stock Price'!$I$11="OK",L1069/INDEX(L$5:L$1258,'Stock Price'!$I$9)-1,"")</f>
        <v>-8.8081149619611221E-2</v>
      </c>
      <c r="Z1069" s="19">
        <f ca="1">IF('Stock Price'!$I$11="OK",M1069/INDEX(M$5:M$1258,'Stock Price'!$I$9)-1,"")</f>
        <v>0.29684170948740429</v>
      </c>
    </row>
    <row r="1070" spans="1:26" x14ac:dyDescent="0.2">
      <c r="A1070" s="16">
        <f>'Stock Price'!A1070</f>
        <v>46024</v>
      </c>
      <c r="B1070" s="17">
        <f>'Stock Price'!E1070</f>
        <v>229.31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1080.3599999999999</v>
      </c>
      <c r="L1070" s="18">
        <v>53.46</v>
      </c>
      <c r="M1070" s="18">
        <v>207.35</v>
      </c>
      <c r="O1070" s="19">
        <f ca="1">IF('Stock Price'!$I$11="OK",B1070/INDEX(B$5:B$1258,'Stock Price'!$I$9)-1,"")</f>
        <v>1.0939640215505433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3.6783007837872939</v>
      </c>
      <c r="Y1070" s="19">
        <f ca="1">IF('Stock Price'!$I$11="OK",L1070/INDEX(L$5:L$1258,'Stock Price'!$I$9)-1,"")</f>
        <v>-9.619611158072694E-2</v>
      </c>
      <c r="Z1070" s="19">
        <f ca="1">IF('Stock Price'!$I$11="OK",M1070/INDEX(M$5:M$1258,'Stock Price'!$I$9)-1,"")</f>
        <v>0.29934828925930557</v>
      </c>
    </row>
    <row r="1071" spans="1:26" x14ac:dyDescent="0.2">
      <c r="A1071" s="16">
        <f>'Stock Price'!A1071</f>
        <v>46027</v>
      </c>
      <c r="B1071" s="17">
        <f>'Stock Price'!E1071</f>
        <v>220.18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1041.51</v>
      </c>
      <c r="L1071" s="18">
        <v>53.06</v>
      </c>
      <c r="M1071" s="18">
        <v>204.31</v>
      </c>
      <c r="O1071" s="19">
        <f ca="1">IF('Stock Price'!$I$11="OK",B1071/INDEX(B$5:B$1258,'Stock Price'!$I$9)-1,"")</f>
        <v>1.0105926399415579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3.5100679859697745</v>
      </c>
      <c r="Y1071" s="19">
        <f ca="1">IF('Stock Price'!$I$11="OK",L1071/INDEX(L$5:L$1258,'Stock Price'!$I$9)-1,"")</f>
        <v>-0.1029585798816568</v>
      </c>
      <c r="Z1071" s="19">
        <f ca="1">IF('Stock Price'!$I$11="OK",M1071/INDEX(M$5:M$1258,'Stock Price'!$I$9)-1,"")</f>
        <v>0.2802982829928562</v>
      </c>
    </row>
    <row r="1072" spans="1:26" x14ac:dyDescent="0.2">
      <c r="A1072" s="16">
        <f>'Stock Price'!A1072</f>
        <v>46028</v>
      </c>
      <c r="B1072" s="17">
        <f>'Stock Price'!E1072</f>
        <v>223.93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1064.04</v>
      </c>
      <c r="L1072" s="18">
        <v>54.42</v>
      </c>
      <c r="M1072" s="18">
        <v>204.79</v>
      </c>
      <c r="O1072" s="19">
        <f ca="1">IF('Stock Price'!$I$11="OK",B1072/INDEX(B$5:B$1258,'Stock Price'!$I$9)-1,"")</f>
        <v>1.0448360880284904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3.6076300177542979</v>
      </c>
      <c r="Y1072" s="19">
        <f ca="1">IF('Stock Price'!$I$11="OK",L1072/INDEX(L$5:L$1258,'Stock Price'!$I$9)-1,"")</f>
        <v>-7.996618765849528E-2</v>
      </c>
      <c r="Z1072" s="19">
        <f ca="1">IF('Stock Price'!$I$11="OK",M1072/INDEX(M$5:M$1258,'Stock Price'!$I$9)-1,"")</f>
        <v>0.28330617871913755</v>
      </c>
    </row>
    <row r="1073" spans="1:26" x14ac:dyDescent="0.2">
      <c r="A1073" s="16">
        <f>'Stock Price'!A1073</f>
        <v>46029</v>
      </c>
      <c r="B1073" s="17">
        <f>'Stock Price'!E1073</f>
        <v>233.42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1108.0899999999999</v>
      </c>
      <c r="L1073" s="18">
        <v>56.72</v>
      </c>
      <c r="M1073" s="18">
        <v>207.49</v>
      </c>
      <c r="O1073" s="19">
        <f ca="1">IF('Stock Price'!$I$11="OK",B1073/INDEX(B$5:B$1258,'Stock Price'!$I$9)-1,"")</f>
        <v>1.1314948406538212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3.7983804616117434</v>
      </c>
      <c r="Y1073" s="19">
        <f ca="1">IF('Stock Price'!$I$11="OK",L1073/INDEX(L$5:L$1258,'Stock Price'!$I$9)-1,"")</f>
        <v>-4.1081994928148791E-2</v>
      </c>
      <c r="Z1073" s="19">
        <f ca="1">IF('Stock Price'!$I$11="OK",M1073/INDEX(M$5:M$1258,'Stock Price'!$I$9)-1,"")</f>
        <v>0.30022559217947098</v>
      </c>
    </row>
    <row r="1074" spans="1:26" x14ac:dyDescent="0.2">
      <c r="A1074" s="16">
        <f>'Stock Price'!A1074</f>
        <v>46030</v>
      </c>
      <c r="B1074" s="17">
        <f>'Stock Price'!E1074</f>
        <v>224.13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1085.19</v>
      </c>
      <c r="L1074" s="18">
        <v>55.9</v>
      </c>
      <c r="M1074" s="18">
        <v>205.75</v>
      </c>
      <c r="O1074" s="19">
        <f ca="1">IF('Stock Price'!$I$11="OK",B1074/INDEX(B$5:B$1258,'Stock Price'!$I$9)-1,"")</f>
        <v>1.0466624052597937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3.6992162127051484</v>
      </c>
      <c r="Y1074" s="19">
        <f ca="1">IF('Stock Price'!$I$11="OK",L1074/INDEX(L$5:L$1258,'Stock Price'!$I$9)-1,"")</f>
        <v>-5.4945054945054972E-2</v>
      </c>
      <c r="Z1074" s="19">
        <f ca="1">IF('Stock Price'!$I$11="OK",M1074/INDEX(M$5:M$1258,'Stock Price'!$I$9)-1,"")</f>
        <v>0.28932197017170069</v>
      </c>
    </row>
    <row r="1075" spans="1:26" x14ac:dyDescent="0.2">
      <c r="A1075" s="16">
        <f>'Stock Price'!A1075</f>
        <v>46031</v>
      </c>
      <c r="B1075" s="17">
        <f>'Stock Price'!E1075</f>
        <v>220.08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1063.56</v>
      </c>
      <c r="L1075" s="18">
        <v>55.86</v>
      </c>
      <c r="M1075" s="18">
        <v>204.39</v>
      </c>
      <c r="O1075" s="19">
        <f ca="1">IF('Stock Price'!$I$11="OK",B1075/INDEX(B$5:B$1258,'Stock Price'!$I$9)-1,"")</f>
        <v>1.0096794813259065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3.6055514658121508</v>
      </c>
      <c r="Y1075" s="19">
        <f ca="1">IF('Stock Price'!$I$11="OK",L1075/INDEX(L$5:L$1258,'Stock Price'!$I$9)-1,"")</f>
        <v>-5.5621301775147902E-2</v>
      </c>
      <c r="Z1075" s="19">
        <f ca="1">IF('Stock Price'!$I$11="OK",M1075/INDEX(M$5:M$1258,'Stock Price'!$I$9)-1,"")</f>
        <v>0.28079959894723627</v>
      </c>
    </row>
    <row r="1076" spans="1:26" x14ac:dyDescent="0.2">
      <c r="A1076" s="16">
        <f>'Stock Price'!A1076</f>
        <v>46034</v>
      </c>
      <c r="B1076" s="17">
        <f>'Stock Price'!E1076</f>
        <v>220.04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1081</v>
      </c>
      <c r="L1076" s="18">
        <v>55.77</v>
      </c>
      <c r="M1076" s="18">
        <v>209.72</v>
      </c>
      <c r="O1076" s="19">
        <f ca="1">IF('Stock Price'!$I$11="OK",B1076/INDEX(B$5:B$1258,'Stock Price'!$I$9)-1,"")</f>
        <v>1.0093142178796457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3.6810721863768237</v>
      </c>
      <c r="Y1076" s="19">
        <f ca="1">IF('Stock Price'!$I$11="OK",L1076/INDEX(L$5:L$1258,'Stock Price'!$I$9)-1,"")</f>
        <v>-5.7142857142857051E-2</v>
      </c>
      <c r="Z1076" s="19">
        <f ca="1">IF('Stock Price'!$I$11="OK",M1076/INDEX(M$5:M$1258,'Stock Price'!$I$9)-1,"")</f>
        <v>0.31419977440782043</v>
      </c>
    </row>
    <row r="1077" spans="1:26" x14ac:dyDescent="0.2">
      <c r="A1077" s="16">
        <f>'Stock Price'!A1077</f>
        <v>46035</v>
      </c>
      <c r="B1077" s="17">
        <f>'Stock Price'!E1077</f>
        <v>220.75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1077.19</v>
      </c>
      <c r="L1077" s="18">
        <v>55.92</v>
      </c>
      <c r="M1077" s="18">
        <v>213.65</v>
      </c>
      <c r="O1077" s="19">
        <f ca="1">IF('Stock Price'!$I$11="OK",B1077/INDEX(B$5:B$1258,'Stock Price'!$I$9)-1,"")</f>
        <v>1.0157976440507714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3.6645736803360327</v>
      </c>
      <c r="Y1077" s="19">
        <f ca="1">IF('Stock Price'!$I$11="OK",L1077/INDEX(L$5:L$1258,'Stock Price'!$I$9)-1,"")</f>
        <v>-5.4606931530008396E-2</v>
      </c>
      <c r="Z1077" s="19">
        <f ca="1">IF('Stock Price'!$I$11="OK",M1077/INDEX(M$5:M$1258,'Stock Price'!$I$9)-1,"")</f>
        <v>0.33882692066675024</v>
      </c>
    </row>
    <row r="1078" spans="1:26" x14ac:dyDescent="0.2">
      <c r="A1078" s="16">
        <f>'Stock Price'!A1078</f>
        <v>46036</v>
      </c>
      <c r="B1078" s="17">
        <f>'Stock Price'!E1078</f>
        <v>221.89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1073.29</v>
      </c>
      <c r="L1078" s="18">
        <v>57.02</v>
      </c>
      <c r="M1078" s="18">
        <v>218.55</v>
      </c>
      <c r="O1078" s="19">
        <f ca="1">IF('Stock Price'!$I$11="OK",B1078/INDEX(B$5:B$1258,'Stock Price'!$I$9)-1,"")</f>
        <v>1.026207652269199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3.6476854458060881</v>
      </c>
      <c r="Y1078" s="19">
        <f ca="1">IF('Stock Price'!$I$11="OK",L1078/INDEX(L$5:L$1258,'Stock Price'!$I$9)-1,"")</f>
        <v>-3.6010143702451369E-2</v>
      </c>
      <c r="Z1078" s="19">
        <f ca="1">IF('Stock Price'!$I$11="OK",M1078/INDEX(M$5:M$1258,'Stock Price'!$I$9)-1,"")</f>
        <v>0.36953252287254035</v>
      </c>
    </row>
    <row r="1079" spans="1:26" x14ac:dyDescent="0.2">
      <c r="A1079" s="16">
        <f>'Stock Price'!A1079</f>
        <v>46037</v>
      </c>
      <c r="B1079" s="17">
        <f>'Stock Price'!E1079</f>
        <v>216.75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1032.97</v>
      </c>
      <c r="L1079" s="18">
        <v>56.62</v>
      </c>
      <c r="M1079" s="18">
        <v>219.57</v>
      </c>
      <c r="O1079" s="19">
        <f ca="1">IF('Stock Price'!$I$11="OK",B1079/INDEX(B$5:B$1258,'Stock Price'!$I$9)-1,"")</f>
        <v>0.97927129942470992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3.4730870826657432</v>
      </c>
      <c r="Y1079" s="19">
        <f ca="1">IF('Stock Price'!$I$11="OK",L1079/INDEX(L$5:L$1258,'Stock Price'!$I$9)-1,"")</f>
        <v>-4.2772612003381227E-2</v>
      </c>
      <c r="Z1079" s="19">
        <f ca="1">IF('Stock Price'!$I$11="OK",M1079/INDEX(M$5:M$1258,'Stock Price'!$I$9)-1,"")</f>
        <v>0.37592430129088839</v>
      </c>
    </row>
    <row r="1080" spans="1:26" x14ac:dyDescent="0.2">
      <c r="A1080" s="16">
        <f>'Stock Price'!A1080</f>
        <v>46038</v>
      </c>
      <c r="B1080" s="17">
        <f>'Stock Price'!E1080</f>
        <v>214.35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1038.4000000000001</v>
      </c>
      <c r="L1080" s="18">
        <v>55.26</v>
      </c>
      <c r="M1080" s="18">
        <v>218.66</v>
      </c>
      <c r="O1080" s="19">
        <f ca="1">IF('Stock Price'!$I$11="OK",B1080/INDEX(B$5:B$1258,'Stock Price'!$I$9)-1,"")</f>
        <v>0.95735549264907305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3.496600701511281</v>
      </c>
      <c r="Y1080" s="19">
        <f ca="1">IF('Stock Price'!$I$11="OK",L1080/INDEX(L$5:L$1258,'Stock Price'!$I$9)-1,"")</f>
        <v>-6.5765004226542745E-2</v>
      </c>
      <c r="Z1080" s="19">
        <f ca="1">IF('Stock Price'!$I$11="OK",M1080/INDEX(M$5:M$1258,'Stock Price'!$I$9)-1,"")</f>
        <v>0.3702218323098132</v>
      </c>
    </row>
    <row r="1081" spans="1:26" x14ac:dyDescent="0.2">
      <c r="A1081" s="16">
        <f>'Stock Price'!A1081</f>
        <v>46042</v>
      </c>
      <c r="B1081" s="17">
        <f>'Stock Price'!E1081</f>
        <v>214.04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1041.29</v>
      </c>
      <c r="L1081" s="18">
        <v>54.22</v>
      </c>
      <c r="M1081" s="18">
        <v>218.21</v>
      </c>
      <c r="O1081" s="19">
        <f ca="1">IF('Stock Price'!$I$11="OK",B1081/INDEX(B$5:B$1258,'Stock Price'!$I$9)-1,"")</f>
        <v>0.95452470094055331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3.5091153163296234</v>
      </c>
      <c r="Y1081" s="19">
        <f ca="1">IF('Stock Price'!$I$11="OK",L1081/INDEX(L$5:L$1258,'Stock Price'!$I$9)-1,"")</f>
        <v>-8.3347421808960265E-2</v>
      </c>
      <c r="Z1081" s="19">
        <f ca="1">IF('Stock Price'!$I$11="OK",M1081/INDEX(M$5:M$1258,'Stock Price'!$I$9)-1,"")</f>
        <v>0.36740193006642441</v>
      </c>
    </row>
    <row r="1082" spans="1:26" x14ac:dyDescent="0.2">
      <c r="A1082" s="16">
        <f>'Stock Price'!A1082</f>
        <v>46043</v>
      </c>
      <c r="B1082" s="17">
        <f>'Stock Price'!E1082</f>
        <v>216.15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1078.52</v>
      </c>
      <c r="L1082" s="18">
        <v>54.5</v>
      </c>
      <c r="M1082" s="18">
        <v>218.01</v>
      </c>
      <c r="O1082" s="19">
        <f ca="1">IF('Stock Price'!$I$11="OK",B1082/INDEX(B$5:B$1258,'Stock Price'!$I$9)-1,"")</f>
        <v>0.97379234773080081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3.6703330013423976</v>
      </c>
      <c r="Y1082" s="19">
        <f ca="1">IF('Stock Price'!$I$11="OK",L1082/INDEX(L$5:L$1258,'Stock Price'!$I$9)-1,"")</f>
        <v>-7.8613693998309309E-2</v>
      </c>
      <c r="Z1082" s="19">
        <f ca="1">IF('Stock Price'!$I$11="OK",M1082/INDEX(M$5:M$1258,'Stock Price'!$I$9)-1,"")</f>
        <v>0.36614864018047366</v>
      </c>
    </row>
    <row r="1083" spans="1:26" x14ac:dyDescent="0.2">
      <c r="A1083" s="16">
        <f>'Stock Price'!A1083</f>
        <v>46044</v>
      </c>
      <c r="B1083" s="17">
        <f>'Stock Price'!E1083</f>
        <v>218.11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1087.3800000000001</v>
      </c>
      <c r="L1083" s="18">
        <v>54.94</v>
      </c>
      <c r="M1083" s="18">
        <v>218.49</v>
      </c>
      <c r="O1083" s="19">
        <f ca="1">IF('Stock Price'!$I$11="OK",B1083/INDEX(B$5:B$1258,'Stock Price'!$I$9)-1,"")</f>
        <v>0.99169025659757093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3.7086996059411943</v>
      </c>
      <c r="Y1083" s="19">
        <f ca="1">IF('Stock Price'!$I$11="OK",L1083/INDEX(L$5:L$1258,'Stock Price'!$I$9)-1,"")</f>
        <v>-7.1174978867286631E-2</v>
      </c>
      <c r="Z1083" s="19">
        <f ca="1">IF('Stock Price'!$I$11="OK",M1083/INDEX(M$5:M$1258,'Stock Price'!$I$9)-1,"")</f>
        <v>0.36915653590675523</v>
      </c>
    </row>
    <row r="1084" spans="1:26" x14ac:dyDescent="0.2">
      <c r="A1084" s="16">
        <f>'Stock Price'!A1084</f>
        <v>46045</v>
      </c>
      <c r="B1084" s="17">
        <f>'Stock Price'!E1084</f>
        <v>219.26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1064.29</v>
      </c>
      <c r="L1084" s="18">
        <v>54.65</v>
      </c>
      <c r="M1084" s="18">
        <v>220.14</v>
      </c>
      <c r="O1084" s="19">
        <f ca="1">IF('Stock Price'!$I$11="OK",B1084/INDEX(B$5:B$1258,'Stock Price'!$I$9)-1,"")</f>
        <v>1.0021915806775636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3.6087125968908325</v>
      </c>
      <c r="Y1084" s="19">
        <f ca="1">IF('Stock Price'!$I$11="OK",L1084/INDEX(L$5:L$1258,'Stock Price'!$I$9)-1,"")</f>
        <v>-7.6077768385460653E-2</v>
      </c>
      <c r="Z1084" s="19">
        <f ca="1">IF('Stock Price'!$I$11="OK",M1084/INDEX(M$5:M$1258,'Stock Price'!$I$9)-1,"")</f>
        <v>0.37949617746584763</v>
      </c>
    </row>
    <row r="1085" spans="1:26" x14ac:dyDescent="0.2">
      <c r="A1085" s="16">
        <f>'Stock Price'!A1085</f>
        <v>46048</v>
      </c>
      <c r="B1085" s="17">
        <f>'Stock Price'!E1085</f>
        <v>220.77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1062.75</v>
      </c>
      <c r="L1085" s="18">
        <v>54.6</v>
      </c>
      <c r="M1085" s="18">
        <v>221.49</v>
      </c>
      <c r="O1085" s="19">
        <f ca="1">IF('Stock Price'!$I$11="OK",B1085/INDEX(B$5:B$1258,'Stock Price'!$I$9)-1,"")</f>
        <v>1.0159802757739018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3.6020439094097778</v>
      </c>
      <c r="Y1085" s="19">
        <f ca="1">IF('Stock Price'!$I$11="OK",L1085/INDEX(L$5:L$1258,'Stock Price'!$I$9)-1,"")</f>
        <v>-7.6923076923076872E-2</v>
      </c>
      <c r="Z1085" s="19">
        <f ca="1">IF('Stock Price'!$I$11="OK",M1085/INDEX(M$5:M$1258,'Stock Price'!$I$9)-1,"")</f>
        <v>0.38795588419601446</v>
      </c>
    </row>
    <row r="1086" spans="1:26" x14ac:dyDescent="0.2">
      <c r="A1086" s="16">
        <f>'Stock Price'!A1086</f>
        <v>46049</v>
      </c>
      <c r="B1086" s="17">
        <f>'Stock Price'!E1086</f>
        <v>223.93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1039.51</v>
      </c>
      <c r="L1086" s="18">
        <v>55.56</v>
      </c>
      <c r="M1086" s="18">
        <v>224.44</v>
      </c>
      <c r="O1086" s="19">
        <f ca="1">IF('Stock Price'!$I$11="OK",B1086/INDEX(B$5:B$1258,'Stock Price'!$I$9)-1,"")</f>
        <v>1.0448360880284904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3.5014073528774956</v>
      </c>
      <c r="Y1086" s="19">
        <f ca="1">IF('Stock Price'!$I$11="OK",L1086/INDEX(L$5:L$1258,'Stock Price'!$I$9)-1,"")</f>
        <v>-6.0693153000845212E-2</v>
      </c>
      <c r="Z1086" s="19">
        <f ca="1">IF('Stock Price'!$I$11="OK",M1086/INDEX(M$5:M$1258,'Stock Price'!$I$9)-1,"")</f>
        <v>0.40644191001378616</v>
      </c>
    </row>
    <row r="1087" spans="1:26" x14ac:dyDescent="0.2">
      <c r="A1087" s="16">
        <f>'Stock Price'!A1087</f>
        <v>46050</v>
      </c>
      <c r="B1087" s="17">
        <f>'Stock Price'!E1087</f>
        <v>218.67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1023.8</v>
      </c>
      <c r="L1087" s="18">
        <v>54.62</v>
      </c>
      <c r="M1087" s="18">
        <v>227.72</v>
      </c>
      <c r="O1087" s="19">
        <f ca="1">IF('Stock Price'!$I$11="OK",B1087/INDEX(B$5:B$1258,'Stock Price'!$I$9)-1,"")</f>
        <v>0.9968039448452195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3.4333780799376434</v>
      </c>
      <c r="Y1087" s="19">
        <f ca="1">IF('Stock Price'!$I$11="OK",L1087/INDEX(L$5:L$1258,'Stock Price'!$I$9)-1,"")</f>
        <v>-7.6584953508030407E-2</v>
      </c>
      <c r="Z1087" s="19">
        <f ca="1">IF('Stock Price'!$I$11="OK",M1087/INDEX(M$5:M$1258,'Stock Price'!$I$9)-1,"")</f>
        <v>0.4269958641433762</v>
      </c>
    </row>
    <row r="1088" spans="1:26" x14ac:dyDescent="0.2">
      <c r="A1088" s="16">
        <f>'Stock Price'!A1088</f>
        <v>46051</v>
      </c>
      <c r="B1088" s="17">
        <f>'Stock Price'!E1088</f>
        <v>220.43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1024.1400000000001</v>
      </c>
      <c r="L1088" s="18">
        <v>54.28</v>
      </c>
      <c r="M1088" s="18">
        <v>227.29</v>
      </c>
      <c r="O1088" s="19">
        <f ca="1">IF('Stock Price'!$I$11="OK",B1088/INDEX(B$5:B$1258,'Stock Price'!$I$9)-1,"")</f>
        <v>1.0128755364806867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3.4348503875633316</v>
      </c>
      <c r="Y1088" s="19">
        <f ca="1">IF('Stock Price'!$I$11="OK",L1088/INDEX(L$5:L$1258,'Stock Price'!$I$9)-1,"")</f>
        <v>-8.2333051563820758E-2</v>
      </c>
      <c r="Z1088" s="19">
        <f ca="1">IF('Stock Price'!$I$11="OK",M1088/INDEX(M$5:M$1258,'Stock Price'!$I$9)-1,"")</f>
        <v>0.42430129088858237</v>
      </c>
    </row>
    <row r="1089" spans="1:26" x14ac:dyDescent="0.2">
      <c r="A1089" s="16">
        <f>'Stock Price'!A1089</f>
        <v>46052</v>
      </c>
      <c r="B1089" s="17">
        <f>'Stock Price'!E1089</f>
        <v>223.01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1037.1500000000001</v>
      </c>
      <c r="L1089" s="18">
        <v>55.05</v>
      </c>
      <c r="M1089" s="18">
        <v>227.25</v>
      </c>
      <c r="O1089" s="19">
        <f ca="1">IF('Stock Price'!$I$11="OK",B1089/INDEX(B$5:B$1258,'Stock Price'!$I$9)-1,"")</f>
        <v>1.0364350287644961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3.4911878058286065</v>
      </c>
      <c r="Y1089" s="19">
        <f ca="1">IF('Stock Price'!$I$11="OK",L1089/INDEX(L$5:L$1258,'Stock Price'!$I$9)-1,"")</f>
        <v>-6.9315300084530906E-2</v>
      </c>
      <c r="Z1089" s="19">
        <f ca="1">IF('Stock Price'!$I$11="OK",M1089/INDEX(M$5:M$1258,'Stock Price'!$I$9)-1,"")</f>
        <v>0.42405063291139222</v>
      </c>
    </row>
    <row r="1090" spans="1:26" x14ac:dyDescent="0.2">
      <c r="A1090" s="16">
        <f>'Stock Price'!A1090</f>
        <v>46055</v>
      </c>
      <c r="B1090" s="17">
        <f>'Stock Price'!E1090</f>
        <v>225.64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1044.1300000000001</v>
      </c>
      <c r="L1090" s="18">
        <v>55.89</v>
      </c>
      <c r="M1090" s="18">
        <v>230.75</v>
      </c>
      <c r="O1090" s="19">
        <f ca="1">IF('Stock Price'!$I$11="OK",B1090/INDEX(B$5:B$1258,'Stock Price'!$I$9)-1,"")</f>
        <v>1.0604511003561314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3.5214134153206604</v>
      </c>
      <c r="Y1090" s="19">
        <f ca="1">IF('Stock Price'!$I$11="OK",L1090/INDEX(L$5:L$1258,'Stock Price'!$I$9)-1,"")</f>
        <v>-5.5114116652578149E-2</v>
      </c>
      <c r="Z1090" s="19">
        <f ca="1">IF('Stock Price'!$I$11="OK",M1090/INDEX(M$5:M$1258,'Stock Price'!$I$9)-1,"")</f>
        <v>0.4459832059155282</v>
      </c>
    </row>
    <row r="1091" spans="1:26" x14ac:dyDescent="0.2">
      <c r="A1091" s="16">
        <f>'Stock Price'!A1091</f>
        <v>46056</v>
      </c>
      <c r="B1091" s="17">
        <f>'Stock Price'!E1091</f>
        <v>225.66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1003.46</v>
      </c>
      <c r="L1091" s="18">
        <v>55.99</v>
      </c>
      <c r="M1091" s="18">
        <v>233.1</v>
      </c>
      <c r="O1091" s="19">
        <f ca="1">IF('Stock Price'!$I$11="OK",B1091/INDEX(B$5:B$1258,'Stock Price'!$I$9)-1,"")</f>
        <v>1.0606337320792623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3.3452994413891659</v>
      </c>
      <c r="Y1091" s="19">
        <f ca="1">IF('Stock Price'!$I$11="OK",L1091/INDEX(L$5:L$1258,'Stock Price'!$I$9)-1,"")</f>
        <v>-5.3423499577345712E-2</v>
      </c>
      <c r="Z1091" s="19">
        <f ca="1">IF('Stock Price'!$I$11="OK",M1091/INDEX(M$5:M$1258,'Stock Price'!$I$9)-1,"")</f>
        <v>0.46070936207544788</v>
      </c>
    </row>
    <row r="1092" spans="1:26" x14ac:dyDescent="0.2">
      <c r="A1092" s="16">
        <f>'Stock Price'!A1092</f>
        <v>46057</v>
      </c>
      <c r="B1092" s="17">
        <f>'Stock Price'!E1092</f>
        <v>217.11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1107.1199999999999</v>
      </c>
      <c r="L1092" s="18">
        <v>57.62</v>
      </c>
      <c r="M1092" s="18">
        <v>234.47</v>
      </c>
      <c r="O1092" s="19">
        <f ca="1">IF('Stock Price'!$I$11="OK",B1092/INDEX(B$5:B$1258,'Stock Price'!$I$9)-1,"")</f>
        <v>0.9825586704410556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3.7941800545619877</v>
      </c>
      <c r="Y1092" s="19">
        <f ca="1">IF('Stock Price'!$I$11="OK",L1092/INDEX(L$5:L$1258,'Stock Price'!$I$9)-1,"")</f>
        <v>-2.5866441251056638E-2</v>
      </c>
      <c r="Z1092" s="19">
        <f ca="1">IF('Stock Price'!$I$11="OK",M1092/INDEX(M$5:M$1258,'Stock Price'!$I$9)-1,"")</f>
        <v>0.46929439779420967</v>
      </c>
    </row>
    <row r="1093" spans="1:26" x14ac:dyDescent="0.2">
      <c r="A1093" s="16">
        <f>'Stock Price'!A1093</f>
        <v>46058</v>
      </c>
      <c r="B1093" s="17">
        <f>'Stock Price'!E1093</f>
        <v>219.02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1020.84</v>
      </c>
      <c r="L1093" s="18">
        <v>59.52</v>
      </c>
      <c r="M1093" s="18">
        <v>237.79</v>
      </c>
      <c r="O1093" s="19">
        <f ca="1">IF('Stock Price'!$I$11="OK",B1093/INDEX(B$5:B$1258,'Stock Price'!$I$9)-1,"")</f>
        <v>1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3.4205603429610703</v>
      </c>
      <c r="Y1093" s="19">
        <f ca="1">IF('Stock Price'!$I$11="OK",L1093/INDEX(L$5:L$1258,'Stock Price'!$I$9)-1,"")</f>
        <v>6.2552831783602159E-3</v>
      </c>
      <c r="Z1093" s="19">
        <f ca="1">IF('Stock Price'!$I$11="OK",M1093/INDEX(M$5:M$1258,'Stock Price'!$I$9)-1,"")</f>
        <v>0.49009900990098987</v>
      </c>
    </row>
    <row r="1094" spans="1:26" x14ac:dyDescent="0.2">
      <c r="A1094" s="16">
        <f>'Stock Price'!A1094</f>
        <v>46059</v>
      </c>
      <c r="B1094" s="17">
        <f>'Stock Price'!E1094</f>
        <v>223.43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1058.18</v>
      </c>
      <c r="L1094" s="18">
        <v>61.99</v>
      </c>
      <c r="M1094" s="18">
        <v>239.99</v>
      </c>
      <c r="O1094" s="19">
        <f ca="1">IF('Stock Price'!$I$11="OK",B1094/INDEX(B$5:B$1258,'Stock Price'!$I$9)-1,"")</f>
        <v>1.0402702949502327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3.5822543627939201</v>
      </c>
      <c r="Y1094" s="19">
        <f ca="1">IF('Stock Price'!$I$11="OK",L1094/INDEX(L$5:L$1258,'Stock Price'!$I$9)-1,"")</f>
        <v>4.8013524936601826E-2</v>
      </c>
      <c r="Z1094" s="19">
        <f ca="1">IF('Stock Price'!$I$11="OK",M1094/INDEX(M$5:M$1258,'Stock Price'!$I$9)-1,"")</f>
        <v>0.50388519864644676</v>
      </c>
    </row>
    <row r="1095" spans="1:26" x14ac:dyDescent="0.2">
      <c r="A1095" s="16">
        <f>'Stock Price'!A1095</f>
        <v>46062</v>
      </c>
      <c r="B1095" s="17">
        <f>'Stock Price'!E1095</f>
        <v>223.26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1044.67</v>
      </c>
      <c r="L1095" s="18">
        <v>60.77</v>
      </c>
      <c r="M1095" s="18">
        <v>238.64</v>
      </c>
      <c r="O1095" s="19">
        <f ca="1">IF('Stock Price'!$I$11="OK",B1095/INDEX(B$5:B$1258,'Stock Price'!$I$9)-1,"")</f>
        <v>1.0387179253036249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3.5237517862555752</v>
      </c>
      <c r="Y1095" s="19">
        <f ca="1">IF('Stock Price'!$I$11="OK",L1095/INDEX(L$5:L$1258,'Stock Price'!$I$9)-1,"")</f>
        <v>2.7387996618766008E-2</v>
      </c>
      <c r="Z1095" s="19">
        <f ca="1">IF('Stock Price'!$I$11="OK",M1095/INDEX(M$5:M$1258,'Stock Price'!$I$9)-1,"")</f>
        <v>0.49542549191627994</v>
      </c>
    </row>
    <row r="1096" spans="1:26" x14ac:dyDescent="0.2">
      <c r="A1096" s="16">
        <f>'Stock Price'!A1096</f>
        <v>46063</v>
      </c>
      <c r="B1096" s="17">
        <f>'Stock Price'!E1096</f>
        <v>222.44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1025</v>
      </c>
      <c r="L1096" s="18">
        <v>60.86</v>
      </c>
      <c r="M1096" s="18">
        <v>238.35</v>
      </c>
      <c r="O1096" s="19">
        <f ca="1">IF('Stock Price'!$I$11="OK",B1096/INDEX(B$5:B$1258,'Stock Price'!$I$9)-1,"")</f>
        <v>1.0312300246552826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3.4385744597930108</v>
      </c>
      <c r="Y1096" s="19">
        <f ca="1">IF('Stock Price'!$I$11="OK",L1096/INDEX(L$5:L$1258,'Stock Price'!$I$9)-1,"")</f>
        <v>2.8909551986475046E-2</v>
      </c>
      <c r="Z1096" s="19">
        <f ca="1">IF('Stock Price'!$I$11="OK",M1096/INDEX(M$5:M$1258,'Stock Price'!$I$9)-1,"")</f>
        <v>0.49360822158165174</v>
      </c>
    </row>
    <row r="1097" spans="1:26" x14ac:dyDescent="0.2">
      <c r="A1097" s="16">
        <f>'Stock Price'!A1097</f>
        <v>46064</v>
      </c>
      <c r="B1097" s="17">
        <f>'Stock Price'!E1097</f>
        <v>220.89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1015.21</v>
      </c>
      <c r="L1097" s="18">
        <v>59.93</v>
      </c>
      <c r="M1097" s="18">
        <v>240.86</v>
      </c>
      <c r="O1097" s="19">
        <f ca="1">IF('Stock Price'!$I$11="OK",B1097/INDEX(B$5:B$1258,'Stock Price'!$I$9)-1,"")</f>
        <v>1.0170760661126836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3.396180660806305</v>
      </c>
      <c r="Y1097" s="19">
        <f ca="1">IF('Stock Price'!$I$11="OK",L1097/INDEX(L$5:L$1258,'Stock Price'!$I$9)-1,"")</f>
        <v>1.318681318681314E-2</v>
      </c>
      <c r="Z1097" s="19">
        <f ca="1">IF('Stock Price'!$I$11="OK",M1097/INDEX(M$5:M$1258,'Stock Price'!$I$9)-1,"")</f>
        <v>0.50933700965033202</v>
      </c>
    </row>
    <row r="1098" spans="1:26" x14ac:dyDescent="0.2">
      <c r="A1098" s="16">
        <f>'Stock Price'!A1098</f>
        <v>46065</v>
      </c>
      <c r="B1098" s="17">
        <f>'Stock Price'!E1098</f>
        <v>227.5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1038.27</v>
      </c>
      <c r="L1098" s="18">
        <v>59.86</v>
      </c>
      <c r="M1098" s="18">
        <v>244.55</v>
      </c>
      <c r="O1098" s="19">
        <f ca="1">IF('Stock Price'!$I$11="OK",B1098/INDEX(B$5:B$1258,'Stock Price'!$I$9)-1,"")</f>
        <v>1.0774358506072503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3.4960377603602817</v>
      </c>
      <c r="Y1098" s="19">
        <f ca="1">IF('Stock Price'!$I$11="OK",L1098/INDEX(L$5:L$1258,'Stock Price'!$I$9)-1,"")</f>
        <v>1.2003381234150456E-2</v>
      </c>
      <c r="Z1098" s="19">
        <f ca="1">IF('Stock Price'!$I$11="OK",M1098/INDEX(M$5:M$1258,'Stock Price'!$I$9)-1,"")</f>
        <v>0.53246020804612093</v>
      </c>
    </row>
    <row r="1099" spans="1:26" x14ac:dyDescent="0.2">
      <c r="A1099" s="16">
        <f>'Stock Price'!A1099</f>
        <v>46066</v>
      </c>
      <c r="B1099" s="17">
        <f>'Stock Price'!E1099</f>
        <v>231.5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1040</v>
      </c>
      <c r="L1099" s="18">
        <v>60.74</v>
      </c>
      <c r="M1099" s="18">
        <v>243.45</v>
      </c>
      <c r="O1099" s="19">
        <f ca="1">IF('Stock Price'!$I$11="OK",B1099/INDEX(B$5:B$1258,'Stock Price'!$I$9)-1,"")</f>
        <v>1.1139621952333121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3.5035292079851033</v>
      </c>
      <c r="Y1099" s="19">
        <f ca="1">IF('Stock Price'!$I$11="OK",L1099/INDEX(L$5:L$1258,'Stock Price'!$I$9)-1,"")</f>
        <v>2.6880811496196255E-2</v>
      </c>
      <c r="Z1099" s="19">
        <f ca="1">IF('Stock Price'!$I$11="OK",M1099/INDEX(M$5:M$1258,'Stock Price'!$I$9)-1,"")</f>
        <v>0.52556711367339237</v>
      </c>
    </row>
    <row r="1100" spans="1:26" x14ac:dyDescent="0.2">
      <c r="A1100" s="16">
        <f>'Stock Price'!A1100</f>
        <v>46070</v>
      </c>
      <c r="B1100" s="17">
        <f>'Stock Price'!E1100</f>
        <v>232.86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1036.05</v>
      </c>
      <c r="L1100" s="18">
        <v>60.35</v>
      </c>
      <c r="M1100" s="18">
        <v>243.33</v>
      </c>
      <c r="O1100" s="19">
        <f ca="1">IF('Stock Price'!$I$11="OK",B1100/INDEX(B$5:B$1258,'Stock Price'!$I$9)-1,"")</f>
        <v>1.1263811524061729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3.4864244576278525</v>
      </c>
      <c r="Y1100" s="19">
        <f ca="1">IF('Stock Price'!$I$11="OK",L1100/INDEX(L$5:L$1258,'Stock Price'!$I$9)-1,"")</f>
        <v>2.0287404902789463E-2</v>
      </c>
      <c r="Z1100" s="19">
        <f ca="1">IF('Stock Price'!$I$11="OK",M1100/INDEX(M$5:M$1258,'Stock Price'!$I$9)-1,"")</f>
        <v>0.52481513974182215</v>
      </c>
    </row>
    <row r="1101" spans="1:26" x14ac:dyDescent="0.2">
      <c r="A1101" s="16">
        <f>'Stock Price'!A1101</f>
        <v>46071</v>
      </c>
      <c r="B1101" s="17">
        <f>'Stock Price'!E1101</f>
        <v>228.72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1020.56</v>
      </c>
      <c r="L1101" s="18">
        <v>59.73</v>
      </c>
      <c r="M1101" s="18">
        <v>244.99</v>
      </c>
      <c r="O1101" s="19">
        <f ca="1">IF('Stock Price'!$I$11="OK",B1101/INDEX(B$5:B$1258,'Stock Price'!$I$9)-1,"")</f>
        <v>1.0885763857181989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3.4193478543281506</v>
      </c>
      <c r="Y1101" s="19">
        <f ca="1">IF('Stock Price'!$I$11="OK",L1101/INDEX(L$5:L$1258,'Stock Price'!$I$9)-1,"")</f>
        <v>9.8055790363482664E-3</v>
      </c>
      <c r="Z1101" s="19">
        <f ca="1">IF('Stock Price'!$I$11="OK",M1101/INDEX(M$5:M$1258,'Stock Price'!$I$9)-1,"")</f>
        <v>0.53521744579521235</v>
      </c>
    </row>
    <row r="1102" spans="1:26" x14ac:dyDescent="0.2">
      <c r="A1102" s="16">
        <f>'Stock Price'!A1102</f>
        <v>46072</v>
      </c>
      <c r="B1102" s="17">
        <f>'Stock Price'!E1102</f>
        <v>224.35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1023.22</v>
      </c>
      <c r="L1102" s="18">
        <v>60.3</v>
      </c>
      <c r="M1102" s="18">
        <v>246.91</v>
      </c>
      <c r="O1102" s="19">
        <f ca="1">IF('Stock Price'!$I$11="OK",B1102/INDEX(B$5:B$1258,'Stock Price'!$I$9)-1,"")</f>
        <v>1.048671354214227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3.4308664963408821</v>
      </c>
      <c r="Y1102" s="19">
        <f ca="1">IF('Stock Price'!$I$11="OK",L1102/INDEX(L$5:L$1258,'Stock Price'!$I$9)-1,"")</f>
        <v>1.9442096365173356E-2</v>
      </c>
      <c r="Z1102" s="19">
        <f ca="1">IF('Stock Price'!$I$11="OK",M1102/INDEX(M$5:M$1258,'Stock Price'!$I$9)-1,"")</f>
        <v>0.5472490287003382</v>
      </c>
    </row>
    <row r="1103" spans="1:26" x14ac:dyDescent="0.2">
      <c r="A1103" s="16">
        <f>'Stock Price'!A1103</f>
        <v>46073</v>
      </c>
      <c r="B1103" s="17">
        <f>'Stock Price'!E1103</f>
        <v>224.81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1009.52</v>
      </c>
      <c r="L1103" s="18">
        <v>60.66</v>
      </c>
      <c r="M1103" s="18">
        <v>242.49</v>
      </c>
      <c r="O1103" s="19">
        <f ca="1">IF('Stock Price'!$I$11="OK",B1103/INDEX(B$5:B$1258,'Stock Price'!$I$9)-1,"")</f>
        <v>1.0528718838462239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3.3715411596587712</v>
      </c>
      <c r="Y1103" s="19">
        <f ca="1">IF('Stock Price'!$I$11="OK",L1103/INDEX(L$5:L$1258,'Stock Price'!$I$9)-1,"")</f>
        <v>2.5528317836010173E-2</v>
      </c>
      <c r="Z1103" s="19">
        <f ca="1">IF('Stock Price'!$I$11="OK",M1103/INDEX(M$5:M$1258,'Stock Price'!$I$9)-1,"")</f>
        <v>0.51955132222082967</v>
      </c>
    </row>
    <row r="1104" spans="1:26" x14ac:dyDescent="0.2">
      <c r="A1104" s="16">
        <f>'Stock Price'!A1104</f>
        <v>46076</v>
      </c>
      <c r="B1104" s="17">
        <f>'Stock Price'!E1104</f>
        <v>229.48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1058.56</v>
      </c>
      <c r="L1104" s="18">
        <v>61.25</v>
      </c>
      <c r="M1104" s="18">
        <v>245.84</v>
      </c>
      <c r="O1104" s="19">
        <f ca="1">IF('Stock Price'!$I$11="OK",B1104/INDEX(B$5:B$1258,'Stock Price'!$I$9)-1,"")</f>
        <v>1.0955163911971506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3.583899883081453</v>
      </c>
      <c r="Y1104" s="19">
        <f ca="1">IF('Stock Price'!$I$11="OK",L1104/INDEX(L$5:L$1258,'Stock Price'!$I$9)-1,"")</f>
        <v>3.5502958579881616E-2</v>
      </c>
      <c r="Z1104" s="19">
        <f ca="1">IF('Stock Price'!$I$11="OK",M1104/INDEX(M$5:M$1258,'Stock Price'!$I$9)-1,"")</f>
        <v>0.54054392781050242</v>
      </c>
    </row>
    <row r="1105" spans="1:26" x14ac:dyDescent="0.2">
      <c r="A1105" s="16">
        <f>'Stock Price'!A1105</f>
        <v>46077</v>
      </c>
      <c r="B1105" s="17">
        <f>'Stock Price'!E1105</f>
        <v>228.44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1042.1500000000001</v>
      </c>
      <c r="L1105" s="18">
        <v>61.6</v>
      </c>
      <c r="M1105" s="18">
        <v>246.28</v>
      </c>
      <c r="O1105" s="19">
        <f ca="1">IF('Stock Price'!$I$11="OK",B1105/INDEX(B$5:B$1258,'Stock Price'!$I$9)-1,"")</f>
        <v>1.086019541594375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3.5128393885593043</v>
      </c>
      <c r="Y1105" s="19">
        <f ca="1">IF('Stock Price'!$I$11="OK",L1105/INDEX(L$5:L$1258,'Stock Price'!$I$9)-1,"")</f>
        <v>4.1420118343195256E-2</v>
      </c>
      <c r="Z1105" s="19">
        <f ca="1">IF('Stock Price'!$I$11="OK",M1105/INDEX(M$5:M$1258,'Stock Price'!$I$9)-1,"")</f>
        <v>0.54330116555959385</v>
      </c>
    </row>
    <row r="1106" spans="1:26" x14ac:dyDescent="0.2">
      <c r="A1106" s="16">
        <f>'Stock Price'!A1106</f>
        <v>46078</v>
      </c>
      <c r="B1106" s="17">
        <f>'Stock Price'!E1106</f>
        <v>226.92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1028.83</v>
      </c>
      <c r="L1106" s="18">
        <v>61.3</v>
      </c>
      <c r="M1106" s="18">
        <v>245.17</v>
      </c>
      <c r="O1106" s="19">
        <f ca="1">IF('Stock Price'!$I$11="OK",B1106/INDEX(B$5:B$1258,'Stock Price'!$I$9)-1,"")</f>
        <v>1.0721395306364712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3.4551595721647246</v>
      </c>
      <c r="Y1106" s="19">
        <f ca="1">IF('Stock Price'!$I$11="OK",L1106/INDEX(L$5:L$1258,'Stock Price'!$I$9)-1,"")</f>
        <v>3.6348267117497945E-2</v>
      </c>
      <c r="Z1106" s="19">
        <f ca="1">IF('Stock Price'!$I$11="OK",M1106/INDEX(M$5:M$1258,'Stock Price'!$I$9)-1,"")</f>
        <v>0.53634540669256769</v>
      </c>
    </row>
    <row r="1107" spans="1:26" x14ac:dyDescent="0.2">
      <c r="A1107" s="16">
        <f>'Stock Price'!A1107</f>
        <v>46079</v>
      </c>
      <c r="B1107" s="17">
        <f>'Stock Price'!E1107</f>
        <v>224.69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1022.02</v>
      </c>
      <c r="L1107" s="18">
        <v>61.1</v>
      </c>
      <c r="M1107" s="18">
        <v>243.47</v>
      </c>
      <c r="O1107" s="19">
        <f ca="1">IF('Stock Price'!$I$11="OK",B1107/INDEX(B$5:B$1258,'Stock Price'!$I$9)-1,"")</f>
        <v>1.0517760935074421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3.4256701164855148</v>
      </c>
      <c r="Y1107" s="19">
        <f ca="1">IF('Stock Price'!$I$11="OK",L1107/INDEX(L$5:L$1258,'Stock Price'!$I$9)-1,"")</f>
        <v>3.2967032967033072E-2</v>
      </c>
      <c r="Z1107" s="19">
        <f ca="1">IF('Stock Price'!$I$11="OK",M1107/INDEX(M$5:M$1258,'Stock Price'!$I$9)-1,"")</f>
        <v>0.52569244266198756</v>
      </c>
    </row>
    <row r="1108" spans="1:26" x14ac:dyDescent="0.2">
      <c r="A1108" s="16">
        <f>'Stock Price'!A1108</f>
        <v>46080</v>
      </c>
      <c r="B1108" s="17">
        <f>'Stock Price'!E1108</f>
        <v>232.08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1051.99</v>
      </c>
      <c r="L1108" s="18">
        <v>62.37</v>
      </c>
      <c r="M1108" s="18">
        <v>248.43</v>
      </c>
      <c r="O1108" s="19">
        <f ca="1">IF('Stock Price'!$I$11="OK",B1108/INDEX(B$5:B$1258,'Stock Price'!$I$9)-1,"")</f>
        <v>1.1192585152040908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3.5554497033733163</v>
      </c>
      <c r="Y1108" s="19">
        <f ca="1">IF('Stock Price'!$I$11="OK",L1108/INDEX(L$5:L$1258,'Stock Price'!$I$9)-1,"")</f>
        <v>5.4437869822485219E-2</v>
      </c>
      <c r="Z1108" s="19">
        <f ca="1">IF('Stock Price'!$I$11="OK",M1108/INDEX(M$5:M$1258,'Stock Price'!$I$9)-1,"")</f>
        <v>0.556774031833563</v>
      </c>
    </row>
    <row r="1109" spans="1:26" x14ac:dyDescent="0.2">
      <c r="A1109" s="16">
        <f>'Stock Price'!A1109</f>
        <v>46083</v>
      </c>
      <c r="B1109" s="17">
        <f>'Stock Price'!E1109</f>
        <v>234.26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1017.97</v>
      </c>
      <c r="L1109" s="18">
        <v>62.34</v>
      </c>
      <c r="M1109" s="18">
        <v>248.56</v>
      </c>
      <c r="O1109" s="19">
        <f ca="1">IF('Stock Price'!$I$11="OK",B1109/INDEX(B$5:B$1258,'Stock Price'!$I$9)-1,"")</f>
        <v>1.1391653730252944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3.4081323344736498</v>
      </c>
      <c r="Y1109" s="19">
        <f ca="1">IF('Stock Price'!$I$11="OK",L1109/INDEX(L$5:L$1258,'Stock Price'!$I$9)-1,"")</f>
        <v>5.3930684699915465E-2</v>
      </c>
      <c r="Z1109" s="19">
        <f ca="1">IF('Stock Price'!$I$11="OK",M1109/INDEX(M$5:M$1258,'Stock Price'!$I$9)-1,"")</f>
        <v>0.55758867025943082</v>
      </c>
    </row>
    <row r="1110" spans="1:26" x14ac:dyDescent="0.2">
      <c r="A1110" s="16">
        <f>'Stock Price'!A1110</f>
        <v>46084</v>
      </c>
      <c r="B1110" s="17">
        <f>'Stock Price'!E1110</f>
        <v>233.86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1007.73</v>
      </c>
      <c r="L1110" s="18">
        <v>61.22</v>
      </c>
      <c r="M1110" s="18">
        <v>246.75</v>
      </c>
      <c r="O1110" s="19">
        <f ca="1">IF('Stock Price'!$I$11="OK",B1110/INDEX(B$5:B$1258,'Stock Price'!$I$9)-1,"")</f>
        <v>1.1355127385626882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3.3637898930411811</v>
      </c>
      <c r="Y1110" s="19">
        <f ca="1">IF('Stock Price'!$I$11="OK",L1110/INDEX(L$5:L$1258,'Stock Price'!$I$9)-1,"")</f>
        <v>3.4995773457311863E-2</v>
      </c>
      <c r="Z1110" s="19">
        <f ca="1">IF('Stock Price'!$I$11="OK",M1110/INDEX(M$5:M$1258,'Stock Price'!$I$9)-1,"")</f>
        <v>0.54624639679157783</v>
      </c>
    </row>
    <row r="1111" spans="1:26" x14ac:dyDescent="0.2">
      <c r="A1111" s="16">
        <f>'Stock Price'!A1111</f>
        <v>46085</v>
      </c>
      <c r="B1111" s="17">
        <f>'Stock Price'!E1111</f>
        <v>236.19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1003.57</v>
      </c>
      <c r="L1111" s="18">
        <v>62.33</v>
      </c>
      <c r="M1111" s="18">
        <v>245.3</v>
      </c>
      <c r="O1111" s="19">
        <f ca="1">IF('Stock Price'!$I$11="OK",B1111/INDEX(B$5:B$1258,'Stock Price'!$I$9)-1,"")</f>
        <v>1.1567893343073692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3.3457757762092406</v>
      </c>
      <c r="Y1111" s="19">
        <f ca="1">IF('Stock Price'!$I$11="OK",L1111/INDEX(L$5:L$1258,'Stock Price'!$I$9)-1,"")</f>
        <v>5.3761622992392288E-2</v>
      </c>
      <c r="Z1111" s="19">
        <f ca="1">IF('Stock Price'!$I$11="OK",M1111/INDEX(M$5:M$1258,'Stock Price'!$I$9)-1,"")</f>
        <v>0.53716004511843574</v>
      </c>
    </row>
    <row r="1112" spans="1:26" x14ac:dyDescent="0.2">
      <c r="A1112" s="16">
        <f>'Stock Price'!A1112</f>
        <v>46086</v>
      </c>
      <c r="B1112" s="17">
        <f>'Stock Price'!E1112</f>
        <v>232.35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983.26</v>
      </c>
      <c r="L1112" s="18">
        <v>60.74</v>
      </c>
      <c r="M1112" s="18">
        <v>239.63</v>
      </c>
      <c r="O1112" s="19">
        <f ca="1">IF('Stock Price'!$I$11="OK",B1112/INDEX(B$5:B$1258,'Stock Price'!$I$9)-1,"")</f>
        <v>1.12172404346635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3.2578270471571473</v>
      </c>
      <c r="Y1112" s="19">
        <f ca="1">IF('Stock Price'!$I$11="OK",L1112/INDEX(L$5:L$1258,'Stock Price'!$I$9)-1,"")</f>
        <v>2.6880811496196255E-2</v>
      </c>
      <c r="Z1112" s="19">
        <f ca="1">IF('Stock Price'!$I$11="OK",M1112/INDEX(M$5:M$1258,'Stock Price'!$I$9)-1,"")</f>
        <v>0.50162927685173564</v>
      </c>
    </row>
    <row r="1113" spans="1:26" x14ac:dyDescent="0.2">
      <c r="A1113" s="16">
        <f>'Stock Price'!A1113</f>
        <v>46087</v>
      </c>
      <c r="B1113" s="17">
        <f>'Stock Price'!E1113</f>
        <v>230.11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990.33</v>
      </c>
      <c r="L1113" s="18">
        <v>60.29</v>
      </c>
      <c r="M1113" s="18">
        <v>240.4</v>
      </c>
      <c r="O1113" s="19">
        <f ca="1">IF('Stock Price'!$I$11="OK",B1113/INDEX(B$5:B$1258,'Stock Price'!$I$9)-1,"")</f>
        <v>1.1012692904757557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3.288442385138354</v>
      </c>
      <c r="Y1113" s="19">
        <f ca="1">IF('Stock Price'!$I$11="OK",L1113/INDEX(L$5:L$1258,'Stock Price'!$I$9)-1,"")</f>
        <v>1.9273034657649957E-2</v>
      </c>
      <c r="Z1113" s="19">
        <f ca="1">IF('Stock Price'!$I$11="OK",M1113/INDEX(M$5:M$1258,'Stock Price'!$I$9)-1,"")</f>
        <v>0.50645444291264563</v>
      </c>
    </row>
    <row r="1114" spans="1:26" x14ac:dyDescent="0.2">
      <c r="A1114" s="16">
        <f>'Stock Price'!A1114</f>
        <v>46090</v>
      </c>
      <c r="B1114" s="17">
        <f>'Stock Price'!E1114</f>
        <v>227.45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1008.39</v>
      </c>
      <c r="L1114" s="18">
        <v>60.63</v>
      </c>
      <c r="M1114" s="18">
        <v>242.59</v>
      </c>
      <c r="O1114" s="19">
        <f ca="1">IF('Stock Price'!$I$11="OK",B1114/INDEX(B$5:B$1258,'Stock Price'!$I$9)-1,"")</f>
        <v>1.0769792712994244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3.3666479019616329</v>
      </c>
      <c r="Y1114" s="19">
        <f ca="1">IF('Stock Price'!$I$11="OK",L1114/INDEX(L$5:L$1258,'Stock Price'!$I$9)-1,"")</f>
        <v>2.5021132713440419E-2</v>
      </c>
      <c r="Z1114" s="19">
        <f ca="1">IF('Stock Price'!$I$11="OK",M1114/INDEX(M$5:M$1258,'Stock Price'!$I$9)-1,"")</f>
        <v>0.52017796716380493</v>
      </c>
    </row>
    <row r="1115" spans="1:26" x14ac:dyDescent="0.2">
      <c r="A1115" s="16">
        <f>'Stock Price'!A1115</f>
        <v>46091</v>
      </c>
      <c r="B1115" s="17">
        <f>'Stock Price'!E1115</f>
        <v>227.01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1001.35</v>
      </c>
      <c r="L1115" s="18">
        <v>60.13</v>
      </c>
      <c r="M1115" s="18">
        <v>243.71</v>
      </c>
      <c r="O1115" s="19">
        <f ca="1">IF('Stock Price'!$I$11="OK",B1115/INDEX(B$5:B$1258,'Stock Price'!$I$9)-1,"")</f>
        <v>1.0729613733905579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3.3361624734768114</v>
      </c>
      <c r="Y1115" s="19">
        <f ca="1">IF('Stock Price'!$I$11="OK",L1115/INDEX(L$5:L$1258,'Stock Price'!$I$9)-1,"")</f>
        <v>1.6568047337278236E-2</v>
      </c>
      <c r="Z1115" s="19">
        <f ca="1">IF('Stock Price'!$I$11="OK",M1115/INDEX(M$5:M$1258,'Stock Price'!$I$9)-1,"")</f>
        <v>0.52719639052512846</v>
      </c>
    </row>
    <row r="1116" spans="1:26" x14ac:dyDescent="0.2">
      <c r="A1116" s="16">
        <f>'Stock Price'!A1116</f>
        <v>46092</v>
      </c>
      <c r="B1116" s="17">
        <f>'Stock Price'!E1116</f>
        <v>227.68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999.84</v>
      </c>
      <c r="L1116" s="18">
        <v>59.98</v>
      </c>
      <c r="M1116" s="18">
        <v>242.99</v>
      </c>
      <c r="O1116" s="19">
        <f ca="1">IF('Stock Price'!$I$11="OK",B1116/INDEX(B$5:B$1258,'Stock Price'!$I$9)-1,"")</f>
        <v>1.0790795361154233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3.3296236954921401</v>
      </c>
      <c r="Y1116" s="19">
        <f ca="1">IF('Stock Price'!$I$11="OK",L1116/INDEX(L$5:L$1258,'Stock Price'!$I$9)-1,"")</f>
        <v>1.4032121724429469E-2</v>
      </c>
      <c r="Z1116" s="19">
        <f ca="1">IF('Stock Price'!$I$11="OK",M1116/INDEX(M$5:M$1258,'Stock Price'!$I$9)-1,"")</f>
        <v>0.52268454693570621</v>
      </c>
    </row>
    <row r="1117" spans="1:26" x14ac:dyDescent="0.2">
      <c r="A1117" s="16">
        <f>'Stock Price'!A1117</f>
        <v>46093</v>
      </c>
      <c r="B1117" s="17">
        <f>'Stock Price'!E1117</f>
        <v>225.37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977.25</v>
      </c>
      <c r="L1117" s="18">
        <v>58.95</v>
      </c>
      <c r="M1117" s="18">
        <v>242.04</v>
      </c>
      <c r="O1117" s="19">
        <f ca="1">IF('Stock Price'!$I$11="OK",B1117/INDEX(B$5:B$1258,'Stock Price'!$I$9)-1,"")</f>
        <v>1.0579855720938727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3.2318018447148482</v>
      </c>
      <c r="Y1117" s="19">
        <f ca="1">IF('Stock Price'!$I$11="OK",L1117/INDEX(L$5:L$1258,'Stock Price'!$I$9)-1,"")</f>
        <v>-3.3812341504648735E-3</v>
      </c>
      <c r="Z1117" s="19">
        <f ca="1">IF('Stock Price'!$I$11="OK",M1117/INDEX(M$5:M$1258,'Stock Price'!$I$9)-1,"")</f>
        <v>0.51673141997744065</v>
      </c>
    </row>
    <row r="1118" spans="1:26" x14ac:dyDescent="0.2">
      <c r="A1118" s="16">
        <f>'Stock Price'!A1118</f>
        <v>46094</v>
      </c>
      <c r="B1118" s="17">
        <f>'Stock Price'!E1118</f>
        <v>219.68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985.08</v>
      </c>
      <c r="L1118" s="18">
        <v>59.08</v>
      </c>
      <c r="M1118" s="18">
        <v>241.52</v>
      </c>
      <c r="O1118" s="19">
        <f ca="1">IF('Stock Price'!$I$11="OK",B1118/INDEX(B$5:B$1258,'Stock Price'!$I$9)-1,"")</f>
        <v>1.0060268468633002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3.2657082232711208</v>
      </c>
      <c r="Y1118" s="19">
        <f ca="1">IF('Stock Price'!$I$11="OK",L1118/INDEX(L$5:L$1258,'Stock Price'!$I$9)-1,"")</f>
        <v>-1.1834319526626835E-3</v>
      </c>
      <c r="Z1118" s="19">
        <f ca="1">IF('Stock Price'!$I$11="OK",M1118/INDEX(M$5:M$1258,'Stock Price'!$I$9)-1,"")</f>
        <v>0.51347286627396915</v>
      </c>
    </row>
    <row r="1119" spans="1:26" x14ac:dyDescent="0.2">
      <c r="A1119" s="16">
        <f>'Stock Price'!A1119</f>
        <v>46097</v>
      </c>
      <c r="B1119" s="17">
        <f>'Stock Price'!E1119</f>
        <v>221.45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989.12</v>
      </c>
      <c r="L1119" s="18">
        <v>59.71</v>
      </c>
      <c r="M1119" s="18">
        <v>243.19</v>
      </c>
      <c r="O1119" s="19">
        <f ca="1">IF('Stock Price'!$I$11="OK",B1119/INDEX(B$5:B$1258,'Stock Price'!$I$9)-1,"")</f>
        <v>1.022189754360332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3.2832027021175243</v>
      </c>
      <c r="Y1119" s="19">
        <f ca="1">IF('Stock Price'!$I$11="OK",L1119/INDEX(L$5:L$1258,'Stock Price'!$I$9)-1,"")</f>
        <v>9.4674556213019123E-3</v>
      </c>
      <c r="Z1119" s="19">
        <f ca="1">IF('Stock Price'!$I$11="OK",M1119/INDEX(M$5:M$1258,'Stock Price'!$I$9)-1,"")</f>
        <v>0.52393783682165673</v>
      </c>
    </row>
    <row r="1120" spans="1:26" x14ac:dyDescent="0.2">
      <c r="A1120" s="16">
        <f>'Stock Price'!A1120</f>
        <v>46098</v>
      </c>
      <c r="B1120" s="17">
        <f>'Stock Price'!E1120</f>
        <v>219.76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930.35</v>
      </c>
      <c r="L1120" s="18">
        <v>59.71</v>
      </c>
      <c r="M1120" s="18">
        <v>238.11</v>
      </c>
      <c r="O1120" s="19">
        <f ca="1">IF('Stock Price'!$I$11="OK",B1120/INDEX(B$5:B$1258,'Stock Price'!$I$9)-1,"")</f>
        <v>1.0067573737558213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3.0287099987009052</v>
      </c>
      <c r="Y1120" s="19">
        <f ca="1">IF('Stock Price'!$I$11="OK",L1120/INDEX(L$5:L$1258,'Stock Price'!$I$9)-1,"")</f>
        <v>9.4674556213019123E-3</v>
      </c>
      <c r="Z1120" s="19">
        <f ca="1">IF('Stock Price'!$I$11="OK",M1120/INDEX(M$5:M$1258,'Stock Price'!$I$9)-1,"")</f>
        <v>0.49210427371851106</v>
      </c>
    </row>
    <row r="1121" spans="1:26" x14ac:dyDescent="0.2">
      <c r="A1121" s="16">
        <f>'Stock Price'!A1121</f>
        <v>46099</v>
      </c>
      <c r="B1121" s="17">
        <f>'Stock Price'!E1121</f>
        <v>208.34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918.05</v>
      </c>
      <c r="L1121" s="18">
        <v>59.37</v>
      </c>
      <c r="M1121" s="18">
        <v>237.28</v>
      </c>
      <c r="O1121" s="19">
        <f ca="1">IF('Stock Price'!$I$11="OK",B1121/INDEX(B$5:B$1258,'Stock Price'!$I$9)-1,"")</f>
        <v>0.90247465984841568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2.9754471051833886</v>
      </c>
      <c r="Y1121" s="19">
        <f ca="1">IF('Stock Price'!$I$11="OK",L1121/INDEX(L$5:L$1258,'Stock Price'!$I$9)-1,"")</f>
        <v>3.7193575655114497E-3</v>
      </c>
      <c r="Z1121" s="19">
        <f ca="1">IF('Stock Price'!$I$11="OK",M1121/INDEX(M$5:M$1258,'Stock Price'!$I$9)-1,"")</f>
        <v>0.48690312069181596</v>
      </c>
    </row>
    <row r="1122" spans="1:26" x14ac:dyDescent="0.2">
      <c r="A1122" s="16">
        <f>'Stock Price'!A1122</f>
        <v>46100</v>
      </c>
      <c r="B1122" s="17">
        <f>'Stock Price'!E1122</f>
        <v>206.23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917.5</v>
      </c>
      <c r="L1122" s="18">
        <v>58.11</v>
      </c>
      <c r="M1122" s="18">
        <v>237.6</v>
      </c>
      <c r="O1122" s="19">
        <f ca="1">IF('Stock Price'!$I$11="OK",B1122/INDEX(B$5:B$1258,'Stock Price'!$I$9)-1,"")</f>
        <v>0.88320701305816796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2.973065431083012</v>
      </c>
      <c r="Y1122" s="19">
        <f ca="1">IF('Stock Price'!$I$11="OK",L1122/INDEX(L$5:L$1258,'Stock Price'!$I$9)-1,"")</f>
        <v>-1.758241758241752E-2</v>
      </c>
      <c r="Z1122" s="19">
        <f ca="1">IF('Stock Price'!$I$11="OK",M1122/INDEX(M$5:M$1258,'Stock Price'!$I$9)-1,"")</f>
        <v>0.48890838450933694</v>
      </c>
    </row>
    <row r="1123" spans="1:26" x14ac:dyDescent="0.2">
      <c r="A1123" s="16">
        <f>'Stock Price'!A1123</f>
        <v>46101</v>
      </c>
      <c r="B1123" s="17">
        <f>'Stock Price'!E1123</f>
        <v>205.07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906.7</v>
      </c>
      <c r="L1123" s="18">
        <v>57.48</v>
      </c>
      <c r="M1123" s="18">
        <v>235.37</v>
      </c>
      <c r="O1123" s="19">
        <f ca="1">IF('Stock Price'!$I$11="OK",B1123/INDEX(B$5:B$1258,'Stock Price'!$I$9)-1,"")</f>
        <v>0.87261437311661028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2.9262980123847053</v>
      </c>
      <c r="Y1123" s="19">
        <f ca="1">IF('Stock Price'!$I$11="OK",L1123/INDEX(L$5:L$1258,'Stock Price'!$I$9)-1,"")</f>
        <v>-2.8233305156382116E-2</v>
      </c>
      <c r="Z1123" s="19">
        <f ca="1">IF('Stock Price'!$I$11="OK",M1123/INDEX(M$5:M$1258,'Stock Price'!$I$9)-1,"")</f>
        <v>0.47493420228098748</v>
      </c>
    </row>
    <row r="1124" spans="1:26" x14ac:dyDescent="0.2">
      <c r="A1124" s="16">
        <f>'Stock Price'!A1124</f>
        <v>46104</v>
      </c>
      <c r="B1124" s="17">
        <f>'Stock Price'!E1124</f>
        <v>204.93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910.55</v>
      </c>
      <c r="L1124" s="18">
        <v>57</v>
      </c>
      <c r="M1124" s="18">
        <v>235.42</v>
      </c>
      <c r="O1124" s="19">
        <f ca="1">IF('Stock Price'!$I$11="OK",B1124/INDEX(B$5:B$1258,'Stock Price'!$I$9)-1,"")</f>
        <v>0.87133595105469808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2.9429697310873424</v>
      </c>
      <c r="Y1124" s="19">
        <f ca="1">IF('Stock Price'!$I$11="OK",L1124/INDEX(L$5:L$1258,'Stock Price'!$I$9)-1,"")</f>
        <v>-3.6348267117497834E-2</v>
      </c>
      <c r="Z1124" s="19">
        <f ca="1">IF('Stock Price'!$I$11="OK",M1124/INDEX(M$5:M$1258,'Stock Price'!$I$9)-1,"")</f>
        <v>0.475247524752475</v>
      </c>
    </row>
    <row r="1125" spans="1:26" x14ac:dyDescent="0.2">
      <c r="A1125" s="16">
        <f>'Stock Price'!A1125</f>
        <v>46105</v>
      </c>
      <c r="B1125" s="17">
        <f>'Stock Price'!E1125</f>
        <v>205.2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903.02</v>
      </c>
      <c r="L1125" s="18">
        <v>57.39</v>
      </c>
      <c r="M1125" s="18">
        <v>235.27</v>
      </c>
      <c r="O1125" s="19">
        <f ca="1">IF('Stock Price'!$I$11="OK",B1125/INDEX(B$5:B$1258,'Stock Price'!$I$9)-1,"")</f>
        <v>0.87380147931695706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2.9103624474949115</v>
      </c>
      <c r="Y1125" s="19">
        <f ca="1">IF('Stock Price'!$I$11="OK",L1125/INDEX(L$5:L$1258,'Stock Price'!$I$9)-1,"")</f>
        <v>-2.9754860524091264E-2</v>
      </c>
      <c r="Z1125" s="19">
        <f ca="1">IF('Stock Price'!$I$11="OK",M1125/INDEX(M$5:M$1258,'Stock Price'!$I$9)-1,"")</f>
        <v>0.47430755733801222</v>
      </c>
    </row>
    <row r="1126" spans="1:26" x14ac:dyDescent="0.2">
      <c r="A1126" s="16">
        <f>'Stock Price'!A1126</f>
        <v>46106</v>
      </c>
      <c r="B1126" s="17">
        <f>'Stock Price'!E1126</f>
        <v>207.18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916.31</v>
      </c>
      <c r="L1126" s="18">
        <v>58.94</v>
      </c>
      <c r="M1126" s="18">
        <v>239.93</v>
      </c>
      <c r="O1126" s="19">
        <f ca="1">IF('Stock Price'!$I$11="OK",B1126/INDEX(B$5:B$1258,'Stock Price'!$I$9)-1,"")</f>
        <v>0.89188201990685778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2.9679123543931056</v>
      </c>
      <c r="Y1126" s="19">
        <f ca="1">IF('Stock Price'!$I$11="OK",L1126/INDEX(L$5:L$1258,'Stock Price'!$I$9)-1,"")</f>
        <v>-3.5502958579881616E-3</v>
      </c>
      <c r="Z1126" s="19">
        <f ca="1">IF('Stock Price'!$I$11="OK",M1126/INDEX(M$5:M$1258,'Stock Price'!$I$9)-1,"")</f>
        <v>0.50350921168066165</v>
      </c>
    </row>
    <row r="1127" spans="1:26" x14ac:dyDescent="0.2">
      <c r="A1127" s="16">
        <f>'Stock Price'!A1127</f>
        <v>46107</v>
      </c>
      <c r="B1127" s="17">
        <f>'Stock Price'!E1127</f>
        <v>211.12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897</v>
      </c>
      <c r="L1127" s="18">
        <v>59.43</v>
      </c>
      <c r="M1127" s="18">
        <v>239.24</v>
      </c>
      <c r="O1127" s="19">
        <f ca="1">IF('Stock Price'!$I$11="OK",B1127/INDEX(B$5:B$1258,'Stock Price'!$I$9)-1,"")</f>
        <v>0.9278604693635284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2.8842939418871518</v>
      </c>
      <c r="Y1127" s="19">
        <f ca="1">IF('Stock Price'!$I$11="OK",L1127/INDEX(L$5:L$1258,'Stock Price'!$I$9)-1,"")</f>
        <v>4.7337278106509562E-3</v>
      </c>
      <c r="Z1127" s="19">
        <f ca="1">IF('Stock Price'!$I$11="OK",M1127/INDEX(M$5:M$1258,'Stock Price'!$I$9)-1,"")</f>
        <v>0.49918536157413196</v>
      </c>
    </row>
    <row r="1128" spans="1:26" x14ac:dyDescent="0.2">
      <c r="A1128" s="16">
        <f>'Stock Price'!A1128</f>
        <v>46108</v>
      </c>
      <c r="B1128" s="17">
        <f>'Stock Price'!E1128</f>
        <v>209.4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878.24</v>
      </c>
      <c r="L1128" s="18">
        <v>58.54</v>
      </c>
      <c r="M1128" s="18">
        <v>240.45</v>
      </c>
      <c r="O1128" s="19">
        <f ca="1">IF('Stock Price'!$I$11="OK",B1128/INDEX(B$5:B$1258,'Stock Price'!$I$9)-1,"")</f>
        <v>0.91215414117432192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2.8030572034815746</v>
      </c>
      <c r="Y1128" s="19">
        <f ca="1">IF('Stock Price'!$I$11="OK",L1128/INDEX(L$5:L$1258,'Stock Price'!$I$9)-1,"")</f>
        <v>-1.031276415891802E-2</v>
      </c>
      <c r="Z1128" s="19">
        <f ca="1">IF('Stock Price'!$I$11="OK",M1128/INDEX(M$5:M$1258,'Stock Price'!$I$9)-1,"")</f>
        <v>0.50676776538413315</v>
      </c>
    </row>
    <row r="1129" spans="1:26" x14ac:dyDescent="0.2">
      <c r="A1129" s="16">
        <f>'Stock Price'!A1129</f>
        <v>46111</v>
      </c>
      <c r="B1129" s="17">
        <f>'Stock Price'!E1129</f>
        <v>213.12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886.63</v>
      </c>
      <c r="L1129" s="18">
        <v>59.73</v>
      </c>
      <c r="M1129" s="18">
        <v>242.49</v>
      </c>
      <c r="O1129" s="19">
        <f ca="1">IF('Stock Price'!$I$11="OK",B1129/INDEX(B$5:B$1258,'Stock Price'!$I$9)-1,"")</f>
        <v>0.94612364167655927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2.8393885593036852</v>
      </c>
      <c r="Y1129" s="19">
        <f ca="1">IF('Stock Price'!$I$11="OK",L1129/INDEX(L$5:L$1258,'Stock Price'!$I$9)-1,"")</f>
        <v>9.8055790363482664E-3</v>
      </c>
      <c r="Z1129" s="19">
        <f ca="1">IF('Stock Price'!$I$11="OK",M1129/INDEX(M$5:M$1258,'Stock Price'!$I$9)-1,"")</f>
        <v>0.51955132222082967</v>
      </c>
    </row>
    <row r="1130" spans="1:26" x14ac:dyDescent="0.2">
      <c r="A1130" s="16">
        <f>'Stock Price'!A1130</f>
        <v>46112</v>
      </c>
      <c r="B1130" s="17">
        <f>'Stock Price'!E1130</f>
        <v>217.49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919.77</v>
      </c>
      <c r="L1130" s="18">
        <v>60.65</v>
      </c>
      <c r="M1130" s="18">
        <v>244.44</v>
      </c>
      <c r="O1130" s="19">
        <f ca="1">IF('Stock Price'!$I$11="OK",B1130/INDEX(B$5:B$1258,'Stock Price'!$I$9)-1,"")</f>
        <v>0.98602867318053145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2.9828952496427488</v>
      </c>
      <c r="Y1130" s="19">
        <f ca="1">IF('Stock Price'!$I$11="OK",L1130/INDEX(L$5:L$1258,'Stock Price'!$I$9)-1,"")</f>
        <v>2.5359256128486996E-2</v>
      </c>
      <c r="Z1130" s="19">
        <f ca="1">IF('Stock Price'!$I$11="OK",M1130/INDEX(M$5:M$1258,'Stock Price'!$I$9)-1,"")</f>
        <v>0.53177089860884807</v>
      </c>
    </row>
    <row r="1131" spans="1:26" x14ac:dyDescent="0.2">
      <c r="A1131" s="16">
        <f>'Stock Price'!A1131</f>
        <v>46113</v>
      </c>
      <c r="B1131" s="17">
        <f>'Stock Price'!E1131</f>
        <v>214.98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954.52</v>
      </c>
      <c r="L1131" s="18">
        <v>61.73</v>
      </c>
      <c r="M1131" s="18">
        <v>244.12</v>
      </c>
      <c r="O1131" s="19">
        <f ca="1">IF('Stock Price'!$I$11="OK",B1131/INDEX(B$5:B$1258,'Stock Price'!$I$9)-1,"")</f>
        <v>0.96310839192767772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3.1333737496210974</v>
      </c>
      <c r="Y1131" s="19">
        <f ca="1">IF('Stock Price'!$I$11="OK",L1131/INDEX(L$5:L$1258,'Stock Price'!$I$9)-1,"")</f>
        <v>4.3617920540997446E-2</v>
      </c>
      <c r="Z1131" s="19">
        <f ca="1">IF('Stock Price'!$I$11="OK",M1131/INDEX(M$5:M$1258,'Stock Price'!$I$9)-1,"")</f>
        <v>0.5297656347913271</v>
      </c>
    </row>
    <row r="1132" spans="1:26" x14ac:dyDescent="0.2">
      <c r="A1132" s="16">
        <f>'Stock Price'!A1132</f>
        <v>46114</v>
      </c>
      <c r="B1132" s="17">
        <f>'Stock Price'!E1132</f>
        <v>208.84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935.58</v>
      </c>
      <c r="L1132" s="18">
        <v>59.6</v>
      </c>
      <c r="M1132" s="18">
        <v>243.04</v>
      </c>
      <c r="O1132" s="19">
        <f ca="1">IF('Stock Price'!$I$11="OK",B1132/INDEX(B$5:B$1258,'Stock Price'!$I$9)-1,"")</f>
        <v>0.90704045292667335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3.0513575542372147</v>
      </c>
      <c r="Y1132" s="19">
        <f ca="1">IF('Stock Price'!$I$11="OK",L1132/INDEX(L$5:L$1258,'Stock Price'!$I$9)-1,"")</f>
        <v>7.6077768385460764E-3</v>
      </c>
      <c r="Z1132" s="19">
        <f ca="1">IF('Stock Price'!$I$11="OK",M1132/INDEX(M$5:M$1258,'Stock Price'!$I$9)-1,"")</f>
        <v>0.52299786940719373</v>
      </c>
    </row>
    <row r="1133" spans="1:26" x14ac:dyDescent="0.2">
      <c r="A1133" s="16">
        <f>'Stock Price'!A1133</f>
        <v>46118</v>
      </c>
      <c r="B1133" s="17">
        <f>'Stock Price'!E1133</f>
        <v>206.69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927.06</v>
      </c>
      <c r="L1133" s="18">
        <v>59.33</v>
      </c>
      <c r="M1133" s="18">
        <v>240.97</v>
      </c>
      <c r="O1133" s="19">
        <f ca="1">IF('Stock Price'!$I$11="OK",B1133/INDEX(B$5:B$1258,'Stock Price'!$I$9)-1,"")</f>
        <v>0.88740754269016509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3.0144632572641052</v>
      </c>
      <c r="Y1133" s="19">
        <f ca="1">IF('Stock Price'!$I$11="OK",L1133/INDEX(L$5:L$1258,'Stock Price'!$I$9)-1,"")</f>
        <v>3.0431107354185194E-3</v>
      </c>
      <c r="Z1133" s="19">
        <f ca="1">IF('Stock Price'!$I$11="OK",M1133/INDEX(M$5:M$1258,'Stock Price'!$I$9)-1,"")</f>
        <v>0.51002631908760487</v>
      </c>
    </row>
    <row r="1134" spans="1:26" x14ac:dyDescent="0.2">
      <c r="A1134" s="16">
        <f>'Stock Price'!A1134</f>
        <v>46119</v>
      </c>
      <c r="B1134" s="17">
        <f>'Stock Price'!E1134</f>
        <v>206.37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931.09</v>
      </c>
      <c r="L1134" s="18">
        <v>57.67</v>
      </c>
      <c r="M1134" s="18">
        <v>238.41</v>
      </c>
      <c r="O1134" s="19">
        <f ca="1">IF('Stock Price'!$I$11="OK",B1134/INDEX(B$5:B$1258,'Stock Price'!$I$9)-1,"")</f>
        <v>0.88448543512008038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3.0319144329450483</v>
      </c>
      <c r="Y1134" s="19">
        <f ca="1">IF('Stock Price'!$I$11="OK",L1134/INDEX(L$5:L$1258,'Stock Price'!$I$9)-1,"")</f>
        <v>-2.5021132713440308E-2</v>
      </c>
      <c r="Z1134" s="19">
        <f ca="1">IF('Stock Price'!$I$11="OK",M1134/INDEX(M$5:M$1258,'Stock Price'!$I$9)-1,"")</f>
        <v>0.49398420854743685</v>
      </c>
    </row>
    <row r="1135" spans="1:26" x14ac:dyDescent="0.2">
      <c r="A1135" s="16">
        <f>'Stock Price'!A1135</f>
        <v>46120</v>
      </c>
      <c r="B1135" s="17">
        <f>'Stock Price'!E1135</f>
        <v>211.59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953.3</v>
      </c>
      <c r="L1135" s="18">
        <v>59.2</v>
      </c>
      <c r="M1135" s="18">
        <v>241.3</v>
      </c>
      <c r="O1135" s="19">
        <f ca="1">IF('Stock Price'!$I$11="OK",B1135/INDEX(B$5:B$1258,'Stock Price'!$I$9)-1,"")</f>
        <v>0.93215231485709071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3.1280907634348072</v>
      </c>
      <c r="Y1135" s="19">
        <f ca="1">IF('Stock Price'!$I$11="OK",L1135/INDEX(L$5:L$1258,'Stock Price'!$I$9)-1,"")</f>
        <v>8.453085376163294E-4</v>
      </c>
      <c r="Z1135" s="19">
        <f ca="1">IF('Stock Price'!$I$11="OK",M1135/INDEX(M$5:M$1258,'Stock Price'!$I$9)-1,"")</f>
        <v>0.51209424739942344</v>
      </c>
    </row>
    <row r="1136" spans="1:26" x14ac:dyDescent="0.2">
      <c r="A1136" s="16">
        <f>'Stock Price'!A1136</f>
        <v>46121</v>
      </c>
      <c r="B1136" s="17">
        <f>'Stock Price'!E1136</f>
        <v>212.4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955.19</v>
      </c>
      <c r="L1136" s="18">
        <v>59.47</v>
      </c>
      <c r="M1136" s="18">
        <v>241.31</v>
      </c>
      <c r="O1136" s="19">
        <f ca="1">IF('Stock Price'!$I$11="OK",B1136/INDEX(B$5:B$1258,'Stock Price'!$I$9)-1,"")</f>
        <v>0.93954889964386812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3.1362750617070105</v>
      </c>
      <c r="Y1136" s="19">
        <f ca="1">IF('Stock Price'!$I$11="OK",L1136/INDEX(L$5:L$1258,'Stock Price'!$I$9)-1,"")</f>
        <v>5.4099746407438865E-3</v>
      </c>
      <c r="Z1136" s="19">
        <f ca="1">IF('Stock Price'!$I$11="OK",M1136/INDEX(M$5:M$1258,'Stock Price'!$I$9)-1,"")</f>
        <v>0.51215691189372081</v>
      </c>
    </row>
    <row r="1137" spans="1:26" x14ac:dyDescent="0.2">
      <c r="A1137" s="16">
        <f>'Stock Price'!A1137</f>
        <v>46122</v>
      </c>
      <c r="B1137" s="17">
        <f>'Stock Price'!E1137</f>
        <v>207.94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939.47</v>
      </c>
      <c r="L1137" s="18">
        <v>58.62</v>
      </c>
      <c r="M1137" s="18">
        <v>238.46</v>
      </c>
      <c r="O1137" s="19">
        <f ca="1">IF('Stock Price'!$I$11="OK",B1137/INDEX(B$5:B$1258,'Stock Price'!$I$9)-1,"")</f>
        <v>0.89882202538580946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3.0682024856016978</v>
      </c>
      <c r="Y1137" s="19">
        <f ca="1">IF('Stock Price'!$I$11="OK",L1137/INDEX(L$5:L$1258,'Stock Price'!$I$9)-1,"")</f>
        <v>-8.9602704987320481E-3</v>
      </c>
      <c r="Z1137" s="19">
        <f ca="1">IF('Stock Price'!$I$11="OK",M1137/INDEX(M$5:M$1258,'Stock Price'!$I$9)-1,"")</f>
        <v>0.4942975310189246</v>
      </c>
    </row>
    <row r="1138" spans="1:26" x14ac:dyDescent="0.2">
      <c r="A1138" s="16">
        <f>'Stock Price'!A1138</f>
        <v>46125</v>
      </c>
      <c r="B1138" s="17">
        <f>'Stock Price'!E1138</f>
        <v>206.47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929.55</v>
      </c>
      <c r="L1138" s="18">
        <v>58.06</v>
      </c>
      <c r="M1138" s="18">
        <v>237.96</v>
      </c>
      <c r="O1138" s="19">
        <f ca="1">IF('Stock Price'!$I$11="OK",B1138/INDEX(B$5:B$1258,'Stock Price'!$I$9)-1,"")</f>
        <v>0.88539859373573182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3.0252457454639927</v>
      </c>
      <c r="Y1138" s="19">
        <f ca="1">IF('Stock Price'!$I$11="OK",L1138/INDEX(L$5:L$1258,'Stock Price'!$I$9)-1,"")</f>
        <v>-1.8427726120033738E-2</v>
      </c>
      <c r="Z1138" s="19">
        <f ca="1">IF('Stock Price'!$I$11="OK",M1138/INDEX(M$5:M$1258,'Stock Price'!$I$9)-1,"")</f>
        <v>0.49116430630404806</v>
      </c>
    </row>
    <row r="1139" spans="1:26" x14ac:dyDescent="0.2">
      <c r="A1139" s="16">
        <f>'Stock Price'!A1139</f>
        <v>46126</v>
      </c>
      <c r="B1139" s="17">
        <f>'Stock Price'!E1139</f>
        <v>210.26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922.5</v>
      </c>
      <c r="L1139" s="18">
        <v>58.08</v>
      </c>
      <c r="M1139" s="18">
        <v>240.1</v>
      </c>
      <c r="O1139" s="19">
        <f ca="1">IF('Stock Price'!$I$11="OK",B1139/INDEX(B$5:B$1258,'Stock Price'!$I$9)-1,"")</f>
        <v>0.92000730526892505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2.9947170138137098</v>
      </c>
      <c r="Y1139" s="19">
        <f ca="1">IF('Stock Price'!$I$11="OK",L1139/INDEX(L$5:L$1258,'Stock Price'!$I$9)-1,"")</f>
        <v>-1.8089602704987273E-2</v>
      </c>
      <c r="Z1139" s="19">
        <f ca="1">IF('Stock Price'!$I$11="OK",M1139/INDEX(M$5:M$1258,'Stock Price'!$I$9)-1,"")</f>
        <v>0.50457450808371962</v>
      </c>
    </row>
    <row r="1140" spans="1:26" x14ac:dyDescent="0.2">
      <c r="A1140" s="16">
        <f>'Stock Price'!A1140</f>
        <v>46127</v>
      </c>
      <c r="B1140" s="17">
        <f>'Stock Price'!E1140</f>
        <v>208.42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905.03</v>
      </c>
      <c r="L1140" s="18">
        <v>57.89</v>
      </c>
      <c r="M1140" s="18">
        <v>238.67</v>
      </c>
      <c r="O1140" s="19">
        <f ca="1">IF('Stock Price'!$I$11="OK",B1140/INDEX(B$5:B$1258,'Stock Price'!$I$9)-1,"")</f>
        <v>0.90320518674093675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2.9190663837526523</v>
      </c>
      <c r="Y1140" s="19">
        <f ca="1">IF('Stock Price'!$I$11="OK",L1140/INDEX(L$5:L$1258,'Stock Price'!$I$9)-1,"")</f>
        <v>-2.130177514792897E-2</v>
      </c>
      <c r="Z1140" s="19">
        <f ca="1">IF('Stock Price'!$I$11="OK",M1140/INDEX(M$5:M$1258,'Stock Price'!$I$9)-1,"")</f>
        <v>0.49561348539917272</v>
      </c>
    </row>
    <row r="1141" spans="1:26" x14ac:dyDescent="0.2">
      <c r="A1141" s="16">
        <f>'Stock Price'!A1141</f>
        <v>46128</v>
      </c>
      <c r="B1141" s="17">
        <f>'Stock Price'!E1141</f>
        <v>208.99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903.99</v>
      </c>
      <c r="L1141" s="18">
        <v>58.96</v>
      </c>
      <c r="M1141" s="18">
        <v>234.54</v>
      </c>
      <c r="O1141" s="19">
        <f ca="1">IF('Stock Price'!$I$11="OK",B1141/INDEX(B$5:B$1258,'Stock Price'!$I$9)-1,"")</f>
        <v>0.90841019085015073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2.9145628545446671</v>
      </c>
      <c r="Y1141" s="19">
        <f ca="1">IF('Stock Price'!$I$11="OK",L1141/INDEX(L$5:L$1258,'Stock Price'!$I$9)-1,"")</f>
        <v>-3.2121724429415854E-3</v>
      </c>
      <c r="Z1141" s="19">
        <f ca="1">IF('Stock Price'!$I$11="OK",M1141/INDEX(M$5:M$1258,'Stock Price'!$I$9)-1,"")</f>
        <v>0.46973304925429238</v>
      </c>
    </row>
    <row r="1142" spans="1:26" x14ac:dyDescent="0.2">
      <c r="A1142" s="16">
        <f>'Stock Price'!A1142</f>
        <v>46129</v>
      </c>
      <c r="B1142" s="17">
        <f>'Stock Price'!E1142</f>
        <v>208.38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927.03</v>
      </c>
      <c r="L1142" s="18">
        <v>60.17</v>
      </c>
      <c r="M1142" s="18">
        <v>234.18</v>
      </c>
      <c r="O1142" s="19">
        <f ca="1">IF('Stock Price'!$I$11="OK",B1142/INDEX(B$5:B$1258,'Stock Price'!$I$9)-1,"")</f>
        <v>0.90283992329467622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3.0143333477677219</v>
      </c>
      <c r="Y1142" s="19">
        <f ca="1">IF('Stock Price'!$I$11="OK",L1142/INDEX(L$5:L$1258,'Stock Price'!$I$9)-1,"")</f>
        <v>1.7244294167371166E-2</v>
      </c>
      <c r="Z1142" s="19">
        <f ca="1">IF('Stock Price'!$I$11="OK",M1142/INDEX(M$5:M$1258,'Stock Price'!$I$9)-1,"")</f>
        <v>0.46747712745958125</v>
      </c>
    </row>
    <row r="1143" spans="1:26" x14ac:dyDescent="0.2">
      <c r="A1143" s="16">
        <f>'Stock Price'!A1143</f>
        <v>46132</v>
      </c>
      <c r="B1143" s="17">
        <f>'Stock Price'!E1143</f>
        <v>203.71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919.9</v>
      </c>
      <c r="L1143" s="18">
        <v>59.13</v>
      </c>
      <c r="M1143" s="18">
        <v>230.69</v>
      </c>
      <c r="O1143" s="19">
        <f ca="1">IF('Stock Price'!$I$11="OK",B1143/INDEX(B$5:B$1258,'Stock Price'!$I$9)-1,"")</f>
        <v>0.86019541594374949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2.9834581907937467</v>
      </c>
      <c r="Y1143" s="19">
        <f ca="1">IF('Stock Price'!$I$11="OK",L1143/INDEX(L$5:L$1258,'Stock Price'!$I$9)-1,"")</f>
        <v>-3.3812341504646515E-4</v>
      </c>
      <c r="Z1143" s="19">
        <f ca="1">IF('Stock Price'!$I$11="OK",M1143/INDEX(M$5:M$1258,'Stock Price'!$I$9)-1,"")</f>
        <v>0.44560721894974287</v>
      </c>
    </row>
    <row r="1144" spans="1:26" x14ac:dyDescent="0.2">
      <c r="A1144" s="16">
        <f>'Stock Price'!A1144</f>
        <v>46133</v>
      </c>
      <c r="B1144" s="17">
        <f>'Stock Price'!E1144</f>
        <v>205.12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903.02</v>
      </c>
      <c r="L1144" s="18">
        <v>59.39</v>
      </c>
      <c r="M1144" s="18">
        <v>226.16</v>
      </c>
      <c r="O1144" s="19">
        <f ca="1">IF('Stock Price'!$I$11="OK",B1144/INDEX(B$5:B$1258,'Stock Price'!$I$9)-1,"")</f>
        <v>0.873070952424436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2.9103624474949115</v>
      </c>
      <c r="Y1144" s="19">
        <f ca="1">IF('Stock Price'!$I$11="OK",L1144/INDEX(L$5:L$1258,'Stock Price'!$I$9)-1,"")</f>
        <v>4.0574809805580259E-3</v>
      </c>
      <c r="Z1144" s="19">
        <f ca="1">IF('Stock Price'!$I$11="OK",M1144/INDEX(M$5:M$1258,'Stock Price'!$I$9)-1,"")</f>
        <v>0.41722020303296148</v>
      </c>
    </row>
    <row r="1145" spans="1:26" x14ac:dyDescent="0.2">
      <c r="A1145" s="16">
        <f>'Stock Price'!A1145</f>
        <v>46134</v>
      </c>
      <c r="B1145" s="17">
        <f>'Stock Price'!E1145</f>
        <v>200.5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921.48</v>
      </c>
      <c r="L1145" s="18">
        <v>58.8</v>
      </c>
      <c r="M1145" s="18">
        <v>226.1</v>
      </c>
      <c r="O1145" s="19">
        <f ca="1">IF('Stock Price'!$I$11="OK",B1145/INDEX(B$5:B$1258,'Stock Price'!$I$9)-1,"")</f>
        <v>0.83088302438133499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2.9903000909366475</v>
      </c>
      <c r="Y1145" s="19">
        <f ca="1">IF('Stock Price'!$I$11="OK",L1145/INDEX(L$5:L$1258,'Stock Price'!$I$9)-1,"")</f>
        <v>-5.9171597633136397E-3</v>
      </c>
      <c r="Z1145" s="19">
        <f ca="1">IF('Stock Price'!$I$11="OK",M1145/INDEX(M$5:M$1258,'Stock Price'!$I$9)-1,"")</f>
        <v>0.41684421606717614</v>
      </c>
    </row>
    <row r="1146" spans="1:26" x14ac:dyDescent="0.2">
      <c r="A1146" s="16">
        <f>'Stock Price'!A1146</f>
        <v>46135</v>
      </c>
      <c r="B1146" s="17">
        <f>'Stock Price'!E1146</f>
        <v>200.95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917.65</v>
      </c>
      <c r="L1146" s="18">
        <v>59.02</v>
      </c>
      <c r="M1146" s="18">
        <v>230.65</v>
      </c>
      <c r="O1146" s="19">
        <f ca="1">IF('Stock Price'!$I$11="OK",B1146/INDEX(B$5:B$1258,'Stock Price'!$I$9)-1,"")</f>
        <v>0.83499223815176671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2.9737149785649328</v>
      </c>
      <c r="Y1146" s="19">
        <f ca="1">IF('Stock Price'!$I$11="OK",L1146/INDEX(L$5:L$1258,'Stock Price'!$I$9)-1,"")</f>
        <v>-2.197802197802079E-3</v>
      </c>
      <c r="Z1146" s="19">
        <f ca="1">IF('Stock Price'!$I$11="OK",M1146/INDEX(M$5:M$1258,'Stock Price'!$I$9)-1,"")</f>
        <v>0.44535656097255294</v>
      </c>
    </row>
    <row r="1147" spans="1:26" x14ac:dyDescent="0.2">
      <c r="A1147" s="16">
        <f>'Stock Price'!A1147</f>
        <v>46136</v>
      </c>
      <c r="B1147" s="17">
        <f>'Stock Price'!E1147</f>
        <v>198.71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883.96</v>
      </c>
      <c r="L1147" s="18">
        <v>58.71</v>
      </c>
      <c r="M1147" s="18">
        <v>227.5</v>
      </c>
      <c r="O1147" s="19">
        <f ca="1">IF('Stock Price'!$I$11="OK",B1147/INDEX(B$5:B$1258,'Stock Price'!$I$9)-1,"")</f>
        <v>0.81453748516117241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2.8278266141254926</v>
      </c>
      <c r="Y1147" s="19">
        <f ca="1">IF('Stock Price'!$I$11="OK",L1147/INDEX(L$5:L$1258,'Stock Price'!$I$9)-1,"")</f>
        <v>-7.4387151310227884E-3</v>
      </c>
      <c r="Z1147" s="19">
        <f ca="1">IF('Stock Price'!$I$11="OK",M1147/INDEX(M$5:M$1258,'Stock Price'!$I$9)-1,"")</f>
        <v>0.42561724526883049</v>
      </c>
    </row>
    <row r="1148" spans="1:26" x14ac:dyDescent="0.2">
      <c r="A1148" s="16">
        <f>'Stock Price'!A1148</f>
        <v>46139</v>
      </c>
      <c r="B1148" s="17">
        <f>'Stock Price'!E1148</f>
        <v>197.38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868.27</v>
      </c>
      <c r="L1148" s="18">
        <v>57.78</v>
      </c>
      <c r="M1148" s="18">
        <v>225.34</v>
      </c>
      <c r="O1148" s="19">
        <f ca="1">IF('Stock Price'!$I$11="OK",B1148/INDEX(B$5:B$1258,'Stock Price'!$I$9)-1,"")</f>
        <v>0.80239247557300697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2.7598839475165633</v>
      </c>
      <c r="Y1148" s="19">
        <f ca="1">IF('Stock Price'!$I$11="OK",L1148/INDEX(L$5:L$1258,'Stock Price'!$I$9)-1,"")</f>
        <v>-2.3161453930684694E-2</v>
      </c>
      <c r="Z1148" s="19">
        <f ca="1">IF('Stock Price'!$I$11="OK",M1148/INDEX(M$5:M$1258,'Stock Price'!$I$9)-1,"")</f>
        <v>0.41208171450056397</v>
      </c>
    </row>
    <row r="1149" spans="1:26" x14ac:dyDescent="0.2">
      <c r="A1149" s="16">
        <f>'Stock Price'!A1149</f>
        <v>46140</v>
      </c>
      <c r="B1149" s="17">
        <f>'Stock Price'!E1149</f>
        <v>197.69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874</v>
      </c>
      <c r="L1149" s="18">
        <v>58.26</v>
      </c>
      <c r="M1149" s="18">
        <v>227.79</v>
      </c>
      <c r="O1149" s="19">
        <f ca="1">IF('Stock Price'!$I$11="OK",B1149/INDEX(B$5:B$1258,'Stock Price'!$I$9)-1,"")</f>
        <v>0.80522326728152671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2.7846966613259427</v>
      </c>
      <c r="Y1149" s="19">
        <f ca="1">IF('Stock Price'!$I$11="OK",L1149/INDEX(L$5:L$1258,'Stock Price'!$I$9)-1,"")</f>
        <v>-1.5046491969568865E-2</v>
      </c>
      <c r="Z1149" s="19">
        <f ca="1">IF('Stock Price'!$I$11="OK",M1149/INDEX(M$5:M$1258,'Stock Price'!$I$9)-1,"")</f>
        <v>0.42743451560345891</v>
      </c>
    </row>
    <row r="1150" spans="1:26" x14ac:dyDescent="0.2">
      <c r="A1150" s="16">
        <f>'Stock Price'!A1150</f>
        <v>46141</v>
      </c>
      <c r="B1150" s="17">
        <f>'Stock Price'!E1150</f>
        <v>203.89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851.21</v>
      </c>
      <c r="L1150" s="18">
        <v>57.59</v>
      </c>
      <c r="M1150" s="18">
        <v>227.35</v>
      </c>
      <c r="O1150" s="19">
        <f ca="1">IF('Stock Price'!$I$11="OK",B1150/INDEX(B$5:B$1258,'Stock Price'!$I$9)-1,"")</f>
        <v>0.861839101451922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2.6860087472394234</v>
      </c>
      <c r="Y1150" s="19">
        <f ca="1">IF('Stock Price'!$I$11="OK",L1150/INDEX(L$5:L$1258,'Stock Price'!$I$9)-1,"")</f>
        <v>-2.637362637362628E-2</v>
      </c>
      <c r="Z1150" s="19">
        <f ca="1">IF('Stock Price'!$I$11="OK",M1150/INDEX(M$5:M$1258,'Stock Price'!$I$9)-1,"")</f>
        <v>0.42467727785436749</v>
      </c>
    </row>
    <row r="1151" spans="1:26" x14ac:dyDescent="0.2">
      <c r="A1151" s="16">
        <f>'Stock Price'!A1151</f>
        <v>46142</v>
      </c>
      <c r="B1151" s="17">
        <f>'Stock Price'!E1151</f>
        <v>211.32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934.6</v>
      </c>
      <c r="L1151" s="18">
        <v>60.59</v>
      </c>
      <c r="M1151" s="18">
        <v>229.85</v>
      </c>
      <c r="O1151" s="19">
        <f ca="1">IF('Stock Price'!$I$11="OK",B1151/INDEX(B$5:B$1258,'Stock Price'!$I$9)-1,"")</f>
        <v>0.92968678659483128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3.0471138440219976</v>
      </c>
      <c r="Y1151" s="19">
        <f ca="1">IF('Stock Price'!$I$11="OK",L1151/INDEX(L$5:L$1258,'Stock Price'!$I$9)-1,"")</f>
        <v>2.4344885883347489E-2</v>
      </c>
      <c r="Z1151" s="19">
        <f ca="1">IF('Stock Price'!$I$11="OK",M1151/INDEX(M$5:M$1258,'Stock Price'!$I$9)-1,"")</f>
        <v>0.44034340142875039</v>
      </c>
    </row>
    <row r="1152" spans="1:26" x14ac:dyDescent="0.2">
      <c r="A1152" s="16">
        <f>'Stock Price'!A1152</f>
        <v>46143</v>
      </c>
      <c r="B1152" s="17">
        <f>'Stock Price'!E1152</f>
        <v>206.6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963.33</v>
      </c>
      <c r="L1152" s="18">
        <v>58.22</v>
      </c>
      <c r="M1152" s="18">
        <v>227.19</v>
      </c>
      <c r="O1152" s="19">
        <f ca="1">IF('Stock Price'!$I$11="OK",B1152/INDEX(B$5:B$1258,'Stock Price'!$I$9)-1,"")</f>
        <v>0.88658569993607883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3.1715238383925861</v>
      </c>
      <c r="Y1152" s="19">
        <f ca="1">IF('Stock Price'!$I$11="OK",L1152/INDEX(L$5:L$1258,'Stock Price'!$I$9)-1,"")</f>
        <v>-1.5722738799661906E-2</v>
      </c>
      <c r="Z1152" s="19">
        <f ca="1">IF('Stock Price'!$I$11="OK",M1152/INDEX(M$5:M$1258,'Stock Price'!$I$9)-1,"")</f>
        <v>0.42367464594560711</v>
      </c>
    </row>
    <row r="1153" spans="1:26" x14ac:dyDescent="0.2">
      <c r="A1153" s="16">
        <f>'Stock Price'!A1153</f>
        <v>46146</v>
      </c>
      <c r="B1153" s="17">
        <f>'Stock Price'!E1153</f>
        <v>208.16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967.93</v>
      </c>
      <c r="L1153" s="18">
        <v>57.38</v>
      </c>
      <c r="M1153" s="18">
        <v>224.2</v>
      </c>
      <c r="O1153" s="19">
        <f ca="1">IF('Stock Price'!$I$11="OK",B1153/INDEX(B$5:B$1258,'Stock Price'!$I$9)-1,"")</f>
        <v>0.90083097434024273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3.1914432945048281</v>
      </c>
      <c r="Y1153" s="19">
        <f ca="1">IF('Stock Price'!$I$11="OK",L1153/INDEX(L$5:L$1258,'Stock Price'!$I$9)-1,"")</f>
        <v>-2.9923922231614442E-2</v>
      </c>
      <c r="Z1153" s="19">
        <f ca="1">IF('Stock Price'!$I$11="OK",M1153/INDEX(M$5:M$1258,'Stock Price'!$I$9)-1,"")</f>
        <v>0.40493796215064526</v>
      </c>
    </row>
    <row r="1154" spans="1:26" x14ac:dyDescent="0.2">
      <c r="A1154" s="16">
        <f>'Stock Price'!A1154</f>
        <v>46147</v>
      </c>
      <c r="B1154" s="17">
        <f>'Stock Price'!E1154</f>
        <v>206.11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988.87</v>
      </c>
      <c r="L1154" s="18">
        <v>56.95</v>
      </c>
      <c r="M1154" s="18">
        <v>225.55</v>
      </c>
      <c r="O1154" s="19">
        <f ca="1">IF('Stock Price'!$I$11="OK",B1154/INDEX(B$5:B$1258,'Stock Price'!$I$9)-1,"")</f>
        <v>0.88211122271938636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3.2821201229809898</v>
      </c>
      <c r="Y1154" s="19">
        <f ca="1">IF('Stock Price'!$I$11="OK",L1154/INDEX(L$5:L$1258,'Stock Price'!$I$9)-1,"")</f>
        <v>-3.7193575655114053E-2</v>
      </c>
      <c r="Z1154" s="19">
        <f ca="1">IF('Stock Price'!$I$11="OK",M1154/INDEX(M$5:M$1258,'Stock Price'!$I$9)-1,"")</f>
        <v>0.41339766888081209</v>
      </c>
    </row>
    <row r="1155" spans="1:26" x14ac:dyDescent="0.2">
      <c r="A1155" s="16">
        <f>'Stock Price'!A1155</f>
        <v>46148</v>
      </c>
      <c r="B1155" s="17">
        <f>'Stock Price'!E1155</f>
        <v>205.03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987.05</v>
      </c>
      <c r="L1155" s="18">
        <v>56.59</v>
      </c>
      <c r="M1155" s="18">
        <v>224.62</v>
      </c>
      <c r="O1155" s="19">
        <f ca="1">IF('Stock Price'!$I$11="OK",B1155/INDEX(B$5:B$1258,'Stock Price'!$I$9)-1,"")</f>
        <v>0.87224910967034974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3.2742389468670154</v>
      </c>
      <c r="Y1155" s="19">
        <f ca="1">IF('Stock Price'!$I$11="OK",L1155/INDEX(L$5:L$1258,'Stock Price'!$I$9)-1,"")</f>
        <v>-4.327979712595087E-2</v>
      </c>
      <c r="Z1155" s="19">
        <f ca="1">IF('Stock Price'!$I$11="OK",M1155/INDEX(M$5:M$1258,'Stock Price'!$I$9)-1,"")</f>
        <v>0.40756987091114172</v>
      </c>
    </row>
    <row r="1156" spans="1:26" x14ac:dyDescent="0.2">
      <c r="A1156" s="16">
        <f>'Stock Price'!A1156</f>
        <v>46149</v>
      </c>
      <c r="B1156" s="17">
        <f>'Stock Price'!E1156</f>
        <v>202.71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974.96</v>
      </c>
      <c r="L1156" s="18">
        <v>56.25</v>
      </c>
      <c r="M1156" s="18">
        <v>222.51</v>
      </c>
      <c r="O1156" s="19">
        <f ca="1">IF('Stock Price'!$I$11="OK",B1156/INDEX(B$5:B$1258,'Stock Price'!$I$9)-1,"")</f>
        <v>0.85106382978723394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3.2218854198241891</v>
      </c>
      <c r="Y1156" s="19">
        <f ca="1">IF('Stock Price'!$I$11="OK",L1156/INDEX(L$5:L$1258,'Stock Price'!$I$9)-1,"")</f>
        <v>-4.9027895181741332E-2</v>
      </c>
      <c r="Z1156" s="19">
        <f ca="1">IF('Stock Price'!$I$11="OK",M1156/INDEX(M$5:M$1258,'Stock Price'!$I$9)-1,"")</f>
        <v>0.39434766261436249</v>
      </c>
    </row>
    <row r="1157" spans="1:26" x14ac:dyDescent="0.2">
      <c r="A1157" s="16">
        <f>'Stock Price'!A1157</f>
        <v>46150</v>
      </c>
      <c r="B1157" s="17">
        <f>'Stock Price'!E1157</f>
        <v>201.55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948.45</v>
      </c>
      <c r="L1157" s="18">
        <v>56.16</v>
      </c>
      <c r="M1157" s="18">
        <v>221.32</v>
      </c>
      <c r="O1157" s="19">
        <f ca="1">IF('Stock Price'!$I$11="OK",B1157/INDEX(B$5:B$1258,'Stock Price'!$I$9)-1,"")</f>
        <v>0.84047118984567626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3.1070887281860307</v>
      </c>
      <c r="Y1157" s="19">
        <f ca="1">IF('Stock Price'!$I$11="OK",L1157/INDEX(L$5:L$1258,'Stock Price'!$I$9)-1,"")</f>
        <v>-5.0549450549450592E-2</v>
      </c>
      <c r="Z1157" s="19">
        <f ca="1">IF('Stock Price'!$I$11="OK",M1157/INDEX(M$5:M$1258,'Stock Price'!$I$9)-1,"")</f>
        <v>0.38689058779295626</v>
      </c>
    </row>
    <row r="1158" spans="1:26" x14ac:dyDescent="0.2">
      <c r="A1158" s="16">
        <f>'Stock Price'!A1158</f>
        <v>46153</v>
      </c>
      <c r="B1158" s="17">
        <f>'Stock Price'!E1158</f>
        <v>202.78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966.99</v>
      </c>
      <c r="L1158" s="18">
        <v>55.67</v>
      </c>
      <c r="M1158" s="18">
        <v>221.43</v>
      </c>
      <c r="O1158" s="19">
        <f ca="1">IF('Stock Price'!$I$11="OK",B1158/INDEX(B$5:B$1258,'Stock Price'!$I$9)-1,"")</f>
        <v>0.85170304081819004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3.1873727969514567</v>
      </c>
      <c r="Y1158" s="19">
        <f ca="1">IF('Stock Price'!$I$11="OK",L1158/INDEX(L$5:L$1258,'Stock Price'!$I$9)-1,"")</f>
        <v>-5.8833474218089599E-2</v>
      </c>
      <c r="Z1158" s="19">
        <f ca="1">IF('Stock Price'!$I$11="OK",M1158/INDEX(M$5:M$1258,'Stock Price'!$I$9)-1,"")</f>
        <v>0.38757989723022934</v>
      </c>
    </row>
    <row r="1159" spans="1:26" x14ac:dyDescent="0.2">
      <c r="A1159" s="16">
        <f>'Stock Price'!A1159</f>
        <v>46154</v>
      </c>
      <c r="B1159" s="17">
        <f>'Stock Price'!E1159</f>
        <v>207.86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989.87</v>
      </c>
      <c r="L1159" s="18">
        <v>56.45</v>
      </c>
      <c r="M1159" s="18">
        <v>224.26</v>
      </c>
      <c r="O1159" s="19">
        <f ca="1">IF('Stock Price'!$I$11="OK",B1159/INDEX(B$5:B$1258,'Stock Price'!$I$9)-1,"")</f>
        <v>0.8980914984932884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3.2864504395271297</v>
      </c>
      <c r="Y1159" s="19">
        <f ca="1">IF('Stock Price'!$I$11="OK",L1159/INDEX(L$5:L$1258,'Stock Price'!$I$9)-1,"")</f>
        <v>-4.5646661031276348E-2</v>
      </c>
      <c r="Z1159" s="19">
        <f ca="1">IF('Stock Price'!$I$11="OK",M1159/INDEX(M$5:M$1258,'Stock Price'!$I$9)-1,"")</f>
        <v>0.40531394911643037</v>
      </c>
    </row>
    <row r="1160" spans="1:26" x14ac:dyDescent="0.2">
      <c r="A1160" s="16">
        <f>'Stock Price'!A1160</f>
        <v>46155</v>
      </c>
      <c r="B1160" s="17">
        <f>'Stock Price'!E1160</f>
        <v>208.5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1015.75</v>
      </c>
      <c r="L1160" s="18">
        <v>56.39</v>
      </c>
      <c r="M1160" s="18">
        <v>230.42</v>
      </c>
      <c r="O1160" s="19">
        <f ca="1">IF('Stock Price'!$I$11="OK",B1160/INDEX(B$5:B$1258,'Stock Price'!$I$9)-1,"")</f>
        <v>0.90393571363345804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3.3985190317412197</v>
      </c>
      <c r="Y1160" s="19">
        <f ca="1">IF('Stock Price'!$I$11="OK",L1160/INDEX(L$5:L$1258,'Stock Price'!$I$9)-1,"")</f>
        <v>-4.6661031276415854E-2</v>
      </c>
      <c r="Z1160" s="19">
        <f ca="1">IF('Stock Price'!$I$11="OK",M1160/INDEX(M$5:M$1258,'Stock Price'!$I$9)-1,"")</f>
        <v>0.44391527760370963</v>
      </c>
    </row>
    <row r="1161" spans="1:26" x14ac:dyDescent="0.2">
      <c r="A1161" s="16">
        <f>'Stock Price'!A1161</f>
        <v>46156</v>
      </c>
      <c r="B1161" s="17">
        <f>'Stock Price'!E1161</f>
        <v>210.77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1006.7</v>
      </c>
      <c r="L1161" s="18">
        <v>56.77</v>
      </c>
      <c r="M1161" s="18">
        <v>230.8</v>
      </c>
      <c r="O1161" s="19">
        <f ca="1">IF('Stock Price'!$I$11="OK",B1161/INDEX(B$5:B$1258,'Stock Price'!$I$9)-1,"")</f>
        <v>0.92466441420874812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3.3593296669986579</v>
      </c>
      <c r="Y1161" s="19">
        <f ca="1">IF('Stock Price'!$I$11="OK",L1161/INDEX(L$5:L$1258,'Stock Price'!$I$9)-1,"")</f>
        <v>-4.0236686390532461E-2</v>
      </c>
      <c r="Z1161" s="19">
        <f ca="1">IF('Stock Price'!$I$11="OK",M1161/INDEX(M$5:M$1258,'Stock Price'!$I$9)-1,"")</f>
        <v>0.44629652838701594</v>
      </c>
    </row>
    <row r="1162" spans="1:26" x14ac:dyDescent="0.2">
      <c r="A1162" s="16">
        <f>'Stock Price'!A1162</f>
        <v>46157</v>
      </c>
      <c r="B1162" s="17">
        <f>'Stock Price'!E1162</f>
        <v>210.39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1004.92</v>
      </c>
      <c r="L1162" s="18">
        <v>57</v>
      </c>
      <c r="M1162" s="18">
        <v>226.71</v>
      </c>
      <c r="O1162" s="19">
        <f ca="1">IF('Stock Price'!$I$11="OK",B1162/INDEX(B$5:B$1258,'Stock Price'!$I$9)-1,"")</f>
        <v>0.92119441146927206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3.3516217035465292</v>
      </c>
      <c r="Y1162" s="19">
        <f ca="1">IF('Stock Price'!$I$11="OK",L1162/INDEX(L$5:L$1258,'Stock Price'!$I$9)-1,"")</f>
        <v>-3.6348267117497834E-2</v>
      </c>
      <c r="Z1162" s="19">
        <f ca="1">IF('Stock Price'!$I$11="OK",M1162/INDEX(M$5:M$1258,'Stock Price'!$I$9)-1,"")</f>
        <v>0.42066675021932576</v>
      </c>
    </row>
    <row r="1163" spans="1:26" x14ac:dyDescent="0.2">
      <c r="A1163" s="16">
        <f>'Stock Price'!A1163</f>
        <v>46160</v>
      </c>
      <c r="B1163" s="17">
        <f>'Stock Price'!E1163</f>
        <v>209.41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988.09</v>
      </c>
      <c r="L1163" s="18">
        <v>57.31</v>
      </c>
      <c r="M1163" s="18">
        <v>228.92</v>
      </c>
      <c r="O1163" s="19">
        <f ca="1">IF('Stock Price'!$I$11="OK",B1163/INDEX(B$5:B$1258,'Stock Price'!$I$9)-1,"")</f>
        <v>0.91224545703588711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3.278742476075001</v>
      </c>
      <c r="Y1163" s="19">
        <f ca="1">IF('Stock Price'!$I$11="OK",L1163/INDEX(L$5:L$1258,'Stock Price'!$I$9)-1,"")</f>
        <v>-3.1107354184277236E-2</v>
      </c>
      <c r="Z1163" s="19">
        <f ca="1">IF('Stock Price'!$I$11="OK",M1163/INDEX(M$5:M$1258,'Stock Price'!$I$9)-1,"")</f>
        <v>0.4345156034590798</v>
      </c>
    </row>
    <row r="1164" spans="1:26" x14ac:dyDescent="0.2">
      <c r="A1164" s="16">
        <f>'Stock Price'!A1164</f>
        <v>46161</v>
      </c>
      <c r="B1164" s="17">
        <f>'Stock Price'!E1164</f>
        <v>213.76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1021.41</v>
      </c>
      <c r="L1164" s="18">
        <v>58.31</v>
      </c>
      <c r="M1164" s="18">
        <v>230</v>
      </c>
      <c r="O1164" s="19">
        <f ca="1">IF('Stock Price'!$I$11="OK",B1164/INDEX(B$5:B$1258,'Stock Price'!$I$9)-1,"")</f>
        <v>0.95196785681672891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3.4230286233923701</v>
      </c>
      <c r="Y1164" s="19">
        <f ca="1">IF('Stock Price'!$I$11="OK",L1164/INDEX(L$5:L$1258,'Stock Price'!$I$9)-1,"")</f>
        <v>-1.4201183431952646E-2</v>
      </c>
      <c r="Z1164" s="19">
        <f ca="1">IF('Stock Price'!$I$11="OK",M1164/INDEX(M$5:M$1258,'Stock Price'!$I$9)-1,"")</f>
        <v>0.4412833688432134</v>
      </c>
    </row>
    <row r="1165" spans="1:26" x14ac:dyDescent="0.2">
      <c r="A1165" s="16">
        <f>'Stock Price'!A1165</f>
        <v>46162</v>
      </c>
      <c r="B1165" s="17">
        <f>'Stock Price'!E1165</f>
        <v>212.3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1018.87</v>
      </c>
      <c r="L1165" s="18">
        <v>58.54</v>
      </c>
      <c r="M1165" s="18">
        <v>229.32</v>
      </c>
      <c r="O1165" s="19">
        <f ca="1">IF('Stock Price'!$I$11="OK",B1165/INDEX(B$5:B$1258,'Stock Price'!$I$9)-1,"")</f>
        <v>0.93863574102821667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3.4120296193651756</v>
      </c>
      <c r="Y1165" s="19">
        <f ca="1">IF('Stock Price'!$I$11="OK",L1165/INDEX(L$5:L$1258,'Stock Price'!$I$9)-1,"")</f>
        <v>-1.031276415891802E-2</v>
      </c>
      <c r="Z1165" s="19">
        <f ca="1">IF('Stock Price'!$I$11="OK",M1165/INDEX(M$5:M$1258,'Stock Price'!$I$9)-1,"")</f>
        <v>0.43702218323098108</v>
      </c>
    </row>
    <row r="1166" spans="1:26" x14ac:dyDescent="0.2">
      <c r="A1166" s="16">
        <f>'Stock Price'!A1166</f>
        <v>46163</v>
      </c>
      <c r="B1166" s="17">
        <f>'Stock Price'!E1166</f>
        <v>214.5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1041.6500000000001</v>
      </c>
      <c r="L1166" s="18">
        <v>59.55</v>
      </c>
      <c r="M1166" s="18">
        <v>231.73</v>
      </c>
      <c r="O1166" s="19">
        <f ca="1">IF('Stock Price'!$I$11="OK",B1166/INDEX(B$5:B$1258,'Stock Price'!$I$9)-1,"")</f>
        <v>0.95872523057255044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3.5106742302862344</v>
      </c>
      <c r="Y1166" s="19">
        <f ca="1">IF('Stock Price'!$I$11="OK",L1166/INDEX(L$5:L$1258,'Stock Price'!$I$9)-1,"")</f>
        <v>6.762468300929747E-3</v>
      </c>
      <c r="Z1166" s="19">
        <f ca="1">IF('Stock Price'!$I$11="OK",M1166/INDEX(M$5:M$1258,'Stock Price'!$I$9)-1,"")</f>
        <v>0.45212432635668609</v>
      </c>
    </row>
    <row r="1167" spans="1:26" x14ac:dyDescent="0.2">
      <c r="A1167" s="16">
        <f>'Stock Price'!A1167</f>
        <v>46164</v>
      </c>
      <c r="B1167" s="17">
        <f>'Stock Price'!E1167</f>
        <v>215.7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1065</v>
      </c>
      <c r="L1167" s="18">
        <v>59.46</v>
      </c>
      <c r="M1167" s="18">
        <v>234.34</v>
      </c>
      <c r="O1167" s="19">
        <f ca="1">IF('Stock Price'!$I$11="OK",B1167/INDEX(B$5:B$1258,'Stock Price'!$I$9)-1,"")</f>
        <v>0.96968313396036865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3.6117871216385913</v>
      </c>
      <c r="Y1167" s="19">
        <f ca="1">IF('Stock Price'!$I$11="OK",L1167/INDEX(L$5:L$1258,'Stock Price'!$I$9)-1,"")</f>
        <v>5.2409129332207094E-3</v>
      </c>
      <c r="Z1167" s="19">
        <f ca="1">IF('Stock Price'!$I$11="OK",M1167/INDEX(M$5:M$1258,'Stock Price'!$I$9)-1,"")</f>
        <v>0.46847975936834185</v>
      </c>
    </row>
    <row r="1168" spans="1:26" x14ac:dyDescent="0.2">
      <c r="A1168" s="16">
        <f>'Stock Price'!A1168</f>
        <v>46168</v>
      </c>
      <c r="B1168" s="17">
        <f>'Stock Price'!E1168</f>
        <v>213.12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1064.74</v>
      </c>
      <c r="L1168" s="18">
        <v>58.03</v>
      </c>
      <c r="M1168" s="18">
        <v>230.18</v>
      </c>
      <c r="O1168" s="19">
        <f ca="1">IF('Stock Price'!$I$11="OK",B1168/INDEX(B$5:B$1258,'Stock Price'!$I$9)-1,"")</f>
        <v>0.94612364167655927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3.6106612393365953</v>
      </c>
      <c r="Y1168" s="19">
        <f ca="1">IF('Stock Price'!$I$11="OK",L1168/INDEX(L$5:L$1258,'Stock Price'!$I$9)-1,"")</f>
        <v>-1.8934911242603492E-2</v>
      </c>
      <c r="Z1168" s="19">
        <f ca="1">IF('Stock Price'!$I$11="OK",M1168/INDEX(M$5:M$1258,'Stock Price'!$I$9)-1,"")</f>
        <v>0.44241132974056896</v>
      </c>
    </row>
    <row r="1169" spans="1:26" x14ac:dyDescent="0.2">
      <c r="A1169" s="16">
        <f>'Stock Price'!A1169</f>
        <v>46169</v>
      </c>
      <c r="B1169" s="17">
        <f>'Stock Price'!E1169</f>
        <v>215.4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1082.92</v>
      </c>
      <c r="L1169" s="18">
        <v>57.52</v>
      </c>
      <c r="M1169" s="18">
        <v>231.29</v>
      </c>
      <c r="O1169" s="19">
        <f ca="1">IF('Stock Price'!$I$11="OK",B1169/INDEX(B$5:B$1258,'Stock Price'!$I$9)-1,"")</f>
        <v>0.96694365811341432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3.6893863941454121</v>
      </c>
      <c r="Y1169" s="19">
        <f ca="1">IF('Stock Price'!$I$11="OK",L1169/INDEX(L$5:L$1258,'Stock Price'!$I$9)-1,"")</f>
        <v>-2.7557058326289074E-2</v>
      </c>
      <c r="Z1169" s="19">
        <f ca="1">IF('Stock Price'!$I$11="OK",M1169/INDEX(M$5:M$1258,'Stock Price'!$I$9)-1,"")</f>
        <v>0.44936708860759467</v>
      </c>
    </row>
    <row r="1170" spans="1:26" x14ac:dyDescent="0.2">
      <c r="A1170" s="16">
        <f>'Stock Price'!A1170</f>
        <v>46170</v>
      </c>
      <c r="B1170" s="17">
        <f>'Stock Price'!E1170</f>
        <v>218.63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1126.8</v>
      </c>
      <c r="L1170" s="18">
        <v>56.91</v>
      </c>
      <c r="M1170" s="18">
        <v>230.8</v>
      </c>
      <c r="O1170" s="19">
        <f ca="1">IF('Stock Price'!$I$11="OK",B1170/INDEX(B$5:B$1258,'Stock Price'!$I$9)-1,"")</f>
        <v>0.99643868139895897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3.8794006841900144</v>
      </c>
      <c r="Y1170" s="19">
        <f ca="1">IF('Stock Price'!$I$11="OK",L1170/INDEX(L$5:L$1258,'Stock Price'!$I$9)-1,"")</f>
        <v>-3.7869822485207094E-2</v>
      </c>
      <c r="Z1170" s="19">
        <f ca="1">IF('Stock Price'!$I$11="OK",M1170/INDEX(M$5:M$1258,'Stock Price'!$I$9)-1,"")</f>
        <v>0.44629652838701594</v>
      </c>
    </row>
    <row r="1171" spans="1:26" x14ac:dyDescent="0.2">
      <c r="A1171" s="16">
        <f>'Stock Price'!A1171</f>
        <v>46171</v>
      </c>
      <c r="B1171" s="17">
        <f>'Stock Price'!E1171</f>
        <v>217.72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1105</v>
      </c>
      <c r="L1171" s="18">
        <v>57.18</v>
      </c>
      <c r="M1171" s="18">
        <v>225.33</v>
      </c>
      <c r="O1171" s="19">
        <f ca="1">IF('Stock Price'!$I$11="OK",B1171/INDEX(B$5:B$1258,'Stock Price'!$I$9)-1,"")</f>
        <v>0.9881289379965299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3.7849997834841727</v>
      </c>
      <c r="Y1171" s="19">
        <f ca="1">IF('Stock Price'!$I$11="OK",L1171/INDEX(L$5:L$1258,'Stock Price'!$I$9)-1,"")</f>
        <v>-3.3305156382079426E-2</v>
      </c>
      <c r="Z1171" s="19">
        <f ca="1">IF('Stock Price'!$I$11="OK",M1171/INDEX(M$5:M$1258,'Stock Price'!$I$9)-1,"")</f>
        <v>0.41201905000626637</v>
      </c>
    </row>
    <row r="1172" spans="1:26" x14ac:dyDescent="0.2">
      <c r="A1172" s="16">
        <f>'Stock Price'!A1172</f>
        <v>46174</v>
      </c>
      <c r="B1172" s="17">
        <f>'Stock Price'!E1172</f>
        <v>212.93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1082.2</v>
      </c>
      <c r="L1172" s="18">
        <v>54.95</v>
      </c>
      <c r="M1172" s="18">
        <v>223.51</v>
      </c>
      <c r="O1172" s="19">
        <f ca="1">IF('Stock Price'!$I$11="OK",B1172/INDEX(B$5:B$1258,'Stock Price'!$I$9)-1,"")</f>
        <v>0.94438864030682135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3.6862685662321919</v>
      </c>
      <c r="Y1172" s="19">
        <f ca="1">IF('Stock Price'!$I$11="OK",L1172/INDEX(L$5:L$1258,'Stock Price'!$I$9)-1,"")</f>
        <v>-7.1005917159763232E-2</v>
      </c>
      <c r="Z1172" s="19">
        <f ca="1">IF('Stock Price'!$I$11="OK",M1172/INDEX(M$5:M$1258,'Stock Price'!$I$9)-1,"")</f>
        <v>0.40061411204411557</v>
      </c>
    </row>
    <row r="1173" spans="1:26" x14ac:dyDescent="0.2">
      <c r="A1173" s="16">
        <f>'Stock Price'!A1173</f>
        <v>46175</v>
      </c>
      <c r="B1173" s="17">
        <f>'Stock Price'!E1173</f>
        <v>215.4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1064.1500000000001</v>
      </c>
      <c r="L1173" s="18">
        <v>54.46</v>
      </c>
      <c r="M1173" s="18">
        <v>222.89</v>
      </c>
      <c r="O1173" s="19">
        <f ca="1">IF('Stock Price'!$I$11="OK",B1173/INDEX(B$5:B$1258,'Stock Price'!$I$9)-1,"")</f>
        <v>0.96694365811341432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3.6081063525743735</v>
      </c>
      <c r="Y1173" s="19">
        <f ca="1">IF('Stock Price'!$I$11="OK",L1173/INDEX(L$5:L$1258,'Stock Price'!$I$9)-1,"")</f>
        <v>-7.928994082840235E-2</v>
      </c>
      <c r="Z1173" s="19">
        <f ca="1">IF('Stock Price'!$I$11="OK",M1173/INDEX(M$5:M$1258,'Stock Price'!$I$9)-1,"")</f>
        <v>0.39672891339766858</v>
      </c>
    </row>
    <row r="1174" spans="1:26" x14ac:dyDescent="0.2">
      <c r="A1174" s="16">
        <f>'Stock Price'!A1174</f>
        <v>46176</v>
      </c>
      <c r="B1174" s="17">
        <f>'Stock Price'!E1174</f>
        <v>217.13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1078.78</v>
      </c>
      <c r="L1174" s="18">
        <v>54.72</v>
      </c>
      <c r="M1174" s="18">
        <v>223.24</v>
      </c>
      <c r="O1174" s="19">
        <f ca="1">IF('Stock Price'!$I$11="OK",B1174/INDEX(B$5:B$1258,'Stock Price'!$I$9)-1,"")</f>
        <v>0.98274130216418576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3.6714588836443944</v>
      </c>
      <c r="Y1174" s="19">
        <f ca="1">IF('Stock Price'!$I$11="OK",L1174/INDEX(L$5:L$1258,'Stock Price'!$I$9)-1,"")</f>
        <v>-7.489433643279797E-2</v>
      </c>
      <c r="Z1174" s="19">
        <f ca="1">IF('Stock Price'!$I$11="OK",M1174/INDEX(M$5:M$1258,'Stock Price'!$I$9)-1,"")</f>
        <v>0.39892217069808233</v>
      </c>
    </row>
    <row r="1175" spans="1:26" x14ac:dyDescent="0.2">
      <c r="A1175" s="16">
        <f>'Stock Price'!A1175</f>
        <v>46177</v>
      </c>
      <c r="B1175" s="17">
        <f>'Stock Price'!E1175</f>
        <v>224.94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1125.27</v>
      </c>
      <c r="L1175" s="18">
        <v>56.6</v>
      </c>
      <c r="M1175" s="18">
        <v>228.17</v>
      </c>
      <c r="O1175" s="19">
        <f ca="1">IF('Stock Price'!$I$11="OK",B1175/INDEX(B$5:B$1258,'Stock Price'!$I$9)-1,"")</f>
        <v>1.0540589900465709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3.8727752998744203</v>
      </c>
      <c r="Y1175" s="19">
        <f ca="1">IF('Stock Price'!$I$11="OK",L1175/INDEX(L$5:L$1258,'Stock Price'!$I$9)-1,"")</f>
        <v>-4.3110735418427693E-2</v>
      </c>
      <c r="Z1175" s="19">
        <f ca="1">IF('Stock Price'!$I$11="OK",M1175/INDEX(M$5:M$1258,'Stock Price'!$I$9)-1,"")</f>
        <v>0.429815766386765</v>
      </c>
    </row>
    <row r="1176" spans="1:26" x14ac:dyDescent="0.2">
      <c r="A1176" s="16">
        <f>'Stock Price'!A1176</f>
        <v>46178</v>
      </c>
      <c r="B1176" s="17">
        <f>'Stock Price'!E1176</f>
        <v>227.23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1131.42</v>
      </c>
      <c r="L1176" s="18">
        <v>57.27</v>
      </c>
      <c r="M1176" s="18">
        <v>232.77</v>
      </c>
      <c r="O1176" s="19">
        <f ca="1">IF('Stock Price'!$I$11="OK",B1176/INDEX(B$5:B$1258,'Stock Price'!$I$9)-1,"")</f>
        <v>1.0749703223449911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3.8994067466331792</v>
      </c>
      <c r="Y1176" s="19">
        <f ca="1">IF('Stock Price'!$I$11="OK",L1176/INDEX(L$5:L$1258,'Stock Price'!$I$9)-1,"")</f>
        <v>-3.1783601014370166E-2</v>
      </c>
      <c r="Z1176" s="19">
        <f ca="1">IF('Stock Price'!$I$11="OK",M1176/INDEX(M$5:M$1258,'Stock Price'!$I$9)-1,"")</f>
        <v>0.45864143376362954</v>
      </c>
    </row>
    <row r="1177" spans="1:26" x14ac:dyDescent="0.2">
      <c r="A1177" s="16">
        <f>'Stock Price'!A1177</f>
        <v>46181</v>
      </c>
      <c r="B1177" s="17">
        <f>'Stock Price'!E1177</f>
        <v>223.07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1149.1500000000001</v>
      </c>
      <c r="L1177" s="18">
        <v>55.57</v>
      </c>
      <c r="M1177" s="18">
        <v>232.16</v>
      </c>
      <c r="O1177" s="19">
        <f ca="1">IF('Stock Price'!$I$11="OK",B1177/INDEX(B$5:B$1258,'Stock Price'!$I$9)-1,"")</f>
        <v>1.0369829239338872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3.9761832589962331</v>
      </c>
      <c r="Y1177" s="19">
        <f ca="1">IF('Stock Price'!$I$11="OK",L1177/INDEX(L$5:L$1258,'Stock Price'!$I$9)-1,"")</f>
        <v>-6.0524091293322035E-2</v>
      </c>
      <c r="Z1177" s="19">
        <f ca="1">IF('Stock Price'!$I$11="OK",M1177/INDEX(M$5:M$1258,'Stock Price'!$I$9)-1,"")</f>
        <v>0.45481889961147992</v>
      </c>
    </row>
    <row r="1178" spans="1:26" x14ac:dyDescent="0.2">
      <c r="A1178" s="16">
        <f>'Stock Price'!A1178</f>
        <v>46182</v>
      </c>
      <c r="B1178" s="17">
        <f>'Stock Price'!E1178</f>
        <v>225.42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1144.68</v>
      </c>
      <c r="L1178" s="18">
        <v>56.48</v>
      </c>
      <c r="M1178" s="18">
        <v>237</v>
      </c>
      <c r="O1178" s="19">
        <f ca="1">IF('Stock Price'!$I$11="OK",B1178/INDEX(B$5:B$1258,'Stock Price'!$I$9)-1,"")</f>
        <v>1.0584421514016982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3.9568267440349887</v>
      </c>
      <c r="Y1178" s="19">
        <f ca="1">IF('Stock Price'!$I$11="OK",L1178/INDEX(L$5:L$1258,'Stock Price'!$I$9)-1,"")</f>
        <v>-4.5139475908706705E-2</v>
      </c>
      <c r="Z1178" s="19">
        <f ca="1">IF('Stock Price'!$I$11="OK",M1178/INDEX(M$5:M$1258,'Stock Price'!$I$9)-1,"")</f>
        <v>0.48514851485148514</v>
      </c>
    </row>
    <row r="1179" spans="1:26" x14ac:dyDescent="0.2">
      <c r="A1179" s="16">
        <f>'Stock Price'!A1179</f>
        <v>46183</v>
      </c>
      <c r="B1179" s="17">
        <f>'Stock Price'!E1179</f>
        <v>224.95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1136.3699999999999</v>
      </c>
      <c r="L1179" s="18">
        <v>55.6</v>
      </c>
      <c r="M1179" s="18">
        <v>238.49</v>
      </c>
      <c r="O1179" s="19">
        <f ca="1">IF('Stock Price'!$I$11="OK",B1179/INDEX(B$5:B$1258,'Stock Price'!$I$9)-1,"")</f>
        <v>1.0541503059081361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3.920841813536569</v>
      </c>
      <c r="Y1179" s="19">
        <f ca="1">IF('Stock Price'!$I$11="OK",L1179/INDEX(L$5:L$1258,'Stock Price'!$I$9)-1,"")</f>
        <v>-6.0016906170752282E-2</v>
      </c>
      <c r="Z1179" s="19">
        <f ca="1">IF('Stock Price'!$I$11="OK",M1179/INDEX(M$5:M$1258,'Stock Price'!$I$9)-1,"")</f>
        <v>0.49448552450181715</v>
      </c>
    </row>
    <row r="1180" spans="1:26" x14ac:dyDescent="0.2">
      <c r="A1180" s="16">
        <f>'Stock Price'!A1180</f>
        <v>46184</v>
      </c>
      <c r="B1180" s="17">
        <f>'Stock Price'!E1180</f>
        <v>224.77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1160.95</v>
      </c>
      <c r="L1180" s="18">
        <v>56.9</v>
      </c>
      <c r="M1180" s="18">
        <v>238.33</v>
      </c>
      <c r="O1180" s="19">
        <f ca="1">IF('Stock Price'!$I$11="OK",B1180/INDEX(B$5:B$1258,'Stock Price'!$I$9)-1,"")</f>
        <v>1.0525066203999636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4.0272809942406793</v>
      </c>
      <c r="Y1180" s="19">
        <f ca="1">IF('Stock Price'!$I$11="OK",L1180/INDEX(L$5:L$1258,'Stock Price'!$I$9)-1,"")</f>
        <v>-3.8038884192730382E-2</v>
      </c>
      <c r="Z1180" s="19">
        <f ca="1">IF('Stock Price'!$I$11="OK",M1180/INDEX(M$5:M$1258,'Stock Price'!$I$9)-1,"")</f>
        <v>0.49348289259305678</v>
      </c>
    </row>
    <row r="1181" spans="1:26" x14ac:dyDescent="0.2">
      <c r="A1181" s="16">
        <f>'Stock Price'!A1181</f>
        <v>46185</v>
      </c>
      <c r="B1181" s="17">
        <f>'Stock Price'!E1181</f>
        <v>227.73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1133</v>
      </c>
      <c r="L1181" s="18">
        <v>57.13</v>
      </c>
      <c r="M1181" s="18">
        <v>240.87</v>
      </c>
      <c r="O1181" s="19">
        <f ca="1">IF('Stock Price'!$I$11="OK",B1181/INDEX(B$5:B$1258,'Stock Price'!$I$9)-1,"")</f>
        <v>1.0795361154232488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3.9062486467760795</v>
      </c>
      <c r="Y1181" s="19">
        <f ca="1">IF('Stock Price'!$I$11="OK",L1181/INDEX(L$5:L$1258,'Stock Price'!$I$9)-1,"")</f>
        <v>-3.4150464919695644E-2</v>
      </c>
      <c r="Z1181" s="19">
        <f ca="1">IF('Stock Price'!$I$11="OK",M1181/INDEX(M$5:M$1258,'Stock Price'!$I$9)-1,"")</f>
        <v>0.50939967414462961</v>
      </c>
    </row>
    <row r="1182" spans="1:26" x14ac:dyDescent="0.2">
      <c r="A1182" s="16">
        <f>'Stock Price'!A1182</f>
        <v>46188</v>
      </c>
      <c r="B1182" s="17">
        <f>'Stock Price'!E1182</f>
        <v>221.59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1129.3499999999999</v>
      </c>
      <c r="L1182" s="18">
        <v>56.24</v>
      </c>
      <c r="M1182" s="18">
        <v>235.66</v>
      </c>
      <c r="O1182" s="19">
        <f ca="1">IF('Stock Price'!$I$11="OK",B1182/INDEX(B$5:B$1258,'Stock Price'!$I$9)-1,"")</f>
        <v>1.0234681764222446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3.8904429913826695</v>
      </c>
      <c r="Y1182" s="19">
        <f ca="1">IF('Stock Price'!$I$11="OK",L1182/INDEX(L$5:L$1258,'Stock Price'!$I$9)-1,"")</f>
        <v>-4.9196956889264509E-2</v>
      </c>
      <c r="Z1182" s="19">
        <f ca="1">IF('Stock Price'!$I$11="OK",M1182/INDEX(M$5:M$1258,'Stock Price'!$I$9)-1,"")</f>
        <v>0.4767514726156159</v>
      </c>
    </row>
    <row r="1183" spans="1:26" x14ac:dyDescent="0.2">
      <c r="A1183" s="16">
        <f>'Stock Price'!A1183</f>
        <v>46189</v>
      </c>
      <c r="B1183" s="17">
        <f>'Stock Price'!E1183</f>
        <v>222.47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1122.5</v>
      </c>
      <c r="L1183" s="18">
        <v>55.92</v>
      </c>
      <c r="M1183" s="18">
        <v>235.18</v>
      </c>
      <c r="O1183" s="19">
        <f ca="1">IF('Stock Price'!$I$11="OK",B1183/INDEX(B$5:B$1258,'Stock Price'!$I$9)-1,"")</f>
        <v>1.0315039722399781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3.860780323041614</v>
      </c>
      <c r="Y1183" s="19">
        <f ca="1">IF('Stock Price'!$I$11="OK",L1183/INDEX(L$5:L$1258,'Stock Price'!$I$9)-1,"")</f>
        <v>-5.4606931530008396E-2</v>
      </c>
      <c r="Z1183" s="19">
        <f ca="1">IF('Stock Price'!$I$11="OK",M1183/INDEX(M$5:M$1258,'Stock Price'!$I$9)-1,"")</f>
        <v>0.47374357688933433</v>
      </c>
    </row>
    <row r="1184" spans="1:26" x14ac:dyDescent="0.2">
      <c r="A1184" s="16">
        <f>'Stock Price'!A1184</f>
        <v>46190</v>
      </c>
      <c r="B1184" s="17">
        <f>'Stock Price'!E1184</f>
        <v>221.23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1112</v>
      </c>
      <c r="L1184" s="18">
        <v>55.28</v>
      </c>
      <c r="M1184" s="18">
        <v>234.2</v>
      </c>
      <c r="O1184" s="19">
        <f ca="1">IF('Stock Price'!$I$11="OK",B1184/INDEX(B$5:B$1258,'Stock Price'!$I$9)-1,"")</f>
        <v>1.0201808054058987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3.8153119993071494</v>
      </c>
      <c r="Y1184" s="19">
        <f ca="1">IF('Stock Price'!$I$11="OK",L1184/INDEX(L$5:L$1258,'Stock Price'!$I$9)-1,"")</f>
        <v>-6.5426880811496169E-2</v>
      </c>
      <c r="Z1184" s="19">
        <f ca="1">IF('Stock Price'!$I$11="OK",M1184/INDEX(M$5:M$1258,'Stock Price'!$I$9)-1,"")</f>
        <v>0.46760245644817622</v>
      </c>
    </row>
    <row r="1185" spans="1:26" x14ac:dyDescent="0.2">
      <c r="A1185" s="16">
        <f>'Stock Price'!A1185</f>
        <v>46191</v>
      </c>
      <c r="B1185" s="17">
        <f>'Stock Price'!E1185</f>
        <v>216.49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1098.57</v>
      </c>
      <c r="L1185" s="18">
        <v>54</v>
      </c>
      <c r="M1185" s="18">
        <v>228.39</v>
      </c>
      <c r="O1185" s="19">
        <f ca="1">IF('Stock Price'!$I$11="OK",B1185/INDEX(B$5:B$1258,'Stock Price'!$I$9)-1,"")</f>
        <v>0.97689708702401612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3.7571558480924949</v>
      </c>
      <c r="Y1185" s="19">
        <f ca="1">IF('Stock Price'!$I$11="OK",L1185/INDEX(L$5:L$1258,'Stock Price'!$I$9)-1,"")</f>
        <v>-8.7066779374471714E-2</v>
      </c>
      <c r="Z1185" s="19">
        <f ca="1">IF('Stock Price'!$I$11="OK",M1185/INDEX(M$5:M$1258,'Stock Price'!$I$9)-1,"")</f>
        <v>0.43119438526131071</v>
      </c>
    </row>
    <row r="1186" spans="1:26" x14ac:dyDescent="0.2">
      <c r="A1186" s="16">
        <f>'Stock Price'!A1186</f>
        <v>46195</v>
      </c>
      <c r="B1186" s="17">
        <f>'Stock Price'!E1186</f>
        <v>230.01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1102.08</v>
      </c>
      <c r="L1186" s="18">
        <v>54.7</v>
      </c>
      <c r="M1186" s="18">
        <v>231.29</v>
      </c>
      <c r="O1186" s="19">
        <f ca="1">IF('Stock Price'!$I$11="OK",B1186/INDEX(B$5:B$1258,'Stock Price'!$I$9)-1,"")</f>
        <v>1.1003561318601038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3.7723552591694451</v>
      </c>
      <c r="Y1186" s="19">
        <f ca="1">IF('Stock Price'!$I$11="OK",L1186/INDEX(L$5:L$1258,'Stock Price'!$I$9)-1,"")</f>
        <v>-7.5232459847844435E-2</v>
      </c>
      <c r="Z1186" s="19">
        <f ca="1">IF('Stock Price'!$I$11="OK",M1186/INDEX(M$5:M$1258,'Stock Price'!$I$9)-1,"")</f>
        <v>0.44936708860759467</v>
      </c>
    </row>
    <row r="1187" spans="1:26" x14ac:dyDescent="0.2">
      <c r="A1187" s="16">
        <f>'Stock Price'!A1187</f>
        <v>46196</v>
      </c>
      <c r="B1187" s="17">
        <f>'Stock Price'!E1187</f>
        <v>234.76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1107.08</v>
      </c>
      <c r="L1187" s="18">
        <v>55.53</v>
      </c>
      <c r="M1187" s="18">
        <v>239.08</v>
      </c>
      <c r="O1187" s="19">
        <f ca="1">IF('Stock Price'!$I$11="OK",B1187/INDEX(B$5:B$1258,'Stock Price'!$I$9)-1,"")</f>
        <v>1.1437311661035521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3.794006841900142</v>
      </c>
      <c r="Y1187" s="19">
        <f ca="1">IF('Stock Price'!$I$11="OK",L1187/INDEX(L$5:L$1258,'Stock Price'!$I$9)-1,"")</f>
        <v>-6.1200338123414966E-2</v>
      </c>
      <c r="Z1187" s="19">
        <f ca="1">IF('Stock Price'!$I$11="OK",M1187/INDEX(M$5:M$1258,'Stock Price'!$I$9)-1,"")</f>
        <v>0.49818272966537158</v>
      </c>
    </row>
    <row r="1188" spans="1:26" x14ac:dyDescent="0.2">
      <c r="A1188" s="16">
        <f>'Stock Price'!A1188</f>
        <v>46197</v>
      </c>
      <c r="B1188" s="17">
        <f>'Stock Price'!E1188</f>
        <v>234.89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1117.26</v>
      </c>
      <c r="L1188" s="18">
        <v>55</v>
      </c>
      <c r="M1188" s="18">
        <v>241</v>
      </c>
      <c r="O1188" s="19">
        <f ca="1">IF('Stock Price'!$I$11="OK",B1188/INDEX(B$5:B$1258,'Stock Price'!$I$9)-1,"")</f>
        <v>1.1449182723038991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3.8380894643398431</v>
      </c>
      <c r="Y1188" s="19">
        <f ca="1">IF('Stock Price'!$I$11="OK",L1188/INDEX(L$5:L$1258,'Stock Price'!$I$9)-1,"")</f>
        <v>-7.0160608622147014E-2</v>
      </c>
      <c r="Z1188" s="19">
        <f ca="1">IF('Stock Price'!$I$11="OK",M1188/INDEX(M$5:M$1258,'Stock Price'!$I$9)-1,"")</f>
        <v>0.51021431257049743</v>
      </c>
    </row>
    <row r="1189" spans="1:26" x14ac:dyDescent="0.2">
      <c r="A1189" s="16">
        <f>'Stock Price'!A1189</f>
        <v>46198</v>
      </c>
      <c r="B1189" s="17">
        <f>'Stock Price'!E1189</f>
        <v>243.14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1127.69</v>
      </c>
      <c r="L1189" s="18">
        <v>55.39</v>
      </c>
      <c r="M1189" s="18">
        <v>244.88</v>
      </c>
      <c r="O1189" s="19">
        <f ca="1">IF('Stock Price'!$I$11="OK",B1189/INDEX(B$5:B$1258,'Stock Price'!$I$9)-1,"")</f>
        <v>1.220253858095151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3.8832546659160787</v>
      </c>
      <c r="Y1189" s="19">
        <f ca="1">IF('Stock Price'!$I$11="OK",L1189/INDEX(L$5:L$1258,'Stock Price'!$I$9)-1,"")</f>
        <v>-6.3567202028740444E-2</v>
      </c>
      <c r="Z1189" s="19">
        <f ca="1">IF('Stock Price'!$I$11="OK",M1189/INDEX(M$5:M$1258,'Stock Price'!$I$9)-1,"")</f>
        <v>0.5345281363579395</v>
      </c>
    </row>
    <row r="1190" spans="1:26" x14ac:dyDescent="0.2">
      <c r="A1190" s="16">
        <f>'Stock Price'!A1190</f>
        <v>46199</v>
      </c>
      <c r="B1190" s="17">
        <f>'Stock Price'!E1190</f>
        <v>253.35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1208.1199999999999</v>
      </c>
      <c r="L1190" s="18">
        <v>57.52</v>
      </c>
      <c r="M1190" s="18">
        <v>254.66</v>
      </c>
      <c r="O1190" s="19">
        <f ca="1">IF('Stock Price'!$I$11="OK",B1190/INDEX(B$5:B$1258,'Stock Price'!$I$9)-1,"")</f>
        <v>1.3134873527531732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4.2315420257220797</v>
      </c>
      <c r="Y1190" s="19">
        <f ca="1">IF('Stock Price'!$I$11="OK",L1190/INDEX(L$5:L$1258,'Stock Price'!$I$9)-1,"")</f>
        <v>-2.7557058326289074E-2</v>
      </c>
      <c r="Z1190" s="19">
        <f ca="1">IF('Stock Price'!$I$11="OK",M1190/INDEX(M$5:M$1258,'Stock Price'!$I$9)-1,"")</f>
        <v>0.59581401178092475</v>
      </c>
    </row>
    <row r="1191" spans="1:26" x14ac:dyDescent="0.2">
      <c r="A1191" s="16">
        <f>'Stock Price'!A1191</f>
        <v>46202</v>
      </c>
      <c r="B1191" s="17">
        <f>'Stock Price'!E1191</f>
        <v>254.31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1229.93</v>
      </c>
      <c r="L1191" s="18">
        <v>58.56</v>
      </c>
      <c r="M1191" s="18">
        <v>258.51</v>
      </c>
      <c r="O1191" s="19">
        <f ca="1">IF('Stock Price'!$I$11="OK",B1191/INDEX(B$5:B$1258,'Stock Price'!$I$9)-1,"")</f>
        <v>1.3222536754634278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4.3259862295933837</v>
      </c>
      <c r="Y1191" s="19">
        <f ca="1">IF('Stock Price'!$I$11="OK",L1191/INDEX(L$5:L$1258,'Stock Price'!$I$9)-1,"")</f>
        <v>-9.9746407438714435E-3</v>
      </c>
      <c r="Z1191" s="19">
        <f ca="1">IF('Stock Price'!$I$11="OK",M1191/INDEX(M$5:M$1258,'Stock Price'!$I$9)-1,"")</f>
        <v>0.61993984208547426</v>
      </c>
    </row>
    <row r="1192" spans="1:26" x14ac:dyDescent="0.2">
      <c r="A1192" s="16">
        <f>'Stock Price'!A1192</f>
        <v>46203</v>
      </c>
      <c r="B1192" s="17">
        <f>'Stock Price'!E1192</f>
        <v>251.64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1199.43</v>
      </c>
      <c r="L1192" s="18">
        <v>57.62</v>
      </c>
      <c r="M1192" s="18">
        <v>253.97</v>
      </c>
      <c r="O1192" s="19">
        <f ca="1">IF('Stock Price'!$I$11="OK",B1192/INDEX(B$5:B$1258,'Stock Price'!$I$9)-1,"")</f>
        <v>1.2978723404255317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4.193911574936128</v>
      </c>
      <c r="Y1192" s="19">
        <f ca="1">IF('Stock Price'!$I$11="OK",L1192/INDEX(L$5:L$1258,'Stock Price'!$I$9)-1,"")</f>
        <v>-2.5866441251056638E-2</v>
      </c>
      <c r="Z1192" s="19">
        <f ca="1">IF('Stock Price'!$I$11="OK",M1192/INDEX(M$5:M$1258,'Stock Price'!$I$9)-1,"")</f>
        <v>0.59149016167439505</v>
      </c>
    </row>
    <row r="1193" spans="1:26" x14ac:dyDescent="0.2">
      <c r="A1193" s="16">
        <f>'Stock Price'!A1193</f>
        <v>46204</v>
      </c>
      <c r="B1193" s="17">
        <f>'Stock Price'!E1193</f>
        <v>251.06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1191.74</v>
      </c>
      <c r="L1193" s="18">
        <v>56.44</v>
      </c>
      <c r="M1193" s="18">
        <v>253.98</v>
      </c>
      <c r="O1193" s="19">
        <f ca="1">IF('Stock Price'!$I$11="OK",B1193/INDEX(B$5:B$1258,'Stock Price'!$I$9)-1,"")</f>
        <v>1.2925760204547529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4.1606114406963144</v>
      </c>
      <c r="Y1193" s="19">
        <f ca="1">IF('Stock Price'!$I$11="OK",L1193/INDEX(L$5:L$1258,'Stock Price'!$I$9)-1,"")</f>
        <v>-4.5815722738799636E-2</v>
      </c>
      <c r="Z1193" s="19">
        <f ca="1">IF('Stock Price'!$I$11="OK",M1193/INDEX(M$5:M$1258,'Stock Price'!$I$9)-1,"")</f>
        <v>0.59155282616869265</v>
      </c>
    </row>
    <row r="1194" spans="1:26" x14ac:dyDescent="0.2">
      <c r="A1194" s="16">
        <f>'Stock Price'!A1194</f>
        <v>46205</v>
      </c>
      <c r="B1194" s="17">
        <f>'Stock Price'!E1194</f>
        <v>261.07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1213.9100000000001</v>
      </c>
      <c r="L1194" s="18">
        <v>58.13</v>
      </c>
      <c r="M1194" s="18">
        <v>263.04000000000002</v>
      </c>
      <c r="O1194" s="19">
        <f ca="1">IF('Stock Price'!$I$11="OK",B1194/INDEX(B$5:B$1258,'Stock Price'!$I$9)-1,"")</f>
        <v>1.3839831978814718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4.2566145585242285</v>
      </c>
      <c r="Y1194" s="19">
        <f ca="1">IF('Stock Price'!$I$11="OK",L1194/INDEX(L$5:L$1258,'Stock Price'!$I$9)-1,"")</f>
        <v>-1.7244294167371055E-2</v>
      </c>
      <c r="Z1194" s="19">
        <f ca="1">IF('Stock Price'!$I$11="OK",M1194/INDEX(M$5:M$1258,'Stock Price'!$I$9)-1,"")</f>
        <v>0.64832685800225587</v>
      </c>
    </row>
    <row r="1195" spans="1:26" x14ac:dyDescent="0.2">
      <c r="A1195" s="16">
        <f>'Stock Price'!A1195</f>
        <v>46209</v>
      </c>
      <c r="B1195" s="17">
        <f>'Stock Price'!E1195</f>
        <v>254.76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1200.06</v>
      </c>
      <c r="L1195" s="18">
        <v>56.7</v>
      </c>
      <c r="M1195" s="18">
        <v>259.33</v>
      </c>
      <c r="O1195" s="19">
        <f ca="1">IF('Stock Price'!$I$11="OK",B1195/INDEX(B$5:B$1258,'Stock Price'!$I$9)-1,"")</f>
        <v>1.3263628892338599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4.1966396743601955</v>
      </c>
      <c r="Y1195" s="19">
        <f ca="1">IF('Stock Price'!$I$11="OK",L1195/INDEX(L$5:L$1258,'Stock Price'!$I$9)-1,"")</f>
        <v>-4.1420118343195145E-2</v>
      </c>
      <c r="Z1195" s="19">
        <f ca="1">IF('Stock Price'!$I$11="OK",M1195/INDEX(M$5:M$1258,'Stock Price'!$I$9)-1,"")</f>
        <v>0.62507833061787177</v>
      </c>
    </row>
    <row r="1196" spans="1:26" x14ac:dyDescent="0.2">
      <c r="A1196" s="16">
        <f>'Stock Price'!A1196</f>
        <v>46210</v>
      </c>
      <c r="B1196" s="17">
        <f>'Stock Price'!E1196</f>
        <v>254.65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1235.56</v>
      </c>
      <c r="L1196" s="18">
        <v>57.97</v>
      </c>
      <c r="M1196" s="18">
        <v>267.24</v>
      </c>
      <c r="O1196" s="19">
        <f ca="1">IF('Stock Price'!$I$11="OK",B1196/INDEX(B$5:B$1258,'Stock Price'!$I$9)-1,"")</f>
        <v>1.3253584147566433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4.3503659117481481</v>
      </c>
      <c r="Y1196" s="19">
        <f ca="1">IF('Stock Price'!$I$11="OK",L1196/INDEX(L$5:L$1258,'Stock Price'!$I$9)-1,"")</f>
        <v>-1.9949281487742998E-2</v>
      </c>
      <c r="Z1196" s="19">
        <f ca="1">IF('Stock Price'!$I$11="OK",M1196/INDEX(M$5:M$1258,'Stock Price'!$I$9)-1,"")</f>
        <v>0.67464594560721891</v>
      </c>
    </row>
    <row r="1197" spans="1:26" x14ac:dyDescent="0.2">
      <c r="A1197" s="16">
        <f>'Stock Price'!A1197</f>
        <v>46211</v>
      </c>
      <c r="B1197" s="17">
        <f>'Stock Price'!E1197</f>
        <v>252.74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1215.83</v>
      </c>
      <c r="L1197" s="18">
        <v>57.54</v>
      </c>
      <c r="M1197" s="18">
        <v>263.39999999999998</v>
      </c>
      <c r="O1197" s="19">
        <f ca="1">IF('Stock Price'!$I$11="OK",B1197/INDEX(B$5:B$1258,'Stock Price'!$I$9)-1,"")</f>
        <v>1.3079170851976989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4.2649287662928153</v>
      </c>
      <c r="Y1197" s="19">
        <f ca="1">IF('Stock Price'!$I$11="OK",L1197/INDEX(L$5:L$1258,'Stock Price'!$I$9)-1,"")</f>
        <v>-2.7218934911242609E-2</v>
      </c>
      <c r="Z1197" s="19">
        <f ca="1">IF('Stock Price'!$I$11="OK",M1197/INDEX(M$5:M$1258,'Stock Price'!$I$9)-1,"")</f>
        <v>0.65058277979696677</v>
      </c>
    </row>
    <row r="1198" spans="1:26" x14ac:dyDescent="0.2">
      <c r="A1198" s="16">
        <f>'Stock Price'!A1198</f>
        <v>46212</v>
      </c>
      <c r="B1198" s="17">
        <f>'Stock Price'!E1198</f>
        <v>249.91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1216.95</v>
      </c>
      <c r="L1198" s="18">
        <v>57.94</v>
      </c>
      <c r="M1198" s="18">
        <v>259.10000000000002</v>
      </c>
      <c r="O1198" s="19">
        <f ca="1">IF('Stock Price'!$I$11="OK",B1198/INDEX(B$5:B$1258,'Stock Price'!$I$9)-1,"")</f>
        <v>1.2820746963747602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4.2697787208244922</v>
      </c>
      <c r="Y1198" s="19">
        <f ca="1">IF('Stock Price'!$I$11="OK",L1198/INDEX(L$5:L$1258,'Stock Price'!$I$9)-1,"")</f>
        <v>-2.0456466610312751E-2</v>
      </c>
      <c r="Z1198" s="19">
        <f ca="1">IF('Stock Price'!$I$11="OK",M1198/INDEX(M$5:M$1258,'Stock Price'!$I$9)-1,"")</f>
        <v>0.62363704724902869</v>
      </c>
    </row>
    <row r="1199" spans="1:26" x14ac:dyDescent="0.2">
      <c r="A1199" s="16">
        <f>'Stock Price'!A1199</f>
        <v>46213</v>
      </c>
      <c r="B1199" s="17">
        <f>'Stock Price'!E1199</f>
        <v>248.08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1188.58</v>
      </c>
      <c r="L1199" s="18">
        <v>57.58</v>
      </c>
      <c r="M1199" s="18">
        <v>256.98</v>
      </c>
      <c r="O1199" s="19">
        <f ca="1">IF('Stock Price'!$I$11="OK",B1199/INDEX(B$5:B$1258,'Stock Price'!$I$9)-1,"")</f>
        <v>1.2653638937083374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4.1469276404105138</v>
      </c>
      <c r="Y1199" s="19">
        <f ca="1">IF('Stock Price'!$I$11="OK",L1199/INDEX(L$5:L$1258,'Stock Price'!$I$9)-1,"")</f>
        <v>-2.6542688081149679E-2</v>
      </c>
      <c r="Z1199" s="19">
        <f ca="1">IF('Stock Price'!$I$11="OK",M1199/INDEX(M$5:M$1258,'Stock Price'!$I$9)-1,"")</f>
        <v>0.61035217445795209</v>
      </c>
    </row>
    <row r="1200" spans="1:26" x14ac:dyDescent="0.2">
      <c r="A1200" s="16">
        <f>'Stock Price'!A1200</f>
        <v>46216</v>
      </c>
      <c r="B1200" s="17">
        <f>'Stock Price'!E1200</f>
        <v>248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1181.8699999999999</v>
      </c>
      <c r="L1200" s="18">
        <v>59.34</v>
      </c>
      <c r="M1200" s="18">
        <v>257.77</v>
      </c>
      <c r="O1200" s="19">
        <f ca="1">IF('Stock Price'!$I$11="OK",B1200/INDEX(B$5:B$1258,'Stock Price'!$I$9)-1,"")</f>
        <v>1.2646333668158158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4.1178712163859172</v>
      </c>
      <c r="Y1200" s="19">
        <f ca="1">IF('Stock Price'!$I$11="OK",L1200/INDEX(L$5:L$1258,'Stock Price'!$I$9)-1,"")</f>
        <v>3.2121724429416965E-3</v>
      </c>
      <c r="Z1200" s="19">
        <f ca="1">IF('Stock Price'!$I$11="OK",M1200/INDEX(M$5:M$1258,'Stock Price'!$I$9)-1,"")</f>
        <v>0.61530266950745682</v>
      </c>
    </row>
    <row r="1201" spans="1:26" x14ac:dyDescent="0.2">
      <c r="A1201" s="16">
        <f>'Stock Price'!A1201</f>
        <v>46217</v>
      </c>
      <c r="B1201" s="17">
        <f>'Stock Price'!E1201</f>
        <v>244.78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1152.54</v>
      </c>
      <c r="L1201" s="18">
        <v>56.95</v>
      </c>
      <c r="M1201" s="18">
        <v>253.85</v>
      </c>
      <c r="O1201" s="19">
        <f ca="1">IF('Stock Price'!$I$11="OK",B1201/INDEX(B$5:B$1258,'Stock Price'!$I$9)-1,"")</f>
        <v>1.2352296593918362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3.9908630320876455</v>
      </c>
      <c r="Y1201" s="19">
        <f ca="1">IF('Stock Price'!$I$11="OK",L1201/INDEX(L$5:L$1258,'Stock Price'!$I$9)-1,"")</f>
        <v>-3.7193575655114053E-2</v>
      </c>
      <c r="Z1201" s="19">
        <f ca="1">IF('Stock Price'!$I$11="OK",M1201/INDEX(M$5:M$1258,'Stock Price'!$I$9)-1,"")</f>
        <v>0.59073818774282483</v>
      </c>
    </row>
    <row r="1202" spans="1:26" x14ac:dyDescent="0.2">
      <c r="A1202" s="16">
        <f>'Stock Price'!A1202</f>
        <v>46218</v>
      </c>
      <c r="B1202" s="17">
        <f>'Stock Price'!E1202</f>
        <v>244.11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1156.6300000000001</v>
      </c>
      <c r="L1202" s="18">
        <v>58.72</v>
      </c>
      <c r="M1202" s="18">
        <v>247.02</v>
      </c>
      <c r="O1202" s="19">
        <f ca="1">IF('Stock Price'!$I$11="OK",B1202/INDEX(B$5:B$1258,'Stock Price'!$I$9)-1,"")</f>
        <v>1.2291114966669712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4.008574026761357</v>
      </c>
      <c r="Y1202" s="19">
        <f ca="1">IF('Stock Price'!$I$11="OK",L1202/INDEX(L$5:L$1258,'Stock Price'!$I$9)-1,"")</f>
        <v>-7.2696534234996113E-3</v>
      </c>
      <c r="Z1202" s="19">
        <f ca="1">IF('Stock Price'!$I$11="OK",M1202/INDEX(M$5:M$1258,'Stock Price'!$I$9)-1,"")</f>
        <v>0.54793833813761128</v>
      </c>
    </row>
    <row r="1203" spans="1:26" x14ac:dyDescent="0.2">
      <c r="A1203" s="16">
        <f>'Stock Price'!A1203</f>
        <v>46219</v>
      </c>
      <c r="B1203" s="17">
        <f>'Stock Price'!E1203</f>
        <v>254.39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1169.17</v>
      </c>
      <c r="L1203" s="18">
        <v>60.51</v>
      </c>
      <c r="M1203" s="18">
        <v>249.97</v>
      </c>
      <c r="O1203" s="19">
        <f ca="1">IF('Stock Price'!$I$11="OK",B1203/INDEX(B$5:B$1258,'Stock Price'!$I$9)-1,"")</f>
        <v>1.3229842023559488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4.0628761962499462</v>
      </c>
      <c r="Y1203" s="19">
        <f ca="1">IF('Stock Price'!$I$11="OK",L1203/INDEX(L$5:L$1258,'Stock Price'!$I$9)-1,"")</f>
        <v>2.2992392223161406E-2</v>
      </c>
      <c r="Z1203" s="19">
        <f ca="1">IF('Stock Price'!$I$11="OK",M1203/INDEX(M$5:M$1258,'Stock Price'!$I$9)-1,"")</f>
        <v>0.56642436395538276</v>
      </c>
    </row>
    <row r="1204" spans="1:26" x14ac:dyDescent="0.2">
      <c r="A1204" s="16">
        <f>'Stock Price'!A1204</f>
        <v>46220</v>
      </c>
      <c r="B1204" s="17">
        <f>'Stock Price'!E1204</f>
        <v>254.49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1179.1099999999999</v>
      </c>
      <c r="L1204" s="18">
        <v>60.74</v>
      </c>
      <c r="M1204" s="18">
        <v>253.04</v>
      </c>
      <c r="O1204" s="19">
        <f ca="1">IF('Stock Price'!$I$11="OK",B1204/INDEX(B$5:B$1258,'Stock Price'!$I$9)-1,"")</f>
        <v>1.3238973609716007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4.1059195427185724</v>
      </c>
      <c r="Y1204" s="19">
        <f ca="1">IF('Stock Price'!$I$11="OK",L1204/INDEX(L$5:L$1258,'Stock Price'!$I$9)-1,"")</f>
        <v>2.6880811496196255E-2</v>
      </c>
      <c r="Z1204" s="19">
        <f ca="1">IF('Stock Price'!$I$11="OK",M1204/INDEX(M$5:M$1258,'Stock Price'!$I$9)-1,"")</f>
        <v>0.58566236370472469</v>
      </c>
    </row>
    <row r="1205" spans="1:26" x14ac:dyDescent="0.2">
      <c r="A1205" s="16">
        <f>'Stock Price'!A1205</f>
        <v>46223</v>
      </c>
      <c r="B1205" s="17">
        <f>'Stock Price'!E1205</f>
        <v>253.38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1146.9000000000001</v>
      </c>
      <c r="L1205" s="18">
        <v>60.16</v>
      </c>
      <c r="M1205" s="18">
        <v>248.82</v>
      </c>
      <c r="O1205" s="19">
        <f ca="1">IF('Stock Price'!$I$11="OK",B1205/INDEX(B$5:B$1258,'Stock Price'!$I$9)-1,"")</f>
        <v>1.3137613003378688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3.9664400467674188</v>
      </c>
      <c r="Y1205" s="19">
        <f ca="1">IF('Stock Price'!$I$11="OK",L1205/INDEX(L$5:L$1258,'Stock Price'!$I$9)-1,"")</f>
        <v>1.7075232459847767E-2</v>
      </c>
      <c r="Z1205" s="19">
        <f ca="1">IF('Stock Price'!$I$11="OK",M1205/INDEX(M$5:M$1258,'Stock Price'!$I$9)-1,"")</f>
        <v>0.55921794711116668</v>
      </c>
    </row>
    <row r="1206" spans="1:26" x14ac:dyDescent="0.2">
      <c r="A1206" s="16">
        <f>'Stock Price'!A1206</f>
        <v>46224</v>
      </c>
      <c r="B1206" s="17">
        <f>'Stock Price'!E1206</f>
        <v>256.10000000000002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1175.4100000000001</v>
      </c>
      <c r="L1206" s="18">
        <v>60.93</v>
      </c>
      <c r="M1206" s="18">
        <v>250.61</v>
      </c>
      <c r="O1206" s="19">
        <f ca="1">IF('Stock Price'!$I$11="OK",B1206/INDEX(B$5:B$1258,'Stock Price'!$I$9)-1,"")</f>
        <v>1.3385992146835908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4.089897371497857</v>
      </c>
      <c r="Y1206" s="19">
        <f ca="1">IF('Stock Price'!$I$11="OK",L1206/INDEX(L$5:L$1258,'Stock Price'!$I$9)-1,"")</f>
        <v>3.009298393913773E-2</v>
      </c>
      <c r="Z1206" s="19">
        <f ca="1">IF('Stock Price'!$I$11="OK",M1206/INDEX(M$5:M$1258,'Stock Price'!$I$9)-1,"")</f>
        <v>0.57043489159042493</v>
      </c>
    </row>
    <row r="1207" spans="1:26" x14ac:dyDescent="0.2">
      <c r="A1207" s="16">
        <f>'Stock Price'!A1207</f>
        <v>46225</v>
      </c>
      <c r="B1207" s="17">
        <f>'Stock Price'!E1207</f>
        <v>253.3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1163.01</v>
      </c>
      <c r="L1207" s="18">
        <v>60.76</v>
      </c>
      <c r="M1207" s="18">
        <v>255.63</v>
      </c>
      <c r="O1207" s="19">
        <f ca="1">IF('Stock Price'!$I$11="OK",B1207/INDEX(B$5:B$1258,'Stock Price'!$I$9)-1,"")</f>
        <v>1.3130307734453472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4.0362014463257259</v>
      </c>
      <c r="Y1207" s="19">
        <f ca="1">IF('Stock Price'!$I$11="OK",L1207/INDEX(L$5:L$1258,'Stock Price'!$I$9)-1,"")</f>
        <v>2.7218934911242609E-2</v>
      </c>
      <c r="Z1207" s="19">
        <f ca="1">IF('Stock Price'!$I$11="OK",M1207/INDEX(M$5:M$1258,'Stock Price'!$I$9)-1,"")</f>
        <v>0.60189246772778526</v>
      </c>
    </row>
    <row r="1208" spans="1:26" x14ac:dyDescent="0.2">
      <c r="A1208" s="16">
        <f>'Stock Price'!A1208</f>
        <v>46226</v>
      </c>
      <c r="B1208" s="17">
        <f>'Stock Price'!E1208</f>
        <v>256.92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1185.8699999999999</v>
      </c>
      <c r="L1208" s="18">
        <v>61.51</v>
      </c>
      <c r="M1208" s="18">
        <v>259.27</v>
      </c>
      <c r="O1208" s="19">
        <f ca="1">IF('Stock Price'!$I$11="OK",B1208/INDEX(B$5:B$1258,'Stock Price'!$I$9)-1,"")</f>
        <v>1.3460871153319331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4.1351924825704751</v>
      </c>
      <c r="Y1208" s="19">
        <f ca="1">IF('Stock Price'!$I$11="OK",L1208/INDEX(L$5:L$1258,'Stock Price'!$I$9)-1,"")</f>
        <v>3.9898562975485996E-2</v>
      </c>
      <c r="Z1208" s="19">
        <f ca="1">IF('Stock Price'!$I$11="OK",M1208/INDEX(M$5:M$1258,'Stock Price'!$I$9)-1,"")</f>
        <v>0.62470234365208643</v>
      </c>
    </row>
    <row r="1209" spans="1:26" x14ac:dyDescent="0.2">
      <c r="A1209" s="16">
        <f>'Stock Price'!A1209</f>
        <v>46227</v>
      </c>
      <c r="B1209" s="17">
        <f>'Stock Price'!E1209</f>
        <v>259.36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1196.03</v>
      </c>
      <c r="L1209" s="18">
        <v>62.09</v>
      </c>
      <c r="M1209" s="18">
        <v>263.39999999999998</v>
      </c>
      <c r="O1209" s="19">
        <f ca="1">IF('Stock Price'!$I$11="OK",B1209/INDEX(B$5:B$1258,'Stock Price'!$I$9)-1,"")</f>
        <v>1.3683681855538308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4.1791884986792533</v>
      </c>
      <c r="Y1209" s="19">
        <f ca="1">IF('Stock Price'!$I$11="OK",L1209/INDEX(L$5:L$1258,'Stock Price'!$I$9)-1,"")</f>
        <v>4.9704142011834485E-2</v>
      </c>
      <c r="Z1209" s="19">
        <f ca="1">IF('Stock Price'!$I$11="OK",M1209/INDEX(M$5:M$1258,'Stock Price'!$I$9)-1,"")</f>
        <v>0.65058277979696677</v>
      </c>
    </row>
    <row r="1210" spans="1:26" x14ac:dyDescent="0.2">
      <c r="A1210" s="16">
        <f>'Stock Price'!A1210</f>
        <v>46230</v>
      </c>
      <c r="B1210" s="17">
        <f>'Stock Price'!E1210</f>
        <v>256.91000000000003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1197.53</v>
      </c>
      <c r="L1210" s="18">
        <v>62.56</v>
      </c>
      <c r="M1210" s="18">
        <v>265.95</v>
      </c>
      <c r="O1210" s="19">
        <f ca="1">IF('Stock Price'!$I$11="OK",B1210/INDEX(B$5:B$1258,'Stock Price'!$I$9)-1,"")</f>
        <v>1.345995799470368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4.1856839734984623</v>
      </c>
      <c r="Y1210" s="19">
        <f ca="1">IF('Stock Price'!$I$11="OK",L1210/INDEX(L$5:L$1258,'Stock Price'!$I$9)-1,"")</f>
        <v>5.7650042265426915E-2</v>
      </c>
      <c r="Z1210" s="19">
        <f ca="1">IF('Stock Price'!$I$11="OK",M1210/INDEX(M$5:M$1258,'Stock Price'!$I$9)-1,"")</f>
        <v>0.6665622258428372</v>
      </c>
    </row>
    <row r="1211" spans="1:26" x14ac:dyDescent="0.2">
      <c r="A1211" s="16">
        <f>'Stock Price'!A1211</f>
        <v>46231</v>
      </c>
      <c r="B1211" s="17">
        <f>'Stock Price'!E1211</f>
        <v>263.2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1220.6600000000001</v>
      </c>
      <c r="L1211" s="18">
        <v>63.6</v>
      </c>
      <c r="M1211" s="18">
        <v>266.73</v>
      </c>
      <c r="O1211" s="19">
        <f ca="1">IF('Stock Price'!$I$11="OK",B1211/INDEX(B$5:B$1258,'Stock Price'!$I$9)-1,"")</f>
        <v>1.4034334763948495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4.2858441952106698</v>
      </c>
      <c r="Y1211" s="19">
        <f ca="1">IF('Stock Price'!$I$11="OK",L1211/INDEX(L$5:L$1258,'Stock Price'!$I$9)-1,"")</f>
        <v>7.5232459847844435E-2</v>
      </c>
      <c r="Z1211" s="19">
        <f ca="1">IF('Stock Price'!$I$11="OK",M1211/INDEX(M$5:M$1258,'Stock Price'!$I$9)-1,"")</f>
        <v>0.67145005639804478</v>
      </c>
    </row>
    <row r="1212" spans="1:26" x14ac:dyDescent="0.2">
      <c r="A1212" s="16">
        <f>'Stock Price'!A1212</f>
        <v>46232</v>
      </c>
      <c r="B1212" s="17">
        <f>'Stock Price'!E1212</f>
        <v>263.3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1210.02</v>
      </c>
      <c r="L1212" s="18">
        <v>63.1</v>
      </c>
      <c r="M1212" s="18">
        <v>265.52999999999997</v>
      </c>
      <c r="O1212" s="19">
        <f ca="1">IF('Stock Price'!$I$11="OK",B1212/INDEX(B$5:B$1258,'Stock Price'!$I$9)-1,"")</f>
        <v>1.4043466350105014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4.2397696271597454</v>
      </c>
      <c r="Y1212" s="19">
        <f ca="1">IF('Stock Price'!$I$11="OK",L1212/INDEX(L$5:L$1258,'Stock Price'!$I$9)-1,"")</f>
        <v>6.6779374471682251E-2</v>
      </c>
      <c r="Z1212" s="19">
        <f ca="1">IF('Stock Price'!$I$11="OK",M1212/INDEX(M$5:M$1258,'Stock Price'!$I$9)-1,"")</f>
        <v>0.66393031708234074</v>
      </c>
    </row>
    <row r="1213" spans="1:26" x14ac:dyDescent="0.2">
      <c r="A1213" s="16">
        <f>'Stock Price'!A1213</f>
        <v>46233</v>
      </c>
      <c r="B1213" s="17">
        <f>'Stock Price'!E1213</f>
        <v>257.41000000000003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1154.97</v>
      </c>
      <c r="L1213" s="18">
        <v>64.86</v>
      </c>
      <c r="M1213" s="18">
        <v>255.82</v>
      </c>
      <c r="O1213" s="19">
        <f ca="1">IF('Stock Price'!$I$11="OK",B1213/INDEX(B$5:B$1258,'Stock Price'!$I$9)-1,"")</f>
        <v>1.3505615925486256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4.0013857012947645</v>
      </c>
      <c r="Y1213" s="19">
        <f ca="1">IF('Stock Price'!$I$11="OK",L1213/INDEX(L$5:L$1258,'Stock Price'!$I$9)-1,"")</f>
        <v>9.6534234995773405E-2</v>
      </c>
      <c r="Z1213" s="19">
        <f ca="1">IF('Stock Price'!$I$11="OK",M1213/INDEX(M$5:M$1258,'Stock Price'!$I$9)-1,"")</f>
        <v>0.60308309311943842</v>
      </c>
    </row>
    <row r="1214" spans="1:26" x14ac:dyDescent="0.2">
      <c r="A1214" s="16">
        <f>'Stock Price'!A1214</f>
        <v>46234</v>
      </c>
      <c r="B1214" s="17">
        <f>'Stock Price'!E1214</f>
        <v>250.94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1148.8399999999999</v>
      </c>
      <c r="L1214" s="18">
        <v>65.31</v>
      </c>
      <c r="M1214" s="18">
        <v>256.35000000000002</v>
      </c>
      <c r="O1214" s="19">
        <f ca="1">IF('Stock Price'!$I$11="OK",B1214/INDEX(B$5:B$1258,'Stock Price'!$I$9)-1,"")</f>
        <v>1.2914802301159711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3.9748408608669292</v>
      </c>
      <c r="Y1214" s="19">
        <f ca="1">IF('Stock Price'!$I$11="OK",L1214/INDEX(L$5:L$1258,'Stock Price'!$I$9)-1,"")</f>
        <v>0.10414201183431948</v>
      </c>
      <c r="Z1214" s="19">
        <f ca="1">IF('Stock Price'!$I$11="OK",M1214/INDEX(M$5:M$1258,'Stock Price'!$I$9)-1,"")</f>
        <v>0.60640431131720773</v>
      </c>
    </row>
    <row r="1215" spans="1:26" x14ac:dyDescent="0.2">
      <c r="A1215" s="16">
        <f>'Stock Price'!A1215</f>
        <v>46237</v>
      </c>
      <c r="B1215" s="17">
        <f>'Stock Price'!E1215</f>
        <v>245.1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1121.3599999999999</v>
      </c>
      <c r="L1215" s="18">
        <v>65.47</v>
      </c>
      <c r="M1215" s="18">
        <v>254.41</v>
      </c>
      <c r="O1215" s="19">
        <f ca="1">IF('Stock Price'!$I$11="OK",B1215/INDEX(B$5:B$1258,'Stock Price'!$I$9)-1,"")</f>
        <v>1.2381517669619213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3.8558437621790151</v>
      </c>
      <c r="Y1215" s="19">
        <f ca="1">IF('Stock Price'!$I$11="OK",L1215/INDEX(L$5:L$1258,'Stock Price'!$I$9)-1,"")</f>
        <v>0.10684699915469142</v>
      </c>
      <c r="Z1215" s="19">
        <f ca="1">IF('Stock Price'!$I$11="OK",M1215/INDEX(M$5:M$1258,'Stock Price'!$I$9)-1,"")</f>
        <v>0.59424739942348648</v>
      </c>
    </row>
    <row r="1216" spans="1:26" x14ac:dyDescent="0.2">
      <c r="A1216" s="16">
        <f>'Stock Price'!A1216</f>
        <v>46238</v>
      </c>
      <c r="B1216" s="17">
        <f>'Stock Price'!E1216</f>
        <v>243.8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1115.68</v>
      </c>
      <c r="L1216" s="18">
        <v>65.89</v>
      </c>
      <c r="M1216" s="18">
        <v>254.93</v>
      </c>
      <c r="O1216" s="19">
        <f ca="1">IF('Stock Price'!$I$11="OK",B1216/INDEX(B$5:B$1258,'Stock Price'!$I$9)-1,"")</f>
        <v>1.2262807049584512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3.8312475641969428</v>
      </c>
      <c r="Y1216" s="19">
        <f ca="1">IF('Stock Price'!$I$11="OK",L1216/INDEX(L$5:L$1258,'Stock Price'!$I$9)-1,"")</f>
        <v>0.11394759087066775</v>
      </c>
      <c r="Z1216" s="19">
        <f ca="1">IF('Stock Price'!$I$11="OK",M1216/INDEX(M$5:M$1258,'Stock Price'!$I$9)-1,"")</f>
        <v>0.5975059531269582</v>
      </c>
    </row>
    <row r="1217" spans="1:26" x14ac:dyDescent="0.2">
      <c r="A1217" s="16">
        <f>'Stock Price'!A1217</f>
        <v>46239</v>
      </c>
      <c r="B1217" s="17">
        <f>'Stock Price'!E1217</f>
        <v>246.2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1169.8599999999999</v>
      </c>
      <c r="L1217" s="18">
        <v>63.63</v>
      </c>
      <c r="M1217" s="18">
        <v>257.58999999999997</v>
      </c>
      <c r="O1217" s="19">
        <f ca="1">IF('Stock Price'!$I$11="OK",B1217/INDEX(B$5:B$1258,'Stock Price'!$I$9)-1,"")</f>
        <v>1.2481965117340881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4.0658641146667813</v>
      </c>
      <c r="Y1217" s="19">
        <f ca="1">IF('Stock Price'!$I$11="OK",L1217/INDEX(L$5:L$1258,'Stock Price'!$I$9)-1,"")</f>
        <v>7.5739644970414188E-2</v>
      </c>
      <c r="Z1217" s="19">
        <f ca="1">IF('Stock Price'!$I$11="OK",M1217/INDEX(M$5:M$1258,'Stock Price'!$I$9)-1,"")</f>
        <v>0.61417470861010126</v>
      </c>
    </row>
    <row r="1218" spans="1:26" x14ac:dyDescent="0.2">
      <c r="A1218" s="16">
        <f>'Stock Price'!A1218</f>
        <v>46240</v>
      </c>
      <c r="B1218" s="17">
        <f>'Stock Price'!E1218</f>
        <v>243.87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1191.94</v>
      </c>
      <c r="L1218" s="18">
        <v>64.150000000000006</v>
      </c>
      <c r="M1218" s="18">
        <v>256.98</v>
      </c>
      <c r="O1218" s="19">
        <f ca="1">IF('Stock Price'!$I$11="OK",B1218/INDEX(B$5:B$1258,'Stock Price'!$I$9)-1,"")</f>
        <v>1.2269199159894071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4.1614775040055427</v>
      </c>
      <c r="Y1218" s="19">
        <f ca="1">IF('Stock Price'!$I$11="OK",L1218/INDEX(L$5:L$1258,'Stock Price'!$I$9)-1,"")</f>
        <v>8.453085376162317E-2</v>
      </c>
      <c r="Z1218" s="19">
        <f ca="1">IF('Stock Price'!$I$11="OK",M1218/INDEX(M$5:M$1258,'Stock Price'!$I$9)-1,"")</f>
        <v>0.61035217445795209</v>
      </c>
    </row>
    <row r="1219" spans="1:26" x14ac:dyDescent="0.2">
      <c r="A1219" s="16">
        <f>'Stock Price'!A1219</f>
        <v>46241</v>
      </c>
      <c r="B1219" s="17">
        <f>'Stock Price'!E1219</f>
        <v>246.04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1185.71</v>
      </c>
      <c r="L1219" s="18">
        <v>64.72</v>
      </c>
      <c r="M1219" s="18">
        <v>259.24</v>
      </c>
      <c r="O1219" s="19">
        <f ca="1">IF('Stock Price'!$I$11="OK",B1219/INDEX(B$5:B$1258,'Stock Price'!$I$9)-1,"")</f>
        <v>1.2467354579490455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4.1344996319230933</v>
      </c>
      <c r="Y1219" s="19">
        <f ca="1">IF('Stock Price'!$I$11="OK",L1219/INDEX(L$5:L$1258,'Stock Price'!$I$9)-1,"")</f>
        <v>9.4167371090448038E-2</v>
      </c>
      <c r="Z1219" s="19">
        <f ca="1">IF('Stock Price'!$I$11="OK",M1219/INDEX(M$5:M$1258,'Stock Price'!$I$9)-1,"")</f>
        <v>0.6245143501691941</v>
      </c>
    </row>
    <row r="1220" spans="1:26" x14ac:dyDescent="0.2">
      <c r="A1220" s="16">
        <f>'Stock Price'!A1220</f>
        <v>46244</v>
      </c>
      <c r="B1220" s="17">
        <f>'Stock Price'!E1220</f>
        <v>247.97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1231.94</v>
      </c>
      <c r="L1220" s="18">
        <v>64.84</v>
      </c>
      <c r="M1220" s="18">
        <v>261.81</v>
      </c>
      <c r="O1220" s="19">
        <f ca="1">IF('Stock Price'!$I$11="OK",B1220/INDEX(B$5:B$1258,'Stock Price'!$I$9)-1,"")</f>
        <v>1.2643594192311203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4.3346901658511241</v>
      </c>
      <c r="Y1220" s="19">
        <f ca="1">IF('Stock Price'!$I$11="OK",L1220/INDEX(L$5:L$1258,'Stock Price'!$I$9)-1,"")</f>
        <v>9.6196111580727051E-2</v>
      </c>
      <c r="Z1220" s="19">
        <f ca="1">IF('Stock Price'!$I$11="OK",M1220/INDEX(M$5:M$1258,'Stock Price'!$I$9)-1,"")</f>
        <v>0.64061912520365949</v>
      </c>
    </row>
    <row r="1221" spans="1:26" x14ac:dyDescent="0.2">
      <c r="A1221" s="16">
        <f>'Stock Price'!A1221</f>
        <v>46245</v>
      </c>
      <c r="B1221" s="17">
        <f>'Stock Price'!E1221</f>
        <v>250.09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1215.02</v>
      </c>
      <c r="L1221" s="18">
        <v>63.61</v>
      </c>
      <c r="M1221" s="18">
        <v>259.8</v>
      </c>
      <c r="O1221" s="19">
        <f ca="1">IF('Stock Price'!$I$11="OK",B1221/INDEX(B$5:B$1258,'Stock Price'!$I$9)-1,"")</f>
        <v>1.2837183818829332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4.2614212098904432</v>
      </c>
      <c r="Y1221" s="19">
        <f ca="1">IF('Stock Price'!$I$11="OK",L1221/INDEX(L$5:L$1258,'Stock Price'!$I$9)-1,"")</f>
        <v>7.5401521555367834E-2</v>
      </c>
      <c r="Z1221" s="19">
        <f ca="1">IF('Stock Price'!$I$11="OK",M1221/INDEX(M$5:M$1258,'Stock Price'!$I$9)-1,"")</f>
        <v>0.62802356184985575</v>
      </c>
    </row>
    <row r="1222" spans="1:26" x14ac:dyDescent="0.2">
      <c r="A1222" s="16">
        <f>'Stock Price'!A1222</f>
        <v>46246</v>
      </c>
      <c r="B1222" s="17">
        <f>'Stock Price'!E1222</f>
        <v>248.76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1220.28</v>
      </c>
      <c r="L1222" s="18">
        <v>63.7</v>
      </c>
      <c r="M1222" s="18">
        <v>260.86</v>
      </c>
      <c r="O1222" s="19">
        <f ca="1">IF('Stock Price'!$I$11="OK",B1222/INDEX(B$5:B$1258,'Stock Price'!$I$9)-1,"")</f>
        <v>1.2715733722947675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4.2841986749231369</v>
      </c>
      <c r="Y1222" s="19">
        <f ca="1">IF('Stock Price'!$I$11="OK",L1222/INDEX(L$5:L$1258,'Stock Price'!$I$9)-1,"")</f>
        <v>7.6923076923077094E-2</v>
      </c>
      <c r="Z1222" s="19">
        <f ca="1">IF('Stock Price'!$I$11="OK",M1222/INDEX(M$5:M$1258,'Stock Price'!$I$9)-1,"")</f>
        <v>0.63466599824539416</v>
      </c>
    </row>
    <row r="1223" spans="1:26" x14ac:dyDescent="0.2">
      <c r="A1223" s="16">
        <f>'Stock Price'!A1223</f>
        <v>46247</v>
      </c>
      <c r="B1223" s="17">
        <f>'Stock Price'!E1223</f>
        <v>250.82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1209</v>
      </c>
      <c r="L1223" s="18">
        <v>64.650000000000006</v>
      </c>
      <c r="M1223" s="18">
        <v>262.08</v>
      </c>
      <c r="O1223" s="19">
        <f ca="1">IF('Stock Price'!$I$11="OK",B1223/INDEX(B$5:B$1258,'Stock Price'!$I$9)-1,"")</f>
        <v>1.2903844397771893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4.2353527042826826</v>
      </c>
      <c r="Y1223" s="19">
        <f ca="1">IF('Stock Price'!$I$11="OK",L1223/INDEX(L$5:L$1258,'Stock Price'!$I$9)-1,"")</f>
        <v>9.2983939137785354E-2</v>
      </c>
      <c r="Z1223" s="19">
        <f ca="1">IF('Stock Price'!$I$11="OK",M1223/INDEX(M$5:M$1258,'Stock Price'!$I$9)-1,"")</f>
        <v>0.64231106654969272</v>
      </c>
    </row>
    <row r="1224" spans="1:26" x14ac:dyDescent="0.2">
      <c r="A1224" s="16">
        <f>'Stock Price'!A1224</f>
        <v>46248</v>
      </c>
      <c r="B1224" s="17">
        <f>'Stock Price'!E1224</f>
        <v>249.46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1180.1600000000001</v>
      </c>
      <c r="L1224" s="18">
        <v>63.83</v>
      </c>
      <c r="M1224" s="18">
        <v>260.35000000000002</v>
      </c>
      <c r="O1224" s="19">
        <f ca="1">IF('Stock Price'!$I$11="OK",B1224/INDEX(B$5:B$1258,'Stock Price'!$I$9)-1,"")</f>
        <v>1.2779654826043285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4.1104663750920194</v>
      </c>
      <c r="Y1224" s="19">
        <f ca="1">IF('Stock Price'!$I$11="OK",L1224/INDEX(L$5:L$1258,'Stock Price'!$I$9)-1,"")</f>
        <v>7.9120879120879062E-2</v>
      </c>
      <c r="Z1224" s="19">
        <f ca="1">IF('Stock Price'!$I$11="OK",M1224/INDEX(M$5:M$1258,'Stock Price'!$I$9)-1,"")</f>
        <v>0.63147010903622003</v>
      </c>
    </row>
    <row r="1225" spans="1:26" x14ac:dyDescent="0.2">
      <c r="A1225" s="16">
        <f>'Stock Price'!A1225</f>
        <v>46251</v>
      </c>
      <c r="B1225" s="17">
        <f>'Stock Price'!E1225</f>
        <v>250.33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1183.1600000000001</v>
      </c>
      <c r="L1225" s="18">
        <v>64.63</v>
      </c>
      <c r="M1225" s="18">
        <v>262.37</v>
      </c>
      <c r="O1225" s="19">
        <f ca="1">IF('Stock Price'!$I$11="OK",B1225/INDEX(B$5:B$1258,'Stock Price'!$I$9)-1,"")</f>
        <v>1.2859099625604968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4.1234573247304382</v>
      </c>
      <c r="Y1225" s="19">
        <f ca="1">IF('Stock Price'!$I$11="OK",L1225/INDEX(L$5:L$1258,'Stock Price'!$I$9)-1,"")</f>
        <v>9.2645815722738778E-2</v>
      </c>
      <c r="Z1225" s="19">
        <f ca="1">IF('Stock Price'!$I$11="OK",M1225/INDEX(M$5:M$1258,'Stock Price'!$I$9)-1,"")</f>
        <v>0.64412833688432114</v>
      </c>
    </row>
    <row r="1226" spans="1:26" x14ac:dyDescent="0.2">
      <c r="A1226" s="16">
        <f>'Stock Price'!A1226</f>
        <v>46252</v>
      </c>
      <c r="B1226" s="17">
        <f>'Stock Price'!E1226</f>
        <v>258.92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1225.73</v>
      </c>
      <c r="L1226" s="18">
        <v>66.05</v>
      </c>
      <c r="M1226" s="18">
        <v>271.11</v>
      </c>
      <c r="O1226" s="19">
        <f ca="1">IF('Stock Price'!$I$11="OK",B1226/INDEX(B$5:B$1258,'Stock Price'!$I$9)-1,"")</f>
        <v>1.3643502876449638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4.3077989000995975</v>
      </c>
      <c r="Y1226" s="19">
        <f ca="1">IF('Stock Price'!$I$11="OK",L1226/INDEX(L$5:L$1258,'Stock Price'!$I$9)-1,"")</f>
        <v>0.11665257819103969</v>
      </c>
      <c r="Z1226" s="19">
        <f ca="1">IF('Stock Price'!$I$11="OK",M1226/INDEX(M$5:M$1258,'Stock Price'!$I$9)-1,"")</f>
        <v>0.69889710490036339</v>
      </c>
    </row>
    <row r="1227" spans="1:26" x14ac:dyDescent="0.2">
      <c r="A1227" s="16">
        <f>'Stock Price'!A1227</f>
        <v>46253</v>
      </c>
      <c r="B1227" s="17">
        <f>'Stock Price'!E1227</f>
        <v>265.97000000000003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1280.3399999999999</v>
      </c>
      <c r="L1227" s="18">
        <v>67.61</v>
      </c>
      <c r="M1227" s="18">
        <v>273.41000000000003</v>
      </c>
      <c r="O1227" s="19">
        <f ca="1">IF('Stock Price'!$I$11="OK",B1227/INDEX(B$5:B$1258,'Stock Price'!$I$9)-1,"")</f>
        <v>1.4287279700483975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4.5442774866842761</v>
      </c>
      <c r="Y1227" s="19">
        <f ca="1">IF('Stock Price'!$I$11="OK",L1227/INDEX(L$5:L$1258,'Stock Price'!$I$9)-1,"")</f>
        <v>0.14302620456466619</v>
      </c>
      <c r="Z1227" s="19">
        <f ca="1">IF('Stock Price'!$I$11="OK",M1227/INDEX(M$5:M$1258,'Stock Price'!$I$9)-1,"")</f>
        <v>0.71330993858879554</v>
      </c>
    </row>
    <row r="1228" spans="1:26" x14ac:dyDescent="0.2">
      <c r="A1228" s="16">
        <f>'Stock Price'!A1228</f>
        <v>46254</v>
      </c>
      <c r="B1228" s="17">
        <f>'Stock Price'!E1228</f>
        <v>261.83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1244.4000000000001</v>
      </c>
      <c r="L1228" s="18">
        <v>65.47</v>
      </c>
      <c r="M1228" s="18">
        <v>267.37</v>
      </c>
      <c r="O1228" s="19">
        <f ca="1">IF('Stock Price'!$I$11="OK",B1228/INDEX(B$5:B$1258,'Stock Price'!$I$9)-1,"")</f>
        <v>1.3909232033604235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4.388645910016022</v>
      </c>
      <c r="Y1228" s="19">
        <f ca="1">IF('Stock Price'!$I$11="OK",L1228/INDEX(L$5:L$1258,'Stock Price'!$I$9)-1,"")</f>
        <v>0.10684699915469142</v>
      </c>
      <c r="Z1228" s="19">
        <f ca="1">IF('Stock Price'!$I$11="OK",M1228/INDEX(M$5:M$1258,'Stock Price'!$I$9)-1,"")</f>
        <v>0.67546058403308673</v>
      </c>
    </row>
    <row r="1229" spans="1:26" x14ac:dyDescent="0.2">
      <c r="A1229" s="16">
        <f>'Stock Price'!A1229</f>
        <v>46255</v>
      </c>
      <c r="B1229" s="17">
        <f>'Stock Price'!E1229</f>
        <v>264.95999999999998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1255.4000000000001</v>
      </c>
      <c r="L1229" s="18">
        <v>67.010000000000005</v>
      </c>
      <c r="M1229" s="18">
        <v>270.24</v>
      </c>
      <c r="O1229" s="19">
        <f ca="1">IF('Stock Price'!$I$11="OK",B1229/INDEX(B$5:B$1258,'Stock Price'!$I$9)-1,"")</f>
        <v>1.4195050680303165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4.4362793920235575</v>
      </c>
      <c r="Y1229" s="19">
        <f ca="1">IF('Stock Price'!$I$11="OK",L1229/INDEX(L$5:L$1258,'Stock Price'!$I$9)-1,"")</f>
        <v>0.13288250211327135</v>
      </c>
      <c r="Z1229" s="19">
        <f ca="1">IF('Stock Price'!$I$11="OK",M1229/INDEX(M$5:M$1258,'Stock Price'!$I$9)-1,"")</f>
        <v>0.69344529389647813</v>
      </c>
    </row>
    <row r="1230" spans="1:26" x14ac:dyDescent="0.2">
      <c r="A1230" s="16">
        <f>'Stock Price'!A1230</f>
        <v>46258</v>
      </c>
      <c r="B1230" s="17">
        <f>'Stock Price'!E1230</f>
        <v>264.52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1246.93</v>
      </c>
      <c r="L1230" s="18">
        <v>67.28</v>
      </c>
      <c r="M1230" s="18">
        <v>273.04000000000002</v>
      </c>
      <c r="O1230" s="19">
        <f ca="1">IF('Stock Price'!$I$11="OK",B1230/INDEX(B$5:B$1258,'Stock Price'!$I$9)-1,"")</f>
        <v>1.41548717012145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4.3996016108777551</v>
      </c>
      <c r="Y1230" s="19">
        <f ca="1">IF('Stock Price'!$I$11="OK",L1230/INDEX(L$5:L$1258,'Stock Price'!$I$9)-1,"")</f>
        <v>0.13744716821639913</v>
      </c>
      <c r="Z1230" s="19">
        <f ca="1">IF('Stock Price'!$I$11="OK",M1230/INDEX(M$5:M$1258,'Stock Price'!$I$9)-1,"")</f>
        <v>0.71099135229978683</v>
      </c>
    </row>
    <row r="1231" spans="1:26" x14ac:dyDescent="0.2">
      <c r="A1231" s="16">
        <f>'Stock Price'!A1231</f>
        <v>46259</v>
      </c>
      <c r="B1231" s="17">
        <f>'Stock Price'!E1231</f>
        <v>265.79000000000002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1233.6600000000001</v>
      </c>
      <c r="L1231" s="18">
        <v>67.92</v>
      </c>
      <c r="M1231" s="18">
        <v>273.14</v>
      </c>
      <c r="O1231" s="19">
        <f ca="1">IF('Stock Price'!$I$11="OK",B1231/INDEX(B$5:B$1258,'Stock Price'!$I$9)-1,"")</f>
        <v>1.4270842845402245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4.3421383103104843</v>
      </c>
      <c r="Y1231" s="19">
        <f ca="1">IF('Stock Price'!$I$11="OK",L1231/INDEX(L$5:L$1258,'Stock Price'!$I$9)-1,"")</f>
        <v>0.14826711749788668</v>
      </c>
      <c r="Z1231" s="19">
        <f ca="1">IF('Stock Price'!$I$11="OK",M1231/INDEX(M$5:M$1258,'Stock Price'!$I$9)-1,"")</f>
        <v>0.71161799724276209</v>
      </c>
    </row>
    <row r="1232" spans="1:26" x14ac:dyDescent="0.2">
      <c r="A1232" s="16">
        <f>'Stock Price'!A1232</f>
        <v>46260</v>
      </c>
      <c r="B1232" s="17">
        <f>'Stock Price'!E1232</f>
        <v>262.89999999999998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1189.4100000000001</v>
      </c>
      <c r="L1232" s="18">
        <v>67.569999999999993</v>
      </c>
      <c r="M1232" s="18">
        <v>270</v>
      </c>
      <c r="O1232" s="19">
        <f ca="1">IF('Stock Price'!$I$11="OK",B1232/INDEX(B$5:B$1258,'Stock Price'!$I$9)-1,"")</f>
        <v>1.4006940005478947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4.1505218031438096</v>
      </c>
      <c r="Y1232" s="19">
        <f ca="1">IF('Stock Price'!$I$11="OK",L1232/INDEX(L$5:L$1258,'Stock Price'!$I$9)-1,"")</f>
        <v>0.14234995773457304</v>
      </c>
      <c r="Z1232" s="19">
        <f ca="1">IF('Stock Price'!$I$11="OK",M1232/INDEX(M$5:M$1258,'Stock Price'!$I$9)-1,"")</f>
        <v>0.69194134603333746</v>
      </c>
    </row>
    <row r="1233" spans="1:26" x14ac:dyDescent="0.2">
      <c r="A1233" s="16">
        <f>'Stock Price'!A1233</f>
        <v>46261</v>
      </c>
      <c r="B1233" s="17">
        <f>'Stock Price'!E1233</f>
        <v>258.14999999999998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1176.0999999999999</v>
      </c>
      <c r="L1233" s="18">
        <v>66.95</v>
      </c>
      <c r="M1233" s="18">
        <v>265.77</v>
      </c>
      <c r="O1233" s="19">
        <f ca="1">IF('Stock Price'!$I$11="OK",B1233/INDEX(B$5:B$1258,'Stock Price'!$I$9)-1,"")</f>
        <v>1.3573189663044469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4.0928852899146921</v>
      </c>
      <c r="Y1233" s="19">
        <f ca="1">IF('Stock Price'!$I$11="OK",L1233/INDEX(L$5:L$1258,'Stock Price'!$I$9)-1,"")</f>
        <v>0.13186813186813184</v>
      </c>
      <c r="Z1233" s="19">
        <f ca="1">IF('Stock Price'!$I$11="OK",M1233/INDEX(M$5:M$1258,'Stock Price'!$I$9)-1,"")</f>
        <v>0.66543426494548163</v>
      </c>
    </row>
    <row r="1234" spans="1:26" x14ac:dyDescent="0.2">
      <c r="A1234" s="16">
        <f>'Stock Price'!A1234</f>
        <v>46262</v>
      </c>
      <c r="B1234" s="17">
        <f>'Stock Price'!E1234</f>
        <v>255.48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1174.6099999999999</v>
      </c>
      <c r="L1234" s="18">
        <v>66.58</v>
      </c>
      <c r="M1234" s="18">
        <v>268.04000000000002</v>
      </c>
      <c r="O1234" s="19">
        <f ca="1">IF('Stock Price'!$I$11="OK",B1234/INDEX(B$5:B$1258,'Stock Price'!$I$9)-1,"")</f>
        <v>1.3329376312665508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4.0864331182609446</v>
      </c>
      <c r="Y1234" s="19">
        <f ca="1">IF('Stock Price'!$I$11="OK",L1234/INDEX(L$5:L$1258,'Stock Price'!$I$9)-1,"")</f>
        <v>0.12561284868977185</v>
      </c>
      <c r="Z1234" s="19">
        <f ca="1">IF('Stock Price'!$I$11="OK",M1234/INDEX(M$5:M$1258,'Stock Price'!$I$9)-1,"")</f>
        <v>0.67965910515102146</v>
      </c>
    </row>
    <row r="1235" spans="1:26" x14ac:dyDescent="0.2">
      <c r="A1235" s="16">
        <f>'Stock Price'!A1235</f>
        <v>46265</v>
      </c>
      <c r="B1235" s="17">
        <f>'Stock Price'!E1235</f>
        <v>256.42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1156.73</v>
      </c>
      <c r="L1235" s="18">
        <v>66.81</v>
      </c>
      <c r="M1235" s="18">
        <v>265.85000000000002</v>
      </c>
      <c r="O1235" s="19">
        <f ca="1">IF('Stock Price'!$I$11="OK",B1235/INDEX(B$5:B$1258,'Stock Price'!$I$9)-1,"")</f>
        <v>1.3415213222536755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4.0090070584159703</v>
      </c>
      <c r="Y1235" s="19">
        <f ca="1">IF('Stock Price'!$I$11="OK",L1235/INDEX(L$5:L$1258,'Stock Price'!$I$9)-1,"")</f>
        <v>0.12950126796280648</v>
      </c>
      <c r="Z1235" s="19">
        <f ca="1">IF('Stock Price'!$I$11="OK",M1235/INDEX(M$5:M$1258,'Stock Price'!$I$9)-1,"")</f>
        <v>0.66593558089986216</v>
      </c>
    </row>
    <row r="1236" spans="1:26" x14ac:dyDescent="0.2">
      <c r="A1236" s="16">
        <f>'Stock Price'!A1236</f>
        <v>46266</v>
      </c>
      <c r="B1236" s="17">
        <f>'Stock Price'!E1236</f>
        <v>259.99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1160</v>
      </c>
      <c r="L1236" s="18">
        <v>66.92</v>
      </c>
      <c r="M1236" s="18">
        <v>271.19</v>
      </c>
      <c r="O1236" s="19">
        <f ca="1">IF('Stock Price'!$I$11="OK",B1236/INDEX(B$5:B$1258,'Stock Price'!$I$9)-1,"")</f>
        <v>1.3741210848324354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4.0231671935218465</v>
      </c>
      <c r="Y1236" s="19">
        <f ca="1">IF('Stock Price'!$I$11="OK",L1236/INDEX(L$5:L$1258,'Stock Price'!$I$9)-1,"")</f>
        <v>0.13136094674556209</v>
      </c>
      <c r="Z1236" s="19">
        <f ca="1">IF('Stock Price'!$I$11="OK",M1236/INDEX(M$5:M$1258,'Stock Price'!$I$9)-1,"")</f>
        <v>0.69939842085474346</v>
      </c>
    </row>
    <row r="1237" spans="1:26" x14ac:dyDescent="0.2">
      <c r="A1237" s="16">
        <f>'Stock Price'!A1237</f>
        <v>46267</v>
      </c>
      <c r="B1237" s="17">
        <f>'Stock Price'!E1237</f>
        <v>261.72000000000003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1160.08</v>
      </c>
      <c r="L1237" s="18">
        <v>67.66</v>
      </c>
      <c r="M1237" s="18">
        <v>275.20999999999998</v>
      </c>
      <c r="O1237" s="19">
        <f ca="1">IF('Stock Price'!$I$11="OK",B1237/INDEX(B$5:B$1258,'Stock Price'!$I$9)-1,"")</f>
        <v>1.3899187288832073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4.0235136188455369</v>
      </c>
      <c r="Y1237" s="19">
        <f ca="1">IF('Stock Price'!$I$11="OK",L1237/INDEX(L$5:L$1258,'Stock Price'!$I$9)-1,"")</f>
        <v>0.1438715131022823</v>
      </c>
      <c r="Z1237" s="19">
        <f ca="1">IF('Stock Price'!$I$11="OK",M1237/INDEX(M$5:M$1258,'Stock Price'!$I$9)-1,"")</f>
        <v>0.72458954756235094</v>
      </c>
    </row>
    <row r="1238" spans="1:26" x14ac:dyDescent="0.2">
      <c r="A1238" s="16">
        <f>'Stock Price'!A1238</f>
        <v>46268</v>
      </c>
      <c r="B1238" s="17">
        <f>'Stock Price'!E1238</f>
        <v>260.20999999999998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1159.5999999999999</v>
      </c>
      <c r="L1238" s="18">
        <v>68.09</v>
      </c>
      <c r="M1238" s="18">
        <v>278.43</v>
      </c>
      <c r="O1238" s="19">
        <f ca="1">IF('Stock Price'!$I$11="OK",B1238/INDEX(B$5:B$1258,'Stock Price'!$I$9)-1,"")</f>
        <v>1.3761300337868683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4.0214350669033898</v>
      </c>
      <c r="Y1238" s="19">
        <f ca="1">IF('Stock Price'!$I$11="OK",L1238/INDEX(L$5:L$1258,'Stock Price'!$I$9)-1,"")</f>
        <v>0.15114116652578202</v>
      </c>
      <c r="Z1238" s="19">
        <f ca="1">IF('Stock Price'!$I$11="OK",M1238/INDEX(M$5:M$1258,'Stock Price'!$I$9)-1,"")</f>
        <v>0.7447675147261561</v>
      </c>
    </row>
    <row r="1239" spans="1:26" x14ac:dyDescent="0.2">
      <c r="A1239" s="16">
        <f>'Stock Price'!A1239</f>
        <v>46269</v>
      </c>
      <c r="B1239" s="17">
        <f>'Stock Price'!E1239</f>
        <v>256.45999999999998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1149.3599999999999</v>
      </c>
      <c r="L1239" s="18">
        <v>66.819999999999993</v>
      </c>
      <c r="M1239" s="18">
        <v>275.23</v>
      </c>
      <c r="O1239" s="19">
        <f ca="1">IF('Stock Price'!$I$11="OK",B1239/INDEX(B$5:B$1258,'Stock Price'!$I$9)-1,"")</f>
        <v>1.3418865856999358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3.9770926254709211</v>
      </c>
      <c r="Y1239" s="19">
        <f ca="1">IF('Stock Price'!$I$11="OK",L1239/INDEX(L$5:L$1258,'Stock Price'!$I$9)-1,"")</f>
        <v>0.12967032967032965</v>
      </c>
      <c r="Z1239" s="19">
        <f ca="1">IF('Stock Price'!$I$11="OK",M1239/INDEX(M$5:M$1258,'Stock Price'!$I$9)-1,"")</f>
        <v>0.72471487655094613</v>
      </c>
    </row>
    <row r="1240" spans="1:26" x14ac:dyDescent="0.2">
      <c r="A1240" s="16">
        <f>'Stock Price'!A1240</f>
        <v>46273</v>
      </c>
      <c r="B1240" s="17">
        <f>'Stock Price'!E1240</f>
        <v>248.78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1123.9100000000001</v>
      </c>
      <c r="L1240" s="18">
        <v>64.69</v>
      </c>
      <c r="M1240" s="18">
        <v>269.12</v>
      </c>
      <c r="O1240" s="19">
        <f ca="1">IF('Stock Price'!$I$11="OK",B1240/INDEX(B$5:B$1258,'Stock Price'!$I$9)-1,"")</f>
        <v>1.2717560040178979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3.8668860693716711</v>
      </c>
      <c r="Y1240" s="19">
        <f ca="1">IF('Stock Price'!$I$11="OK",L1240/INDEX(L$5:L$1258,'Stock Price'!$I$9)-1,"")</f>
        <v>9.3660185967878284E-2</v>
      </c>
      <c r="Z1240" s="19">
        <f ca="1">IF('Stock Price'!$I$11="OK",M1240/INDEX(M$5:M$1258,'Stock Price'!$I$9)-1,"")</f>
        <v>0.68642687053515461</v>
      </c>
    </row>
    <row r="1241" spans="1:26" x14ac:dyDescent="0.2">
      <c r="A1241" s="16">
        <f>'Stock Price'!A1241</f>
        <v>46274</v>
      </c>
      <c r="B1241" s="17">
        <f>'Stock Price'!E1241</f>
        <v>250.91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1124.21</v>
      </c>
      <c r="L1241" s="18">
        <v>64.41</v>
      </c>
      <c r="M1241" s="18">
        <v>267.08</v>
      </c>
      <c r="O1241" s="19">
        <f ca="1">IF('Stock Price'!$I$11="OK",B1241/INDEX(B$5:B$1258,'Stock Price'!$I$9)-1,"")</f>
        <v>1.2912062825312756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3.8681851643355127</v>
      </c>
      <c r="Y1241" s="19">
        <f ca="1">IF('Stock Price'!$I$11="OK",L1241/INDEX(L$5:L$1258,'Stock Price'!$I$9)-1,"")</f>
        <v>8.8926458157227328E-2</v>
      </c>
      <c r="Z1241" s="19">
        <f ca="1">IF('Stock Price'!$I$11="OK",M1241/INDEX(M$5:M$1258,'Stock Price'!$I$9)-1,"")</f>
        <v>0.67364331369845831</v>
      </c>
    </row>
    <row r="1242" spans="1:26" x14ac:dyDescent="0.2">
      <c r="A1242" s="16">
        <f>'Stock Price'!A1242</f>
        <v>46275</v>
      </c>
      <c r="B1242" s="17">
        <f>'Stock Price'!E1242</f>
        <v>255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1123</v>
      </c>
      <c r="L1242" s="18">
        <v>63.75</v>
      </c>
      <c r="M1242" s="18">
        <v>266.35000000000002</v>
      </c>
      <c r="O1242" s="19">
        <f ca="1">IF('Stock Price'!$I$11="OK",B1242/INDEX(B$5:B$1258,'Stock Price'!$I$9)-1,"")</f>
        <v>1.3285544699114236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3.862945481314684</v>
      </c>
      <c r="Y1242" s="19">
        <f ca="1">IF('Stock Price'!$I$11="OK",L1242/INDEX(L$5:L$1258,'Stock Price'!$I$9)-1,"")</f>
        <v>7.7768385460693201E-2</v>
      </c>
      <c r="Z1242" s="19">
        <f ca="1">IF('Stock Price'!$I$11="OK",M1242/INDEX(M$5:M$1258,'Stock Price'!$I$9)-1,"")</f>
        <v>0.66906880561473869</v>
      </c>
    </row>
    <row r="1243" spans="1:26" x14ac:dyDescent="0.2">
      <c r="A1243" s="16">
        <f>'Stock Price'!A1243</f>
        <v>46276</v>
      </c>
      <c r="B1243" s="17">
        <f>'Stock Price'!E1243</f>
        <v>257.12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1115.7</v>
      </c>
      <c r="L1243" s="18">
        <v>63.64</v>
      </c>
      <c r="M1243" s="18">
        <v>265.58</v>
      </c>
      <c r="O1243" s="19">
        <f ca="1">IF('Stock Price'!$I$11="OK",B1243/INDEX(B$5:B$1258,'Stock Price'!$I$9)-1,"")</f>
        <v>1.347913432563236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3.8313341705278656</v>
      </c>
      <c r="Y1243" s="19">
        <f ca="1">IF('Stock Price'!$I$11="OK",L1243/INDEX(L$5:L$1258,'Stock Price'!$I$9)-1,"")</f>
        <v>7.5908706677937587E-2</v>
      </c>
      <c r="Z1243" s="19">
        <f ca="1">IF('Stock Price'!$I$11="OK",M1243/INDEX(M$5:M$1258,'Stock Price'!$I$9)-1,"")</f>
        <v>0.66424363955382848</v>
      </c>
    </row>
    <row r="1244" spans="1:26" x14ac:dyDescent="0.2">
      <c r="A1244" s="16">
        <f>'Stock Price'!A1244</f>
        <v>46279</v>
      </c>
      <c r="B1244" s="17">
        <f>'Stock Price'!E1244</f>
        <v>261.77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1138.28</v>
      </c>
      <c r="L1244" s="18">
        <v>64.099999999999994</v>
      </c>
      <c r="M1244" s="18">
        <v>266.32</v>
      </c>
      <c r="O1244" s="19">
        <f ca="1">IF('Stock Price'!$I$11="OK",B1244/INDEX(B$5:B$1258,'Stock Price'!$I$9)-1,"")</f>
        <v>1.3903753081910324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3.9291127181396961</v>
      </c>
      <c r="Y1244" s="19">
        <f ca="1">IF('Stock Price'!$I$11="OK",L1244/INDEX(L$5:L$1258,'Stock Price'!$I$9)-1,"")</f>
        <v>8.3685545224006619E-2</v>
      </c>
      <c r="Z1244" s="19">
        <f ca="1">IF('Stock Price'!$I$11="OK",M1244/INDEX(M$5:M$1258,'Stock Price'!$I$9)-1,"")</f>
        <v>0.66888081213184591</v>
      </c>
    </row>
    <row r="1245" spans="1:26" x14ac:dyDescent="0.2">
      <c r="A1245" s="16">
        <f>'Stock Price'!A1245</f>
        <v>46280</v>
      </c>
      <c r="B1245" s="17">
        <f>'Stock Price'!E1245</f>
        <v>263.04000000000002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1136.1099999999999</v>
      </c>
      <c r="L1245" s="18">
        <v>63.73</v>
      </c>
      <c r="M1245" s="18">
        <v>267.2</v>
      </c>
      <c r="O1245" s="19">
        <f ca="1">IF('Stock Price'!$I$11="OK",B1245/INDEX(B$5:B$1258,'Stock Price'!$I$9)-1,"")</f>
        <v>1.4019724226098074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3.9197159312345731</v>
      </c>
      <c r="Y1245" s="19">
        <f ca="1">IF('Stock Price'!$I$11="OK",L1245/INDEX(L$5:L$1258,'Stock Price'!$I$9)-1,"")</f>
        <v>7.7430262045646625E-2</v>
      </c>
      <c r="Z1245" s="19">
        <f ca="1">IF('Stock Price'!$I$11="OK",M1245/INDEX(M$5:M$1258,'Stock Price'!$I$9)-1,"")</f>
        <v>0.67439528763002854</v>
      </c>
    </row>
    <row r="1246" spans="1:26" x14ac:dyDescent="0.2">
      <c r="A1246" s="16">
        <f>'Stock Price'!A1246</f>
        <v>46281</v>
      </c>
      <c r="B1246" s="17">
        <f>'Stock Price'!E1246</f>
        <v>262.51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1137.82</v>
      </c>
      <c r="L1246" s="18">
        <v>63.6</v>
      </c>
      <c r="M1246" s="18">
        <v>267.27999999999997</v>
      </c>
      <c r="O1246" s="19">
        <f ca="1">IF('Stock Price'!$I$11="OK",B1246/INDEX(B$5:B$1258,'Stock Price'!$I$9)-1,"")</f>
        <v>1.3971326819468541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3.9271207725284718</v>
      </c>
      <c r="Y1246" s="19">
        <f ca="1">IF('Stock Price'!$I$11="OK",L1246/INDEX(L$5:L$1258,'Stock Price'!$I$9)-1,"")</f>
        <v>7.5232459847844435E-2</v>
      </c>
      <c r="Z1246" s="19">
        <f ca="1">IF('Stock Price'!$I$11="OK",M1246/INDEX(M$5:M$1258,'Stock Price'!$I$9)-1,"")</f>
        <v>0.67489660358440884</v>
      </c>
    </row>
    <row r="1247" spans="1:26" x14ac:dyDescent="0.2">
      <c r="A1247" s="16">
        <f>'Stock Price'!A1247</f>
        <v>46282</v>
      </c>
      <c r="B1247" s="17">
        <f>'Stock Price'!E1247</f>
        <v>264.02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1152.44</v>
      </c>
      <c r="L1247" s="18">
        <v>62.84</v>
      </c>
      <c r="M1247" s="18">
        <v>270.22000000000003</v>
      </c>
      <c r="O1247" s="19">
        <f ca="1">IF('Stock Price'!$I$11="OK",B1247/INDEX(B$5:B$1258,'Stock Price'!$I$9)-1,"")</f>
        <v>1.4109213770431923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3.9904300004330313</v>
      </c>
      <c r="Y1247" s="19">
        <f ca="1">IF('Stock Price'!$I$11="OK",L1247/INDEX(L$5:L$1258,'Stock Price'!$I$9)-1,"")</f>
        <v>6.2383770076077871E-2</v>
      </c>
      <c r="Z1247" s="19">
        <f ca="1">IF('Stock Price'!$I$11="OK",M1247/INDEX(M$5:M$1258,'Stock Price'!$I$9)-1,"")</f>
        <v>0.69331996490788317</v>
      </c>
    </row>
    <row r="1248" spans="1:26" x14ac:dyDescent="0.2">
      <c r="A1248" s="16">
        <f>'Stock Price'!A1248</f>
        <v>46283</v>
      </c>
      <c r="B1248" s="17">
        <f>'Stock Price'!E1248</f>
        <v>263.95999999999998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1152.93</v>
      </c>
      <c r="L1248" s="18">
        <v>63.06</v>
      </c>
      <c r="M1248" s="18">
        <v>269.99</v>
      </c>
      <c r="O1248" s="19">
        <f ca="1">IF('Stock Price'!$I$11="OK",B1248/INDEX(B$5:B$1258,'Stock Price'!$I$9)-1,"")</f>
        <v>1.4103734818738012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3.9925518555406398</v>
      </c>
      <c r="Y1248" s="19">
        <f ca="1">IF('Stock Price'!$I$11="OK",L1248/INDEX(L$5:L$1258,'Stock Price'!$I$9)-1,"")</f>
        <v>6.6103127641589321E-2</v>
      </c>
      <c r="Z1248" s="19">
        <f ca="1">IF('Stock Price'!$I$11="OK",M1248/INDEX(M$5:M$1258,'Stock Price'!$I$9)-1,"")</f>
        <v>0.69187868153903986</v>
      </c>
    </row>
    <row r="1249" spans="1:26" x14ac:dyDescent="0.2">
      <c r="A1249" s="16">
        <f>'Stock Price'!A1249</f>
        <v>46286</v>
      </c>
      <c r="B1249" s="17">
        <f>'Stock Price'!E1249</f>
        <v>264.48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1164.8900000000001</v>
      </c>
      <c r="L1249" s="18">
        <v>62.62</v>
      </c>
      <c r="M1249" s="18">
        <v>269.47000000000003</v>
      </c>
      <c r="O1249" s="19">
        <f ca="1">IF('Stock Price'!$I$11="OK",B1249/INDEX(B$5:B$1258,'Stock Price'!$I$9)-1,"")</f>
        <v>1.4151219066751897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4.0443424414324687</v>
      </c>
      <c r="Y1249" s="19">
        <f ca="1">IF('Stock Price'!$I$11="OK",L1249/INDEX(L$5:L$1258,'Stock Price'!$I$9)-1,"")</f>
        <v>5.8664412510566422E-2</v>
      </c>
      <c r="Z1249" s="19">
        <f ca="1">IF('Stock Price'!$I$11="OK",M1249/INDEX(M$5:M$1258,'Stock Price'!$I$9)-1,"")</f>
        <v>0.68862012783556836</v>
      </c>
    </row>
    <row r="1250" spans="1:26" x14ac:dyDescent="0.2">
      <c r="A1250" s="16">
        <f>'Stock Price'!A1250</f>
        <v>46287</v>
      </c>
      <c r="B1250" s="17">
        <f>'Stock Price'!E1250</f>
        <v>265.20999999999998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1170.1400000000001</v>
      </c>
      <c r="L1250" s="18">
        <v>62.25</v>
      </c>
      <c r="M1250" s="18">
        <v>269.19</v>
      </c>
      <c r="O1250" s="19">
        <f ca="1">IF('Stock Price'!$I$11="OK",B1250/INDEX(B$5:B$1258,'Stock Price'!$I$9)-1,"")</f>
        <v>1.4217879645694453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4.0670766032997019</v>
      </c>
      <c r="Y1250" s="19">
        <f ca="1">IF('Stock Price'!$I$11="OK",L1250/INDEX(L$5:L$1258,'Stock Price'!$I$9)-1,"")</f>
        <v>5.2409129332206206E-2</v>
      </c>
      <c r="Z1250" s="19">
        <f ca="1">IF('Stock Price'!$I$11="OK",M1250/INDEX(M$5:M$1258,'Stock Price'!$I$9)-1,"")</f>
        <v>0.68686552199523732</v>
      </c>
    </row>
    <row r="1251" spans="1:26" x14ac:dyDescent="0.2">
      <c r="A1251" s="16">
        <f>'Stock Price'!A1251</f>
        <v>46288</v>
      </c>
      <c r="B1251" s="17">
        <f>'Stock Price'!E1251</f>
        <v>265.08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1150.99</v>
      </c>
      <c r="L1251" s="18">
        <v>61.15</v>
      </c>
      <c r="M1251" s="18">
        <v>269.17</v>
      </c>
      <c r="O1251" s="19">
        <f ca="1">IF('Stock Price'!$I$11="OK",B1251/INDEX(B$5:B$1258,'Stock Price'!$I$9)-1,"")</f>
        <v>1.4206008583690983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3.9841510414411294</v>
      </c>
      <c r="Y1251" s="19">
        <f ca="1">IF('Stock Price'!$I$11="OK",L1251/INDEX(L$5:L$1258,'Stock Price'!$I$9)-1,"")</f>
        <v>3.3812341504649179E-2</v>
      </c>
      <c r="Z1251" s="19">
        <f ca="1">IF('Stock Price'!$I$11="OK",M1251/INDEX(M$5:M$1258,'Stock Price'!$I$9)-1,"")</f>
        <v>0.68674019300664235</v>
      </c>
    </row>
    <row r="1252" spans="1:26" x14ac:dyDescent="0.2">
      <c r="A1252" s="16">
        <f>'Stock Price'!A1252</f>
        <v>46289</v>
      </c>
      <c r="B1252" s="17">
        <f>'Stock Price'!E1252</f>
        <v>265.12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1181.8900000000001</v>
      </c>
      <c r="L1252" s="18">
        <v>61.5</v>
      </c>
      <c r="M1252" s="18">
        <v>270.68</v>
      </c>
      <c r="O1252" s="19">
        <f ca="1">IF('Stock Price'!$I$11="OK",B1252/INDEX(B$5:B$1258,'Stock Price'!$I$9)-1,"")</f>
        <v>1.4209661218153591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4.117957822716841</v>
      </c>
      <c r="Y1252" s="19">
        <f ca="1">IF('Stock Price'!$I$11="OK",L1252/INDEX(L$5:L$1258,'Stock Price'!$I$9)-1,"")</f>
        <v>3.9729501267962819E-2</v>
      </c>
      <c r="Z1252" s="19">
        <f ca="1">IF('Stock Price'!$I$11="OK",M1252/INDEX(M$5:M$1258,'Stock Price'!$I$9)-1,"")</f>
        <v>0.69620253164556956</v>
      </c>
    </row>
    <row r="1253" spans="1:26" x14ac:dyDescent="0.2">
      <c r="A1253" s="16">
        <f>'Stock Price'!A1253</f>
        <v>46290</v>
      </c>
      <c r="B1253" s="17">
        <f>'Stock Price'!E1253</f>
        <v>264.33999999999997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1183.46</v>
      </c>
      <c r="L1253" s="18">
        <v>62.86</v>
      </c>
      <c r="M1253" s="18">
        <v>271.22000000000003</v>
      </c>
      <c r="O1253" s="19">
        <f ca="1">IF('Stock Price'!$I$11="OK",B1253/INDEX(B$5:B$1258,'Stock Price'!$I$9)-1,"")</f>
        <v>1.413843484613277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4.1247564196942799</v>
      </c>
      <c r="Y1253" s="19">
        <f ca="1">IF('Stock Price'!$I$11="OK",L1253/INDEX(L$5:L$1258,'Stock Price'!$I$9)-1,"")</f>
        <v>6.2721893491124225E-2</v>
      </c>
      <c r="Z1253" s="19">
        <f ca="1">IF('Stock Price'!$I$11="OK",M1253/INDEX(M$5:M$1258,'Stock Price'!$I$9)-1,"")</f>
        <v>0.69958641433763624</v>
      </c>
    </row>
    <row r="1254" spans="1:26" x14ac:dyDescent="0.2">
      <c r="A1254" s="16">
        <f>'Stock Price'!A1254</f>
        <v>46293</v>
      </c>
      <c r="B1254" s="17">
        <f>'Stock Price'!E1254</f>
        <v>266.27999999999997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1184.78</v>
      </c>
      <c r="L1254" s="18">
        <v>63.88</v>
      </c>
      <c r="M1254" s="18">
        <v>271.95</v>
      </c>
      <c r="O1254" s="19">
        <f ca="1">IF('Stock Price'!$I$11="OK",B1254/INDEX(B$5:B$1258,'Stock Price'!$I$9)-1,"")</f>
        <v>1.431558761756917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4.1304724375351833</v>
      </c>
      <c r="Y1254" s="19">
        <f ca="1">IF('Stock Price'!$I$11="OK",L1254/INDEX(L$5:L$1258,'Stock Price'!$I$9)-1,"")</f>
        <v>7.9966187658495391E-2</v>
      </c>
      <c r="Z1254" s="19">
        <f ca="1">IF('Stock Price'!$I$11="OK",M1254/INDEX(M$5:M$1258,'Stock Price'!$I$9)-1,"")</f>
        <v>0.70416092242135586</v>
      </c>
    </row>
    <row r="1255" spans="1:26" x14ac:dyDescent="0.2">
      <c r="A1255" s="16">
        <f>'Stock Price'!A1255</f>
        <v>46294</v>
      </c>
      <c r="B1255" s="17">
        <f>'Stock Price'!E1255</f>
        <v>263.29000000000002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1184.6300000000001</v>
      </c>
      <c r="L1255" s="18">
        <v>62.86</v>
      </c>
      <c r="M1255" s="18">
        <v>267.57</v>
      </c>
      <c r="O1255" s="19">
        <f ca="1">IF('Stock Price'!$I$11="OK",B1255/INDEX(B$5:B$1258,'Stock Price'!$I$9)-1,"")</f>
        <v>1.4042553191489362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4.129822890053263</v>
      </c>
      <c r="Y1255" s="19">
        <f ca="1">IF('Stock Price'!$I$11="OK",L1255/INDEX(L$5:L$1258,'Stock Price'!$I$9)-1,"")</f>
        <v>6.2721893491124225E-2</v>
      </c>
      <c r="Z1255" s="19">
        <f ca="1">IF('Stock Price'!$I$11="OK",M1255/INDEX(M$5:M$1258,'Stock Price'!$I$9)-1,"")</f>
        <v>0.67671387391903726</v>
      </c>
    </row>
    <row r="1256" spans="1:26" x14ac:dyDescent="0.2">
      <c r="A1256" s="16">
        <f>'Stock Price'!A1256</f>
        <v>46295</v>
      </c>
      <c r="B1256" s="17">
        <f>'Stock Price'!E1256</f>
        <v>261.58999999999997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1157.08</v>
      </c>
      <c r="L1256" s="18">
        <v>62.4</v>
      </c>
      <c r="M1256" s="18">
        <v>264.74</v>
      </c>
      <c r="O1256" s="19">
        <f ca="1">IF('Stock Price'!$I$11="OK",B1256/INDEX(B$5:B$1258,'Stock Price'!$I$9)-1,"")</f>
        <v>1.3887316226828599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4.010522669207119</v>
      </c>
      <c r="Y1256" s="19">
        <f ca="1">IF('Stock Price'!$I$11="OK",L1256/INDEX(L$5:L$1258,'Stock Price'!$I$9)-1,"")</f>
        <v>5.4945054945054972E-2</v>
      </c>
      <c r="Z1256" s="19">
        <f ca="1">IF('Stock Price'!$I$11="OK",M1256/INDEX(M$5:M$1258,'Stock Price'!$I$9)-1,"")</f>
        <v>0.65897982203283623</v>
      </c>
    </row>
    <row r="1257" spans="1:26" x14ac:dyDescent="0.2">
      <c r="A1257" s="16">
        <f>'Stock Price'!A1257</f>
        <v>46296</v>
      </c>
      <c r="B1257" s="17">
        <f>'Stock Price'!E1257</f>
        <v>259.93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1149.8499999999999</v>
      </c>
      <c r="L1257" s="18">
        <v>61.46</v>
      </c>
      <c r="M1257" s="18">
        <v>258.66000000000003</v>
      </c>
      <c r="O1257" s="19">
        <f ca="1">IF('Stock Price'!$I$11="OK",B1257/INDEX(B$5:B$1258,'Stock Price'!$I$9)-1,"")</f>
        <v>1.3735731896630443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3.9792144805785297</v>
      </c>
      <c r="Y1257" s="19">
        <f ca="1">IF('Stock Price'!$I$11="OK",L1257/INDEX(L$5:L$1258,'Stock Price'!$I$9)-1,"")</f>
        <v>3.9053254437869889E-2</v>
      </c>
      <c r="Z1257" s="19">
        <f ca="1">IF('Stock Price'!$I$11="OK",M1257/INDEX(M$5:M$1258,'Stock Price'!$I$9)-1,"")</f>
        <v>0.62087980949993726</v>
      </c>
    </row>
    <row r="1258" spans="1:26" x14ac:dyDescent="0.2">
      <c r="A1258" s="16">
        <f>'Stock Price'!A1258</f>
        <v>46297</v>
      </c>
      <c r="B1258" s="17">
        <f>'Stock Price'!E1258</f>
        <v>262.82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1142.8499999999999</v>
      </c>
      <c r="L1258" s="18">
        <v>61.15</v>
      </c>
      <c r="M1258" s="18">
        <v>256.02999999999997</v>
      </c>
      <c r="O1258" s="19">
        <f ca="1">IF('Stock Price'!$I$11="OK",B1258/INDEX(B$5:B$1258,'Stock Price'!$I$9)-1,"")</f>
        <v>1.3999634736553737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3.9489022647555529</v>
      </c>
      <c r="Y1258" s="19">
        <f ca="1">IF('Stock Price'!$I$11="OK",L1258/INDEX(L$5:L$1258,'Stock Price'!$I$9)-1,"")</f>
        <v>3.3812341504649179E-2</v>
      </c>
      <c r="Z1258" s="19">
        <f ca="1">IF('Stock Price'!$I$11="OK",M1258/INDEX(M$5:M$1258,'Stock Price'!$I$9)-1,"")</f>
        <v>0.60439904749968631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2026-10-05T18:08:13Z</dcterms:created>
  <dcterms:modified xsi:type="dcterms:W3CDTF">2026-10-05T18:23:00Z</dcterms:modified>
</cp:coreProperties>
</file>