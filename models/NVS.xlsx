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175740E9-1BAA-482F-A27F-233E38F8919D}" xr6:coauthVersionLast="47" xr6:coauthVersionMax="47" xr10:uidLastSave="{00000000-0000-0000-0000-000000000000}"/>
  <bookViews>
    <workbookView xWindow="37395" yWindow="435" windowWidth="27555" windowHeight="14520" xr2:uid="{B2582C7D-1FF1-4FE0-8CDD-108A989E3C1E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Data'!$P$5:$P$1258,MIN('Stock Price'!$I$9,1254)):INDEX('Peer Data'!$P$5:$P$1258,MAX('Stock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Data'!$Q$5:$Q$1258,MIN('Stock Price'!$I$9,1254)):INDEX('Peer Data'!$Q$5:$Q$1258,MAX('Stock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Data'!$O$5:$O$1258,MIN('Stock Price'!$I$9,1254)):INDEX('Peer Data'!$O$5:$O$1258,MAX('Stock Price'!$I$10,1))</definedName>
    <definedName name="PeerPct_PFE">INDEX('Peer Data'!$V$5:$V$1258,MIN('Stock Price'!$I$9,1254)):INDEX('Peer Data'!$V$5:$V$1258,MAX('Stock Price'!$I$10,1))</definedName>
    <definedName name="PeerPct_ROG">INDEX('Peer Data'!$R$5:$R$1258,MIN('Stock Price'!$I$9,1254)):INDEX('Peer Data'!$R$5:$R$1258,MAX('Stock Price'!$I$10,1))</definedName>
    <definedName name="PeerPct_SNY">INDEX('Peer Data'!$S$5:$S$1258,MIN('Stock Price'!$I$9,1254)):INDEX('Peer Data'!$S$5:$S$1258,MAX('Stock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9" i="2"/>
  <c r="Z33" i="2"/>
  <c r="Z44" i="2"/>
  <c r="Z58" i="2"/>
  <c r="Z72" i="2"/>
  <c r="Z83" i="2"/>
  <c r="Z97" i="2"/>
  <c r="Z108" i="2"/>
  <c r="Z122" i="2"/>
  <c r="Z136" i="2"/>
  <c r="Z147" i="2"/>
  <c r="Z161" i="2"/>
  <c r="Z172" i="2"/>
  <c r="Z186" i="2"/>
  <c r="Z200" i="2"/>
  <c r="Z211" i="2"/>
  <c r="Z225" i="2"/>
  <c r="Z236" i="2"/>
  <c r="Z250" i="2"/>
  <c r="Z264" i="2"/>
  <c r="Z275" i="2"/>
  <c r="Z289" i="2"/>
  <c r="Z300" i="2"/>
  <c r="Z314" i="2"/>
  <c r="Z328" i="2"/>
  <c r="Z339" i="2"/>
  <c r="Z353" i="2"/>
  <c r="Z364" i="2"/>
  <c r="Z378" i="2"/>
  <c r="Z392" i="2"/>
  <c r="Z403" i="2"/>
  <c r="Z417" i="2"/>
  <c r="Z428" i="2"/>
  <c r="Z442" i="2"/>
  <c r="Z456" i="2"/>
  <c r="Z467" i="2"/>
  <c r="Z481" i="2"/>
  <c r="Z492" i="2"/>
  <c r="Z506" i="2"/>
  <c r="Z520" i="2"/>
  <c r="Z531" i="2"/>
  <c r="Z545" i="2"/>
  <c r="Z556" i="2"/>
  <c r="Z570" i="2"/>
  <c r="Z584" i="2"/>
  <c r="Z595" i="2"/>
  <c r="Z609" i="2"/>
  <c r="Z620" i="2"/>
  <c r="Z634" i="2"/>
  <c r="Z648" i="2"/>
  <c r="Z659" i="2"/>
  <c r="Z673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" i="2"/>
  <c r="Z20" i="2"/>
  <c r="Z34" i="2"/>
  <c r="Z48" i="2"/>
  <c r="Z59" i="2"/>
  <c r="Z73" i="2"/>
  <c r="Z84" i="2"/>
  <c r="Z98" i="2"/>
  <c r="Z112" i="2"/>
  <c r="Z123" i="2"/>
  <c r="Z137" i="2"/>
  <c r="Z148" i="2"/>
  <c r="Z162" i="2"/>
  <c r="Z176" i="2"/>
  <c r="Z187" i="2"/>
  <c r="Z201" i="2"/>
  <c r="Z212" i="2"/>
  <c r="Z226" i="2"/>
  <c r="Z240" i="2"/>
  <c r="Z251" i="2"/>
  <c r="Z265" i="2"/>
  <c r="Z276" i="2"/>
  <c r="Z290" i="2"/>
  <c r="Z304" i="2"/>
  <c r="Z315" i="2"/>
  <c r="Z329" i="2"/>
  <c r="Z340" i="2"/>
  <c r="Z354" i="2"/>
  <c r="Z368" i="2"/>
  <c r="Z379" i="2"/>
  <c r="Z393" i="2"/>
  <c r="Z404" i="2"/>
  <c r="Z418" i="2"/>
  <c r="Z432" i="2"/>
  <c r="Z443" i="2"/>
  <c r="Z457" i="2"/>
  <c r="Z468" i="2"/>
  <c r="Z482" i="2"/>
  <c r="Z496" i="2"/>
  <c r="Z507" i="2"/>
  <c r="Z521" i="2"/>
  <c r="Z532" i="2"/>
  <c r="Z546" i="2"/>
  <c r="Z560" i="2"/>
  <c r="Z571" i="2"/>
  <c r="Z585" i="2"/>
  <c r="Z596" i="2"/>
  <c r="Z610" i="2"/>
  <c r="Z624" i="2"/>
  <c r="Z635" i="2"/>
  <c r="Z649" i="2"/>
  <c r="Z660" i="2"/>
  <c r="Z674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0" i="2"/>
  <c r="Z24" i="2"/>
  <c r="Z35" i="2"/>
  <c r="Z49" i="2"/>
  <c r="Z60" i="2"/>
  <c r="Z74" i="2"/>
  <c r="Z88" i="2"/>
  <c r="Z99" i="2"/>
  <c r="Z113" i="2"/>
  <c r="Z124" i="2"/>
  <c r="Z138" i="2"/>
  <c r="Z152" i="2"/>
  <c r="Z163" i="2"/>
  <c r="Z177" i="2"/>
  <c r="Z188" i="2"/>
  <c r="Z202" i="2"/>
  <c r="Z216" i="2"/>
  <c r="Z227" i="2"/>
  <c r="Z241" i="2"/>
  <c r="Z252" i="2"/>
  <c r="Z266" i="2"/>
  <c r="Z280" i="2"/>
  <c r="Z291" i="2"/>
  <c r="Z305" i="2"/>
  <c r="Z316" i="2"/>
  <c r="Z330" i="2"/>
  <c r="Z344" i="2"/>
  <c r="Z355" i="2"/>
  <c r="Z369" i="2"/>
  <c r="Z380" i="2"/>
  <c r="Z394" i="2"/>
  <c r="Z408" i="2"/>
  <c r="Z419" i="2"/>
  <c r="Z433" i="2"/>
  <c r="Z444" i="2"/>
  <c r="Z458" i="2"/>
  <c r="Z472" i="2"/>
  <c r="Z483" i="2"/>
  <c r="Z497" i="2"/>
  <c r="Z508" i="2"/>
  <c r="Z522" i="2"/>
  <c r="Z536" i="2"/>
  <c r="Z547" i="2"/>
  <c r="Z561" i="2"/>
  <c r="Z572" i="2"/>
  <c r="Z586" i="2"/>
  <c r="Z600" i="2"/>
  <c r="Z611" i="2"/>
  <c r="Z625" i="2"/>
  <c r="Z636" i="2"/>
  <c r="Z650" i="2"/>
  <c r="Z664" i="2"/>
  <c r="Z675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11" i="2"/>
  <c r="Z25" i="2"/>
  <c r="Z36" i="2"/>
  <c r="Z50" i="2"/>
  <c r="Z64" i="2"/>
  <c r="Z75" i="2"/>
  <c r="Z89" i="2"/>
  <c r="Z100" i="2"/>
  <c r="Z114" i="2"/>
  <c r="Z128" i="2"/>
  <c r="Z139" i="2"/>
  <c r="Z153" i="2"/>
  <c r="Z164" i="2"/>
  <c r="Z178" i="2"/>
  <c r="Z192" i="2"/>
  <c r="Z203" i="2"/>
  <c r="Z217" i="2"/>
  <c r="Z228" i="2"/>
  <c r="Z242" i="2"/>
  <c r="Z256" i="2"/>
  <c r="Z267" i="2"/>
  <c r="Z281" i="2"/>
  <c r="Z292" i="2"/>
  <c r="Z306" i="2"/>
  <c r="Z320" i="2"/>
  <c r="Z331" i="2"/>
  <c r="Z345" i="2"/>
  <c r="Z356" i="2"/>
  <c r="Z370" i="2"/>
  <c r="Z384" i="2"/>
  <c r="Z395" i="2"/>
  <c r="Z409" i="2"/>
  <c r="Z420" i="2"/>
  <c r="Z434" i="2"/>
  <c r="Z448" i="2"/>
  <c r="Z459" i="2"/>
  <c r="Z473" i="2"/>
  <c r="Z484" i="2"/>
  <c r="Z498" i="2"/>
  <c r="Z512" i="2"/>
  <c r="Z523" i="2"/>
  <c r="Z537" i="2"/>
  <c r="Z12" i="2"/>
  <c r="Z26" i="2"/>
  <c r="Z40" i="2"/>
  <c r="Z51" i="2"/>
  <c r="Z65" i="2"/>
  <c r="Z76" i="2"/>
  <c r="Z90" i="2"/>
  <c r="Z104" i="2"/>
  <c r="Z115" i="2"/>
  <c r="Z129" i="2"/>
  <c r="Z140" i="2"/>
  <c r="Z154" i="2"/>
  <c r="Z168" i="2"/>
  <c r="Z179" i="2"/>
  <c r="Z193" i="2"/>
  <c r="Z204" i="2"/>
  <c r="Z218" i="2"/>
  <c r="Z232" i="2"/>
  <c r="Z243" i="2"/>
  <c r="Z257" i="2"/>
  <c r="Z268" i="2"/>
  <c r="Z282" i="2"/>
  <c r="Z296" i="2"/>
  <c r="Z307" i="2"/>
  <c r="Z321" i="2"/>
  <c r="Z332" i="2"/>
  <c r="Z346" i="2"/>
  <c r="Z360" i="2"/>
  <c r="Z371" i="2"/>
  <c r="Z385" i="2"/>
  <c r="Z396" i="2"/>
  <c r="Z410" i="2"/>
  <c r="Z424" i="2"/>
  <c r="Z435" i="2"/>
  <c r="Z449" i="2"/>
  <c r="Z460" i="2"/>
  <c r="Z474" i="2"/>
  <c r="Z488" i="2"/>
  <c r="Z499" i="2"/>
  <c r="Z513" i="2"/>
  <c r="Z524" i="2"/>
  <c r="Z538" i="2"/>
  <c r="Z16" i="2"/>
  <c r="Z27" i="2"/>
  <c r="Z41" i="2"/>
  <c r="Z52" i="2"/>
  <c r="Z66" i="2"/>
  <c r="Z80" i="2"/>
  <c r="Z91" i="2"/>
  <c r="Z105" i="2"/>
  <c r="Z116" i="2"/>
  <c r="Z130" i="2"/>
  <c r="Z144" i="2"/>
  <c r="Z155" i="2"/>
  <c r="Z169" i="2"/>
  <c r="Z180" i="2"/>
  <c r="Z194" i="2"/>
  <c r="Z208" i="2"/>
  <c r="Z219" i="2"/>
  <c r="Z233" i="2"/>
  <c r="Z244" i="2"/>
  <c r="Z258" i="2"/>
  <c r="Z272" i="2"/>
  <c r="Z283" i="2"/>
  <c r="Z297" i="2"/>
  <c r="Z308" i="2"/>
  <c r="Z322" i="2"/>
  <c r="Z336" i="2"/>
  <c r="Z347" i="2"/>
  <c r="Z361" i="2"/>
  <c r="Z372" i="2"/>
  <c r="Z386" i="2"/>
  <c r="Z400" i="2"/>
  <c r="Z411" i="2"/>
  <c r="Z425" i="2"/>
  <c r="Z436" i="2"/>
  <c r="Z450" i="2"/>
  <c r="Z464" i="2"/>
  <c r="Z475" i="2"/>
  <c r="Z489" i="2"/>
  <c r="Z500" i="2"/>
  <c r="Z514" i="2"/>
  <c r="Z528" i="2"/>
  <c r="Z539" i="2"/>
  <c r="Z553" i="2"/>
  <c r="Z564" i="2"/>
  <c r="Z578" i="2"/>
  <c r="Z592" i="2"/>
  <c r="Z603" i="2"/>
  <c r="Z617" i="2"/>
  <c r="Z628" i="2"/>
  <c r="Z642" i="2"/>
  <c r="Z656" i="2"/>
  <c r="Z667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17" i="2"/>
  <c r="Z67" i="2"/>
  <c r="Z120" i="2"/>
  <c r="Z170" i="2"/>
  <c r="Z220" i="2"/>
  <c r="Z273" i="2"/>
  <c r="Z323" i="2"/>
  <c r="Z376" i="2"/>
  <c r="Z426" i="2"/>
  <c r="Z476" i="2"/>
  <c r="Z529" i="2"/>
  <c r="Z562" i="2"/>
  <c r="Z587" i="2"/>
  <c r="Z612" i="2"/>
  <c r="Z640" i="2"/>
  <c r="Z665" i="2"/>
  <c r="Z687" i="2"/>
  <c r="Z703" i="2"/>
  <c r="Z719" i="2"/>
  <c r="Z735" i="2"/>
  <c r="Z751" i="2"/>
  <c r="Z767" i="2"/>
  <c r="Z783" i="2"/>
  <c r="Z799" i="2"/>
  <c r="Z815" i="2"/>
  <c r="Z831" i="2"/>
  <c r="Z847" i="2"/>
  <c r="Z863" i="2"/>
  <c r="Z879" i="2"/>
  <c r="Z895" i="2"/>
  <c r="Z911" i="2"/>
  <c r="Z927" i="2"/>
  <c r="Z943" i="2"/>
  <c r="Z954" i="2"/>
  <c r="Z968" i="2"/>
  <c r="Z979" i="2"/>
  <c r="Z993" i="2"/>
  <c r="Z1007" i="2"/>
  <c r="Z1018" i="2"/>
  <c r="Z1032" i="2"/>
  <c r="Z1043" i="2"/>
  <c r="Z1057" i="2"/>
  <c r="Z1071" i="2"/>
  <c r="Z1082" i="2"/>
  <c r="Z1096" i="2"/>
  <c r="Z1107" i="2"/>
  <c r="Z1121" i="2"/>
  <c r="Z1135" i="2"/>
  <c r="Z1146" i="2"/>
  <c r="Z1160" i="2"/>
  <c r="Z1171" i="2"/>
  <c r="Z1185" i="2"/>
  <c r="Z1199" i="2"/>
  <c r="Z1210" i="2"/>
  <c r="Z1224" i="2"/>
  <c r="Z1235" i="2"/>
  <c r="Z1249" i="2"/>
  <c r="Z210" i="2"/>
  <c r="Z699" i="2"/>
  <c r="Z875" i="2"/>
  <c r="Z1003" i="2"/>
  <c r="Z1095" i="2"/>
  <c r="Z1184" i="2"/>
  <c r="Z1248" i="2"/>
  <c r="Z18" i="2"/>
  <c r="Z68" i="2"/>
  <c r="Z121" i="2"/>
  <c r="Z171" i="2"/>
  <c r="Z224" i="2"/>
  <c r="Z274" i="2"/>
  <c r="Z324" i="2"/>
  <c r="Z377" i="2"/>
  <c r="Z427" i="2"/>
  <c r="Z480" i="2"/>
  <c r="Z530" i="2"/>
  <c r="Z563" i="2"/>
  <c r="Z588" i="2"/>
  <c r="Z616" i="2"/>
  <c r="Z641" i="2"/>
  <c r="Z666" i="2"/>
  <c r="Z688" i="2"/>
  <c r="Z704" i="2"/>
  <c r="Z720" i="2"/>
  <c r="Z736" i="2"/>
  <c r="Z752" i="2"/>
  <c r="Z768" i="2"/>
  <c r="Z784" i="2"/>
  <c r="Z800" i="2"/>
  <c r="Z816" i="2"/>
  <c r="Z832" i="2"/>
  <c r="Z848" i="2"/>
  <c r="Z864" i="2"/>
  <c r="Z880" i="2"/>
  <c r="Z896" i="2"/>
  <c r="Z912" i="2"/>
  <c r="Z928" i="2"/>
  <c r="Z944" i="2"/>
  <c r="Z955" i="2"/>
  <c r="Z969" i="2"/>
  <c r="Z983" i="2"/>
  <c r="Z994" i="2"/>
  <c r="Z1008" i="2"/>
  <c r="Z1019" i="2"/>
  <c r="Z1033" i="2"/>
  <c r="Z1047" i="2"/>
  <c r="Z1058" i="2"/>
  <c r="Z1072" i="2"/>
  <c r="Z1083" i="2"/>
  <c r="Z1097" i="2"/>
  <c r="Z1111" i="2"/>
  <c r="Z1122" i="2"/>
  <c r="Z1136" i="2"/>
  <c r="Z1147" i="2"/>
  <c r="Z1161" i="2"/>
  <c r="Z1175" i="2"/>
  <c r="Z1186" i="2"/>
  <c r="Z1200" i="2"/>
  <c r="Z1211" i="2"/>
  <c r="Z1225" i="2"/>
  <c r="Z1239" i="2"/>
  <c r="Z1250" i="2"/>
  <c r="Z57" i="2"/>
  <c r="Z795" i="2"/>
  <c r="Z953" i="2"/>
  <c r="Z1106" i="2"/>
  <c r="Z1209" i="2"/>
  <c r="Z28" i="2"/>
  <c r="Z81" i="2"/>
  <c r="Z131" i="2"/>
  <c r="Z184" i="2"/>
  <c r="Z234" i="2"/>
  <c r="Z284" i="2"/>
  <c r="Z337" i="2"/>
  <c r="Z387" i="2"/>
  <c r="Z440" i="2"/>
  <c r="Z490" i="2"/>
  <c r="Z540" i="2"/>
  <c r="Z568" i="2"/>
  <c r="Z593" i="2"/>
  <c r="Z618" i="2"/>
  <c r="Z643" i="2"/>
  <c r="Z668" i="2"/>
  <c r="Z690" i="2"/>
  <c r="Z706" i="2"/>
  <c r="Z722" i="2"/>
  <c r="Z738" i="2"/>
  <c r="Z754" i="2"/>
  <c r="Z770" i="2"/>
  <c r="Z786" i="2"/>
  <c r="Z802" i="2"/>
  <c r="Z818" i="2"/>
  <c r="Z834" i="2"/>
  <c r="Z850" i="2"/>
  <c r="Z866" i="2"/>
  <c r="Z882" i="2"/>
  <c r="Z898" i="2"/>
  <c r="Z914" i="2"/>
  <c r="Z930" i="2"/>
  <c r="Z945" i="2"/>
  <c r="Z959" i="2"/>
  <c r="Z970" i="2"/>
  <c r="Z984" i="2"/>
  <c r="Z995" i="2"/>
  <c r="Z1009" i="2"/>
  <c r="Z1023" i="2"/>
  <c r="Z1034" i="2"/>
  <c r="Z1048" i="2"/>
  <c r="Z1059" i="2"/>
  <c r="Z1073" i="2"/>
  <c r="Z1087" i="2"/>
  <c r="Z1098" i="2"/>
  <c r="Z1112" i="2"/>
  <c r="Z1123" i="2"/>
  <c r="Z1137" i="2"/>
  <c r="Z1151" i="2"/>
  <c r="Z1162" i="2"/>
  <c r="Z1176" i="2"/>
  <c r="Z1187" i="2"/>
  <c r="Z1201" i="2"/>
  <c r="Z1215" i="2"/>
  <c r="Z1226" i="2"/>
  <c r="Z1240" i="2"/>
  <c r="Z1251" i="2"/>
  <c r="Z160" i="2"/>
  <c r="Z763" i="2"/>
  <c r="Z939" i="2"/>
  <c r="Z1056" i="2"/>
  <c r="Z1170" i="2"/>
  <c r="Z32" i="2"/>
  <c r="Z82" i="2"/>
  <c r="Z132" i="2"/>
  <c r="Z185" i="2"/>
  <c r="Z235" i="2"/>
  <c r="Z288" i="2"/>
  <c r="Z338" i="2"/>
  <c r="Z388" i="2"/>
  <c r="Z441" i="2"/>
  <c r="Z491" i="2"/>
  <c r="Z544" i="2"/>
  <c r="Z569" i="2"/>
  <c r="Z594" i="2"/>
  <c r="Z619" i="2"/>
  <c r="Z644" i="2"/>
  <c r="Z672" i="2"/>
  <c r="Z691" i="2"/>
  <c r="Z707" i="2"/>
  <c r="Z723" i="2"/>
  <c r="Z739" i="2"/>
  <c r="Z755" i="2"/>
  <c r="Z771" i="2"/>
  <c r="Z787" i="2"/>
  <c r="Z803" i="2"/>
  <c r="Z819" i="2"/>
  <c r="Z835" i="2"/>
  <c r="Z851" i="2"/>
  <c r="Z867" i="2"/>
  <c r="Z883" i="2"/>
  <c r="Z899" i="2"/>
  <c r="Z915" i="2"/>
  <c r="Z931" i="2"/>
  <c r="Z946" i="2"/>
  <c r="Z960" i="2"/>
  <c r="Z971" i="2"/>
  <c r="Z985" i="2"/>
  <c r="Z999" i="2"/>
  <c r="Z1010" i="2"/>
  <c r="Z1024" i="2"/>
  <c r="Z1035" i="2"/>
  <c r="Z1049" i="2"/>
  <c r="Z1063" i="2"/>
  <c r="Z1074" i="2"/>
  <c r="Z1088" i="2"/>
  <c r="Z1099" i="2"/>
  <c r="Z1113" i="2"/>
  <c r="Z1127" i="2"/>
  <c r="Z1138" i="2"/>
  <c r="Z1152" i="2"/>
  <c r="Z1163" i="2"/>
  <c r="Z1177" i="2"/>
  <c r="Z1191" i="2"/>
  <c r="Z1202" i="2"/>
  <c r="Z1216" i="2"/>
  <c r="Z1227" i="2"/>
  <c r="Z1241" i="2"/>
  <c r="Z1255" i="2"/>
  <c r="Z42" i="2"/>
  <c r="Z92" i="2"/>
  <c r="Z145" i="2"/>
  <c r="Z195" i="2"/>
  <c r="Z248" i="2"/>
  <c r="Z298" i="2"/>
  <c r="Z348" i="2"/>
  <c r="Z401" i="2"/>
  <c r="Z451" i="2"/>
  <c r="Z504" i="2"/>
  <c r="Z548" i="2"/>
  <c r="Z576" i="2"/>
  <c r="Z601" i="2"/>
  <c r="Z626" i="2"/>
  <c r="Z651" i="2"/>
  <c r="Z676" i="2"/>
  <c r="Z695" i="2"/>
  <c r="Z711" i="2"/>
  <c r="Z727" i="2"/>
  <c r="Z743" i="2"/>
  <c r="Z759" i="2"/>
  <c r="Z775" i="2"/>
  <c r="Z791" i="2"/>
  <c r="Z807" i="2"/>
  <c r="Z823" i="2"/>
  <c r="Z839" i="2"/>
  <c r="Z855" i="2"/>
  <c r="Z871" i="2"/>
  <c r="Z887" i="2"/>
  <c r="Z903" i="2"/>
  <c r="Z919" i="2"/>
  <c r="Z935" i="2"/>
  <c r="Z947" i="2"/>
  <c r="Z961" i="2"/>
  <c r="Z975" i="2"/>
  <c r="Z986" i="2"/>
  <c r="Z1000" i="2"/>
  <c r="Z1011" i="2"/>
  <c r="Z1025" i="2"/>
  <c r="Z1039" i="2"/>
  <c r="Z1050" i="2"/>
  <c r="Z1064" i="2"/>
  <c r="Z1075" i="2"/>
  <c r="Z1089" i="2"/>
  <c r="Z1103" i="2"/>
  <c r="Z1114" i="2"/>
  <c r="Z1128" i="2"/>
  <c r="Z1139" i="2"/>
  <c r="Z1153" i="2"/>
  <c r="Z1167" i="2"/>
  <c r="Z1178" i="2"/>
  <c r="Z1192" i="2"/>
  <c r="Z1203" i="2"/>
  <c r="Z1217" i="2"/>
  <c r="Z1231" i="2"/>
  <c r="Z1242" i="2"/>
  <c r="Z1256" i="2"/>
  <c r="Z107" i="2"/>
  <c r="Z416" i="2"/>
  <c r="Z555" i="2"/>
  <c r="Z608" i="2"/>
  <c r="Z658" i="2"/>
  <c r="Z715" i="2"/>
  <c r="Z779" i="2"/>
  <c r="Z827" i="2"/>
  <c r="Z859" i="2"/>
  <c r="Z923" i="2"/>
  <c r="Z978" i="2"/>
  <c r="Z1031" i="2"/>
  <c r="Z1081" i="2"/>
  <c r="Z1131" i="2"/>
  <c r="Z1195" i="2"/>
  <c r="Z43" i="2"/>
  <c r="Z96" i="2"/>
  <c r="Z146" i="2"/>
  <c r="Z196" i="2"/>
  <c r="Z249" i="2"/>
  <c r="Z299" i="2"/>
  <c r="Z352" i="2"/>
  <c r="Z402" i="2"/>
  <c r="Z452" i="2"/>
  <c r="Z505" i="2"/>
  <c r="Z552" i="2"/>
  <c r="Z577" i="2"/>
  <c r="Z602" i="2"/>
  <c r="Z627" i="2"/>
  <c r="Z652" i="2"/>
  <c r="Z680" i="2"/>
  <c r="Z696" i="2"/>
  <c r="Z712" i="2"/>
  <c r="Z728" i="2"/>
  <c r="Z744" i="2"/>
  <c r="Z760" i="2"/>
  <c r="Z776" i="2"/>
  <c r="Z792" i="2"/>
  <c r="Z808" i="2"/>
  <c r="Z824" i="2"/>
  <c r="Z840" i="2"/>
  <c r="Z856" i="2"/>
  <c r="Z872" i="2"/>
  <c r="Z888" i="2"/>
  <c r="Z904" i="2"/>
  <c r="Z920" i="2"/>
  <c r="Z936" i="2"/>
  <c r="Z951" i="2"/>
  <c r="Z962" i="2"/>
  <c r="Z976" i="2"/>
  <c r="Z987" i="2"/>
  <c r="Z1001" i="2"/>
  <c r="Z1015" i="2"/>
  <c r="Z1026" i="2"/>
  <c r="Z1040" i="2"/>
  <c r="Z1051" i="2"/>
  <c r="Z1065" i="2"/>
  <c r="Z1079" i="2"/>
  <c r="Z1090" i="2"/>
  <c r="Z1104" i="2"/>
  <c r="Z1115" i="2"/>
  <c r="Z1129" i="2"/>
  <c r="Z1143" i="2"/>
  <c r="Z1154" i="2"/>
  <c r="Z1168" i="2"/>
  <c r="Z1179" i="2"/>
  <c r="Z1193" i="2"/>
  <c r="Z1207" i="2"/>
  <c r="Z1218" i="2"/>
  <c r="Z1232" i="2"/>
  <c r="Z1243" i="2"/>
  <c r="Z1257" i="2"/>
  <c r="Z260" i="2"/>
  <c r="Z731" i="2"/>
  <c r="Z891" i="2"/>
  <c r="Z992" i="2"/>
  <c r="Z1067" i="2"/>
  <c r="Z1145" i="2"/>
  <c r="Z1234" i="2"/>
  <c r="Z56" i="2"/>
  <c r="Z106" i="2"/>
  <c r="Z156" i="2"/>
  <c r="Z209" i="2"/>
  <c r="Z259" i="2"/>
  <c r="Z312" i="2"/>
  <c r="Z362" i="2"/>
  <c r="Z412" i="2"/>
  <c r="Z465" i="2"/>
  <c r="Z515" i="2"/>
  <c r="Z554" i="2"/>
  <c r="Z579" i="2"/>
  <c r="Z604" i="2"/>
  <c r="Z632" i="2"/>
  <c r="Z657" i="2"/>
  <c r="Z682" i="2"/>
  <c r="Z698" i="2"/>
  <c r="Z714" i="2"/>
  <c r="Z730" i="2"/>
  <c r="Z746" i="2"/>
  <c r="Z762" i="2"/>
  <c r="Z778" i="2"/>
  <c r="Z794" i="2"/>
  <c r="Z810" i="2"/>
  <c r="Z826" i="2"/>
  <c r="Z842" i="2"/>
  <c r="Z858" i="2"/>
  <c r="Z874" i="2"/>
  <c r="Z890" i="2"/>
  <c r="Z906" i="2"/>
  <c r="Z922" i="2"/>
  <c r="Z938" i="2"/>
  <c r="Z952" i="2"/>
  <c r="Z963" i="2"/>
  <c r="Z977" i="2"/>
  <c r="Z991" i="2"/>
  <c r="Z1002" i="2"/>
  <c r="Z1016" i="2"/>
  <c r="Z1027" i="2"/>
  <c r="Z1041" i="2"/>
  <c r="Z1055" i="2"/>
  <c r="Z1066" i="2"/>
  <c r="Z1080" i="2"/>
  <c r="Z1091" i="2"/>
  <c r="Z1105" i="2"/>
  <c r="Z1119" i="2"/>
  <c r="Z1130" i="2"/>
  <c r="Z1144" i="2"/>
  <c r="Z1155" i="2"/>
  <c r="Z1169" i="2"/>
  <c r="Z1183" i="2"/>
  <c r="Z1194" i="2"/>
  <c r="Z1208" i="2"/>
  <c r="Z1219" i="2"/>
  <c r="Z1233" i="2"/>
  <c r="Z1247" i="2"/>
  <c r="Z1258" i="2"/>
  <c r="V60" i="1" s="1"/>
  <c r="AC16" i="2" s="1"/>
  <c r="Z313" i="2"/>
  <c r="Z363" i="2"/>
  <c r="Z466" i="2"/>
  <c r="Z516" i="2"/>
  <c r="Z580" i="2"/>
  <c r="Z633" i="2"/>
  <c r="Z683" i="2"/>
  <c r="Z747" i="2"/>
  <c r="Z811" i="2"/>
  <c r="Z843" i="2"/>
  <c r="Z907" i="2"/>
  <c r="Z967" i="2"/>
  <c r="Z1017" i="2"/>
  <c r="Z1042" i="2"/>
  <c r="Z1120" i="2"/>
  <c r="Z1159" i="2"/>
  <c r="Z122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1" i="2"/>
  <c r="Y75" i="2"/>
  <c r="Y139" i="2"/>
  <c r="Y203" i="2"/>
  <c r="Y267" i="2"/>
  <c r="Y331" i="2"/>
  <c r="Y395" i="2"/>
  <c r="Y459" i="2"/>
  <c r="Y523" i="2"/>
  <c r="Y587" i="2"/>
  <c r="Y651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9" i="2"/>
  <c r="Y83" i="2"/>
  <c r="Y147" i="2"/>
  <c r="Y211" i="2"/>
  <c r="Y275" i="2"/>
  <c r="Y339" i="2"/>
  <c r="Y403" i="2"/>
  <c r="Y467" i="2"/>
  <c r="Y531" i="2"/>
  <c r="Y595" i="2"/>
  <c r="Y659" i="2"/>
  <c r="Y689" i="2"/>
  <c r="Y697" i="2"/>
  <c r="Y705" i="2"/>
  <c r="Y713" i="2"/>
  <c r="Y721" i="2"/>
  <c r="Y753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27" i="2"/>
  <c r="Y91" i="2"/>
  <c r="Y155" i="2"/>
  <c r="Y219" i="2"/>
  <c r="Y283" i="2"/>
  <c r="Y347" i="2"/>
  <c r="Y411" i="2"/>
  <c r="Y475" i="2"/>
  <c r="Y539" i="2"/>
  <c r="Y603" i="2"/>
  <c r="Y667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35" i="2"/>
  <c r="Y99" i="2"/>
  <c r="Y163" i="2"/>
  <c r="Y227" i="2"/>
  <c r="Y291" i="2"/>
  <c r="Y355" i="2"/>
  <c r="Y419" i="2"/>
  <c r="Y483" i="2"/>
  <c r="Y547" i="2"/>
  <c r="Y611" i="2"/>
  <c r="Y675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769" i="2"/>
  <c r="Y1257" i="2"/>
  <c r="Y43" i="2"/>
  <c r="Y107" i="2"/>
  <c r="Y171" i="2"/>
  <c r="Y235" i="2"/>
  <c r="Y299" i="2"/>
  <c r="Y363" i="2"/>
  <c r="Y427" i="2"/>
  <c r="Y491" i="2"/>
  <c r="Y555" i="2"/>
  <c r="Y619" i="2"/>
  <c r="Y683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761" i="2"/>
  <c r="Y1249" i="2"/>
  <c r="Y51" i="2"/>
  <c r="Y115" i="2"/>
  <c r="Y179" i="2"/>
  <c r="Y243" i="2"/>
  <c r="Y307" i="2"/>
  <c r="Y371" i="2"/>
  <c r="Y435" i="2"/>
  <c r="Y499" i="2"/>
  <c r="Y563" i="2"/>
  <c r="Y627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745" i="2"/>
  <c r="Y59" i="2"/>
  <c r="Y123" i="2"/>
  <c r="Y187" i="2"/>
  <c r="Y251" i="2"/>
  <c r="Y315" i="2"/>
  <c r="Y379" i="2"/>
  <c r="Y443" i="2"/>
  <c r="Y507" i="2"/>
  <c r="Y571" i="2"/>
  <c r="Y63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737" i="2"/>
  <c r="Y67" i="2"/>
  <c r="Y131" i="2"/>
  <c r="Y195" i="2"/>
  <c r="Y259" i="2"/>
  <c r="Y323" i="2"/>
  <c r="Y387" i="2"/>
  <c r="Y451" i="2"/>
  <c r="Y515" i="2"/>
  <c r="Y579" i="2"/>
  <c r="Y643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9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1124" i="2"/>
  <c r="X588" i="2"/>
  <c r="X620" i="2"/>
  <c r="X643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32" i="2"/>
  <c r="X1164" i="2"/>
  <c r="X1180" i="2"/>
  <c r="X1188" i="2"/>
  <c r="X1196" i="2"/>
  <c r="X1204" i="2"/>
  <c r="X1212" i="2"/>
  <c r="X1220" i="2"/>
  <c r="X1228" i="2"/>
  <c r="X1236" i="2"/>
  <c r="X1244" i="2"/>
  <c r="X1252" i="2"/>
  <c r="X596" i="2"/>
  <c r="X626" i="2"/>
  <c r="X644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604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1140" i="2"/>
  <c r="X610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172" i="2"/>
  <c r="X611" i="2"/>
  <c r="X634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612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156" i="2"/>
  <c r="X618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114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6" i="2"/>
  <c r="W22" i="2"/>
  <c r="W38" i="2"/>
  <c r="W54" i="2"/>
  <c r="W70" i="2"/>
  <c r="W86" i="2"/>
  <c r="W102" i="2"/>
  <c r="W118" i="2"/>
  <c r="W134" i="2"/>
  <c r="W150" i="2"/>
  <c r="W166" i="2"/>
  <c r="W182" i="2"/>
  <c r="W198" i="2"/>
  <c r="W214" i="2"/>
  <c r="W230" i="2"/>
  <c r="W246" i="2"/>
  <c r="W262" i="2"/>
  <c r="W278" i="2"/>
  <c r="W294" i="2"/>
  <c r="W310" i="2"/>
  <c r="W326" i="2"/>
  <c r="W342" i="2"/>
  <c r="W358" i="2"/>
  <c r="W374" i="2"/>
  <c r="W390" i="2"/>
  <c r="W406" i="2"/>
  <c r="W417" i="2"/>
  <c r="W431" i="2"/>
  <c r="W443" i="2"/>
  <c r="W456" i="2"/>
  <c r="W470" i="2"/>
  <c r="W481" i="2"/>
  <c r="W495" i="2"/>
  <c r="W507" i="2"/>
  <c r="W518" i="2"/>
  <c r="W528" i="2"/>
  <c r="W539" i="2"/>
  <c r="W550" i="2"/>
  <c r="W560" i="2"/>
  <c r="W571" i="2"/>
  <c r="W580" i="2"/>
  <c r="W590" i="2"/>
  <c r="W599" i="2"/>
  <c r="W608" i="2"/>
  <c r="W617" i="2"/>
  <c r="W626" i="2"/>
  <c r="W635" i="2"/>
  <c r="W644" i="2"/>
  <c r="W654" i="2"/>
  <c r="W663" i="2"/>
  <c r="W672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4" i="2"/>
  <c r="W425" i="2"/>
  <c r="W439" i="2"/>
  <c r="W451" i="2"/>
  <c r="W464" i="2"/>
  <c r="W478" i="2"/>
  <c r="W489" i="2"/>
  <c r="W503" i="2"/>
  <c r="W513" i="2"/>
  <c r="W524" i="2"/>
  <c r="W535" i="2"/>
  <c r="W545" i="2"/>
  <c r="W556" i="2"/>
  <c r="W567" i="2"/>
  <c r="W577" i="2"/>
  <c r="W586" i="2"/>
  <c r="W595" i="2"/>
  <c r="W604" i="2"/>
  <c r="W614" i="2"/>
  <c r="W623" i="2"/>
  <c r="W632" i="2"/>
  <c r="W641" i="2"/>
  <c r="W650" i="2"/>
  <c r="W659" i="2"/>
  <c r="W668" i="2"/>
  <c r="W67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5" i="2"/>
  <c r="W427" i="2"/>
  <c r="W440" i="2"/>
  <c r="W454" i="2"/>
  <c r="W465" i="2"/>
  <c r="W479" i="2"/>
  <c r="W491" i="2"/>
  <c r="W504" i="2"/>
  <c r="W515" i="2"/>
  <c r="W526" i="2"/>
  <c r="W536" i="2"/>
  <c r="W547" i="2"/>
  <c r="W558" i="2"/>
  <c r="W568" i="2"/>
  <c r="W578" i="2"/>
  <c r="W587" i="2"/>
  <c r="W596" i="2"/>
  <c r="W606" i="2"/>
  <c r="W615" i="2"/>
  <c r="W624" i="2"/>
  <c r="W633" i="2"/>
  <c r="W642" i="2"/>
  <c r="W651" i="2"/>
  <c r="W660" i="2"/>
  <c r="W670" i="2"/>
  <c r="W679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6" i="2"/>
  <c r="W430" i="2"/>
  <c r="W441" i="2"/>
  <c r="W455" i="2"/>
  <c r="W467" i="2"/>
  <c r="W480" i="2"/>
  <c r="W494" i="2"/>
  <c r="W505" i="2"/>
  <c r="W516" i="2"/>
  <c r="W527" i="2"/>
  <c r="W537" i="2"/>
  <c r="W548" i="2"/>
  <c r="W559" i="2"/>
  <c r="W569" i="2"/>
  <c r="W579" i="2"/>
  <c r="W588" i="2"/>
  <c r="W598" i="2"/>
  <c r="W607" i="2"/>
  <c r="W616" i="2"/>
  <c r="W625" i="2"/>
  <c r="W634" i="2"/>
  <c r="W643" i="2"/>
  <c r="W652" i="2"/>
  <c r="W662" i="2"/>
  <c r="W671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7" i="2"/>
  <c r="W39" i="2"/>
  <c r="W71" i="2"/>
  <c r="W103" i="2"/>
  <c r="W135" i="2"/>
  <c r="W167" i="2"/>
  <c r="W199" i="2"/>
  <c r="W231" i="2"/>
  <c r="W263" i="2"/>
  <c r="W295" i="2"/>
  <c r="W327" i="2"/>
  <c r="W359" i="2"/>
  <c r="W391" i="2"/>
  <c r="W419" i="2"/>
  <c r="W446" i="2"/>
  <c r="W471" i="2"/>
  <c r="W496" i="2"/>
  <c r="W519" i="2"/>
  <c r="W540" i="2"/>
  <c r="W561" i="2"/>
  <c r="W582" i="2"/>
  <c r="W600" i="2"/>
  <c r="W618" i="2"/>
  <c r="W636" i="2"/>
  <c r="W655" i="2"/>
  <c r="W673" i="2"/>
  <c r="W690" i="2"/>
  <c r="W706" i="2"/>
  <c r="W722" i="2"/>
  <c r="W738" i="2"/>
  <c r="W754" i="2"/>
  <c r="W770" i="2"/>
  <c r="W786" i="2"/>
  <c r="W802" i="2"/>
  <c r="W818" i="2"/>
  <c r="W834" i="2"/>
  <c r="W850" i="2"/>
  <c r="W866" i="2"/>
  <c r="W877" i="2"/>
  <c r="W891" i="2"/>
  <c r="W903" i="2"/>
  <c r="W916" i="2"/>
  <c r="W927" i="2"/>
  <c r="W938" i="2"/>
  <c r="W948" i="2"/>
  <c r="W958" i="2"/>
  <c r="W967" i="2"/>
  <c r="W976" i="2"/>
  <c r="W986" i="2"/>
  <c r="W995" i="2"/>
  <c r="W1004" i="2"/>
  <c r="W1013" i="2"/>
  <c r="W1022" i="2"/>
  <c r="W1031" i="2"/>
  <c r="W1040" i="2"/>
  <c r="W1050" i="2"/>
  <c r="W1059" i="2"/>
  <c r="W1068" i="2"/>
  <c r="W1077" i="2"/>
  <c r="W1086" i="2"/>
  <c r="W1095" i="2"/>
  <c r="W1104" i="2"/>
  <c r="W1114" i="2"/>
  <c r="W1123" i="2"/>
  <c r="W1132" i="2"/>
  <c r="W1141" i="2"/>
  <c r="W1150" i="2"/>
  <c r="W1159" i="2"/>
  <c r="W1168" i="2"/>
  <c r="W1178" i="2"/>
  <c r="W1187" i="2"/>
  <c r="W1196" i="2"/>
  <c r="W1204" i="2"/>
  <c r="W1212" i="2"/>
  <c r="W1220" i="2"/>
  <c r="W1228" i="2"/>
  <c r="W1236" i="2"/>
  <c r="W1244" i="2"/>
  <c r="W1252" i="2"/>
  <c r="W497" i="2"/>
  <c r="W1237" i="2"/>
  <c r="W1080" i="2"/>
  <c r="W8" i="2"/>
  <c r="W40" i="2"/>
  <c r="W72" i="2"/>
  <c r="W104" i="2"/>
  <c r="W136" i="2"/>
  <c r="W168" i="2"/>
  <c r="W200" i="2"/>
  <c r="W232" i="2"/>
  <c r="W264" i="2"/>
  <c r="W296" i="2"/>
  <c r="W328" i="2"/>
  <c r="W360" i="2"/>
  <c r="W392" i="2"/>
  <c r="W422" i="2"/>
  <c r="W447" i="2"/>
  <c r="W472" i="2"/>
  <c r="W542" i="2"/>
  <c r="W563" i="2"/>
  <c r="W583" i="2"/>
  <c r="W601" i="2"/>
  <c r="W619" i="2"/>
  <c r="W638" i="2"/>
  <c r="W691" i="2"/>
  <c r="W707" i="2"/>
  <c r="W723" i="2"/>
  <c r="W739" i="2"/>
  <c r="W755" i="2"/>
  <c r="W771" i="2"/>
  <c r="W787" i="2"/>
  <c r="W803" i="2"/>
  <c r="W819" i="2"/>
  <c r="W835" i="2"/>
  <c r="W851" i="2"/>
  <c r="W867" i="2"/>
  <c r="W879" i="2"/>
  <c r="W892" i="2"/>
  <c r="W906" i="2"/>
  <c r="W917" i="2"/>
  <c r="W928" i="2"/>
  <c r="W939" i="2"/>
  <c r="W949" i="2"/>
  <c r="W959" i="2"/>
  <c r="W968" i="2"/>
  <c r="W978" i="2"/>
  <c r="W987" i="2"/>
  <c r="W996" i="2"/>
  <c r="W1005" i="2"/>
  <c r="W1014" i="2"/>
  <c r="W1023" i="2"/>
  <c r="W1032" i="2"/>
  <c r="W1042" i="2"/>
  <c r="W1051" i="2"/>
  <c r="W1060" i="2"/>
  <c r="W1069" i="2"/>
  <c r="W1078" i="2"/>
  <c r="W1087" i="2"/>
  <c r="W1096" i="2"/>
  <c r="W1106" i="2"/>
  <c r="W1115" i="2"/>
  <c r="W1124" i="2"/>
  <c r="W1133" i="2"/>
  <c r="W1142" i="2"/>
  <c r="W1151" i="2"/>
  <c r="W1160" i="2"/>
  <c r="W1170" i="2"/>
  <c r="W1179" i="2"/>
  <c r="W1188" i="2"/>
  <c r="W1197" i="2"/>
  <c r="W1205" i="2"/>
  <c r="W1213" i="2"/>
  <c r="W1221" i="2"/>
  <c r="W1229" i="2"/>
  <c r="W1253" i="2"/>
  <c r="W1053" i="2"/>
  <c r="W9" i="2"/>
  <c r="W41" i="2"/>
  <c r="W73" i="2"/>
  <c r="W105" i="2"/>
  <c r="W137" i="2"/>
  <c r="W169" i="2"/>
  <c r="W201" i="2"/>
  <c r="W233" i="2"/>
  <c r="W265" i="2"/>
  <c r="W297" i="2"/>
  <c r="W329" i="2"/>
  <c r="W361" i="2"/>
  <c r="W393" i="2"/>
  <c r="W423" i="2"/>
  <c r="W448" i="2"/>
  <c r="W473" i="2"/>
  <c r="W499" i="2"/>
  <c r="W521" i="2"/>
  <c r="W543" i="2"/>
  <c r="W564" i="2"/>
  <c r="W584" i="2"/>
  <c r="W602" i="2"/>
  <c r="W620" i="2"/>
  <c r="W639" i="2"/>
  <c r="W657" i="2"/>
  <c r="W675" i="2"/>
  <c r="W692" i="2"/>
  <c r="W708" i="2"/>
  <c r="W724" i="2"/>
  <c r="W740" i="2"/>
  <c r="W756" i="2"/>
  <c r="W772" i="2"/>
  <c r="W788" i="2"/>
  <c r="W804" i="2"/>
  <c r="W820" i="2"/>
  <c r="W836" i="2"/>
  <c r="W852" i="2"/>
  <c r="W868" i="2"/>
  <c r="W882" i="2"/>
  <c r="W893" i="2"/>
  <c r="W907" i="2"/>
  <c r="W919" i="2"/>
  <c r="W930" i="2"/>
  <c r="W940" i="2"/>
  <c r="W951" i="2"/>
  <c r="W960" i="2"/>
  <c r="W970" i="2"/>
  <c r="W979" i="2"/>
  <c r="W988" i="2"/>
  <c r="W997" i="2"/>
  <c r="W1006" i="2"/>
  <c r="W1015" i="2"/>
  <c r="W1024" i="2"/>
  <c r="W1034" i="2"/>
  <c r="W1043" i="2"/>
  <c r="W1052" i="2"/>
  <c r="W1061" i="2"/>
  <c r="W1070" i="2"/>
  <c r="W1079" i="2"/>
  <c r="W1088" i="2"/>
  <c r="W1098" i="2"/>
  <c r="W1107" i="2"/>
  <c r="W1116" i="2"/>
  <c r="W1125" i="2"/>
  <c r="W1134" i="2"/>
  <c r="W1143" i="2"/>
  <c r="W1152" i="2"/>
  <c r="W1162" i="2"/>
  <c r="W1171" i="2"/>
  <c r="W1180" i="2"/>
  <c r="W1189" i="2"/>
  <c r="W1198" i="2"/>
  <c r="W1206" i="2"/>
  <c r="W1214" i="2"/>
  <c r="W1222" i="2"/>
  <c r="W1230" i="2"/>
  <c r="W1238" i="2"/>
  <c r="W1246" i="2"/>
  <c r="W1254" i="2"/>
  <c r="W1071" i="2"/>
  <c r="W14" i="2"/>
  <c r="W46" i="2"/>
  <c r="W78" i="2"/>
  <c r="W110" i="2"/>
  <c r="W142" i="2"/>
  <c r="W174" i="2"/>
  <c r="W206" i="2"/>
  <c r="W238" i="2"/>
  <c r="W270" i="2"/>
  <c r="W302" i="2"/>
  <c r="W334" i="2"/>
  <c r="W366" i="2"/>
  <c r="W398" i="2"/>
  <c r="W424" i="2"/>
  <c r="W449" i="2"/>
  <c r="W475" i="2"/>
  <c r="W502" i="2"/>
  <c r="W523" i="2"/>
  <c r="W544" i="2"/>
  <c r="W566" i="2"/>
  <c r="W585" i="2"/>
  <c r="W603" i="2"/>
  <c r="W622" i="2"/>
  <c r="W640" i="2"/>
  <c r="W658" i="2"/>
  <c r="W676" i="2"/>
  <c r="W693" i="2"/>
  <c r="W709" i="2"/>
  <c r="W725" i="2"/>
  <c r="W741" i="2"/>
  <c r="W757" i="2"/>
  <c r="W773" i="2"/>
  <c r="W789" i="2"/>
  <c r="W805" i="2"/>
  <c r="W821" i="2"/>
  <c r="W837" i="2"/>
  <c r="W853" i="2"/>
  <c r="W869" i="2"/>
  <c r="W883" i="2"/>
  <c r="W895" i="2"/>
  <c r="W908" i="2"/>
  <c r="W920" i="2"/>
  <c r="W931" i="2"/>
  <c r="W941" i="2"/>
  <c r="W952" i="2"/>
  <c r="W962" i="2"/>
  <c r="W971" i="2"/>
  <c r="W980" i="2"/>
  <c r="W989" i="2"/>
  <c r="W998" i="2"/>
  <c r="W1007" i="2"/>
  <c r="W1016" i="2"/>
  <c r="W1026" i="2"/>
  <c r="W1090" i="2"/>
  <c r="W1099" i="2"/>
  <c r="W1108" i="2"/>
  <c r="W1117" i="2"/>
  <c r="W1126" i="2"/>
  <c r="W1135" i="2"/>
  <c r="W1144" i="2"/>
  <c r="W1154" i="2"/>
  <c r="W1163" i="2"/>
  <c r="W1172" i="2"/>
  <c r="W1181" i="2"/>
  <c r="W1190" i="2"/>
  <c r="W1199" i="2"/>
  <c r="W1207" i="2"/>
  <c r="W1215" i="2"/>
  <c r="W1223" i="2"/>
  <c r="W1231" i="2"/>
  <c r="W1239" i="2"/>
  <c r="W1247" i="2"/>
  <c r="W1255" i="2"/>
  <c r="W23" i="2"/>
  <c r="W55" i="2"/>
  <c r="W87" i="2"/>
  <c r="W119" i="2"/>
  <c r="W151" i="2"/>
  <c r="W183" i="2"/>
  <c r="W215" i="2"/>
  <c r="W247" i="2"/>
  <c r="W279" i="2"/>
  <c r="W311" i="2"/>
  <c r="W343" i="2"/>
  <c r="W375" i="2"/>
  <c r="W407" i="2"/>
  <c r="W432" i="2"/>
  <c r="W457" i="2"/>
  <c r="W483" i="2"/>
  <c r="W508" i="2"/>
  <c r="W529" i="2"/>
  <c r="W551" i="2"/>
  <c r="W572" i="2"/>
  <c r="W591" i="2"/>
  <c r="W609" i="2"/>
  <c r="W627" i="2"/>
  <c r="W646" i="2"/>
  <c r="W664" i="2"/>
  <c r="W682" i="2"/>
  <c r="W698" i="2"/>
  <c r="W714" i="2"/>
  <c r="W730" i="2"/>
  <c r="W746" i="2"/>
  <c r="W762" i="2"/>
  <c r="W778" i="2"/>
  <c r="W794" i="2"/>
  <c r="W810" i="2"/>
  <c r="W826" i="2"/>
  <c r="W842" i="2"/>
  <c r="W858" i="2"/>
  <c r="W871" i="2"/>
  <c r="W884" i="2"/>
  <c r="W898" i="2"/>
  <c r="W909" i="2"/>
  <c r="W922" i="2"/>
  <c r="W932" i="2"/>
  <c r="W943" i="2"/>
  <c r="W954" i="2"/>
  <c r="W963" i="2"/>
  <c r="W972" i="2"/>
  <c r="W981" i="2"/>
  <c r="W990" i="2"/>
  <c r="W999" i="2"/>
  <c r="W1008" i="2"/>
  <c r="W1018" i="2"/>
  <c r="W1027" i="2"/>
  <c r="W1036" i="2"/>
  <c r="W1045" i="2"/>
  <c r="W1054" i="2"/>
  <c r="W1063" i="2"/>
  <c r="W1072" i="2"/>
  <c r="W1082" i="2"/>
  <c r="W1091" i="2"/>
  <c r="W1100" i="2"/>
  <c r="W1109" i="2"/>
  <c r="W1118" i="2"/>
  <c r="W1127" i="2"/>
  <c r="W1136" i="2"/>
  <c r="W1146" i="2"/>
  <c r="W1155" i="2"/>
  <c r="W1164" i="2"/>
  <c r="W1173" i="2"/>
  <c r="W1182" i="2"/>
  <c r="W1191" i="2"/>
  <c r="W1200" i="2"/>
  <c r="W1208" i="2"/>
  <c r="W1216" i="2"/>
  <c r="W1224" i="2"/>
  <c r="W1232" i="2"/>
  <c r="W1240" i="2"/>
  <c r="W1248" i="2"/>
  <c r="W1256" i="2"/>
  <c r="W24" i="2"/>
  <c r="W56" i="2"/>
  <c r="W88" i="2"/>
  <c r="W120" i="2"/>
  <c r="W152" i="2"/>
  <c r="W184" i="2"/>
  <c r="W216" i="2"/>
  <c r="W248" i="2"/>
  <c r="W280" i="2"/>
  <c r="W312" i="2"/>
  <c r="W344" i="2"/>
  <c r="W376" i="2"/>
  <c r="W408" i="2"/>
  <c r="W433" i="2"/>
  <c r="W459" i="2"/>
  <c r="W486" i="2"/>
  <c r="W510" i="2"/>
  <c r="W531" i="2"/>
  <c r="W552" i="2"/>
  <c r="W574" i="2"/>
  <c r="W592" i="2"/>
  <c r="W610" i="2"/>
  <c r="W628" i="2"/>
  <c r="W647" i="2"/>
  <c r="W665" i="2"/>
  <c r="W683" i="2"/>
  <c r="W699" i="2"/>
  <c r="W715" i="2"/>
  <c r="W731" i="2"/>
  <c r="W747" i="2"/>
  <c r="W763" i="2"/>
  <c r="W779" i="2"/>
  <c r="W795" i="2"/>
  <c r="W811" i="2"/>
  <c r="W827" i="2"/>
  <c r="W843" i="2"/>
  <c r="W859" i="2"/>
  <c r="W874" i="2"/>
  <c r="W885" i="2"/>
  <c r="W899" i="2"/>
  <c r="W911" i="2"/>
  <c r="W923" i="2"/>
  <c r="W933" i="2"/>
  <c r="W944" i="2"/>
  <c r="W955" i="2"/>
  <c r="W964" i="2"/>
  <c r="W973" i="2"/>
  <c r="W982" i="2"/>
  <c r="W991" i="2"/>
  <c r="W1000" i="2"/>
  <c r="W1010" i="2"/>
  <c r="W1019" i="2"/>
  <c r="W1028" i="2"/>
  <c r="W1037" i="2"/>
  <c r="W1046" i="2"/>
  <c r="W1055" i="2"/>
  <c r="W1064" i="2"/>
  <c r="W1074" i="2"/>
  <c r="W1083" i="2"/>
  <c r="W1092" i="2"/>
  <c r="W1101" i="2"/>
  <c r="W1110" i="2"/>
  <c r="W1119" i="2"/>
  <c r="W1128" i="2"/>
  <c r="W1138" i="2"/>
  <c r="W1147" i="2"/>
  <c r="W1156" i="2"/>
  <c r="W1165" i="2"/>
  <c r="W1174" i="2"/>
  <c r="W1183" i="2"/>
  <c r="W1192" i="2"/>
  <c r="W1201" i="2"/>
  <c r="W1209" i="2"/>
  <c r="W1217" i="2"/>
  <c r="W1225" i="2"/>
  <c r="W1233" i="2"/>
  <c r="W1241" i="2"/>
  <c r="W1249" i="2"/>
  <c r="W1257" i="2"/>
  <c r="W674" i="2"/>
  <c r="W1062" i="2"/>
  <c r="W25" i="2"/>
  <c r="W57" i="2"/>
  <c r="W89" i="2"/>
  <c r="W121" i="2"/>
  <c r="W153" i="2"/>
  <c r="W185" i="2"/>
  <c r="W217" i="2"/>
  <c r="W249" i="2"/>
  <c r="W281" i="2"/>
  <c r="W313" i="2"/>
  <c r="W345" i="2"/>
  <c r="W377" i="2"/>
  <c r="W409" i="2"/>
  <c r="W435" i="2"/>
  <c r="W462" i="2"/>
  <c r="W487" i="2"/>
  <c r="W511" i="2"/>
  <c r="W532" i="2"/>
  <c r="W553" i="2"/>
  <c r="W575" i="2"/>
  <c r="W593" i="2"/>
  <c r="W611" i="2"/>
  <c r="W630" i="2"/>
  <c r="W648" i="2"/>
  <c r="W666" i="2"/>
  <c r="W684" i="2"/>
  <c r="W700" i="2"/>
  <c r="W716" i="2"/>
  <c r="W732" i="2"/>
  <c r="W748" i="2"/>
  <c r="W764" i="2"/>
  <c r="W780" i="2"/>
  <c r="W796" i="2"/>
  <c r="W812" i="2"/>
  <c r="W828" i="2"/>
  <c r="W844" i="2"/>
  <c r="W860" i="2"/>
  <c r="W875" i="2"/>
  <c r="W887" i="2"/>
  <c r="W900" i="2"/>
  <c r="W914" i="2"/>
  <c r="W924" i="2"/>
  <c r="W935" i="2"/>
  <c r="W946" i="2"/>
  <c r="W956" i="2"/>
  <c r="W965" i="2"/>
  <c r="W974" i="2"/>
  <c r="W983" i="2"/>
  <c r="W992" i="2"/>
  <c r="W1002" i="2"/>
  <c r="W1011" i="2"/>
  <c r="W1020" i="2"/>
  <c r="W1029" i="2"/>
  <c r="W1038" i="2"/>
  <c r="W1047" i="2"/>
  <c r="W1056" i="2"/>
  <c r="W1066" i="2"/>
  <c r="W1075" i="2"/>
  <c r="W1084" i="2"/>
  <c r="W1093" i="2"/>
  <c r="W1102" i="2"/>
  <c r="W1111" i="2"/>
  <c r="W1120" i="2"/>
  <c r="W1130" i="2"/>
  <c r="W1139" i="2"/>
  <c r="W1148" i="2"/>
  <c r="W1157" i="2"/>
  <c r="W1166" i="2"/>
  <c r="W1175" i="2"/>
  <c r="W1184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656" i="2"/>
  <c r="W1035" i="2"/>
  <c r="W30" i="2"/>
  <c r="W62" i="2"/>
  <c r="W94" i="2"/>
  <c r="W126" i="2"/>
  <c r="W158" i="2"/>
  <c r="W190" i="2"/>
  <c r="W222" i="2"/>
  <c r="W254" i="2"/>
  <c r="W286" i="2"/>
  <c r="W318" i="2"/>
  <c r="W350" i="2"/>
  <c r="W382" i="2"/>
  <c r="W411" i="2"/>
  <c r="W438" i="2"/>
  <c r="W463" i="2"/>
  <c r="W488" i="2"/>
  <c r="W512" i="2"/>
  <c r="W534" i="2"/>
  <c r="W555" i="2"/>
  <c r="W576" i="2"/>
  <c r="W594" i="2"/>
  <c r="W612" i="2"/>
  <c r="W631" i="2"/>
  <c r="W649" i="2"/>
  <c r="W667" i="2"/>
  <c r="W685" i="2"/>
  <c r="W701" i="2"/>
  <c r="W717" i="2"/>
  <c r="W733" i="2"/>
  <c r="W749" i="2"/>
  <c r="W765" i="2"/>
  <c r="W781" i="2"/>
  <c r="W797" i="2"/>
  <c r="W813" i="2"/>
  <c r="W829" i="2"/>
  <c r="W845" i="2"/>
  <c r="W861" i="2"/>
  <c r="W876" i="2"/>
  <c r="W890" i="2"/>
  <c r="W901" i="2"/>
  <c r="W915" i="2"/>
  <c r="W925" i="2"/>
  <c r="W936" i="2"/>
  <c r="W947" i="2"/>
  <c r="W957" i="2"/>
  <c r="W966" i="2"/>
  <c r="W975" i="2"/>
  <c r="W984" i="2"/>
  <c r="W994" i="2"/>
  <c r="W1003" i="2"/>
  <c r="W1012" i="2"/>
  <c r="W1021" i="2"/>
  <c r="W1030" i="2"/>
  <c r="W1039" i="2"/>
  <c r="W1048" i="2"/>
  <c r="W1058" i="2"/>
  <c r="W1067" i="2"/>
  <c r="W1076" i="2"/>
  <c r="W1085" i="2"/>
  <c r="W1094" i="2"/>
  <c r="W1103" i="2"/>
  <c r="W1112" i="2"/>
  <c r="W1122" i="2"/>
  <c r="W1131" i="2"/>
  <c r="W1140" i="2"/>
  <c r="W1149" i="2"/>
  <c r="W1158" i="2"/>
  <c r="W1167" i="2"/>
  <c r="W1176" i="2"/>
  <c r="W1186" i="2"/>
  <c r="W1195" i="2"/>
  <c r="W1203" i="2"/>
  <c r="W1211" i="2"/>
  <c r="W1219" i="2"/>
  <c r="W1227" i="2"/>
  <c r="W1235" i="2"/>
  <c r="W1243" i="2"/>
  <c r="W1251" i="2"/>
  <c r="W520" i="2"/>
  <c r="W1245" i="2"/>
  <c r="W104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515" i="2"/>
  <c r="V579" i="2"/>
  <c r="V64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523" i="2"/>
  <c r="V587" i="2"/>
  <c r="V651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531" i="2"/>
  <c r="V595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539" i="2"/>
  <c r="V603" i="2"/>
  <c r="V66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547" i="2"/>
  <c r="V611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5" i="2"/>
  <c r="V619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3" i="2"/>
  <c r="V627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571" i="2"/>
  <c r="V635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8" i="2"/>
  <c r="U40" i="2"/>
  <c r="U72" i="2"/>
  <c r="U104" i="2"/>
  <c r="U136" i="2"/>
  <c r="U168" i="2"/>
  <c r="U200" i="2"/>
  <c r="U232" i="2"/>
  <c r="U264" i="2"/>
  <c r="U296" i="2"/>
  <c r="U328" i="2"/>
  <c r="U360" i="2"/>
  <c r="U392" i="2"/>
  <c r="U424" i="2"/>
  <c r="U456" i="2"/>
  <c r="U483" i="2"/>
  <c r="U498" i="2"/>
  <c r="U512" i="2"/>
  <c r="U523" i="2"/>
  <c r="U537" i="2"/>
  <c r="U548" i="2"/>
  <c r="U562" i="2"/>
  <c r="U576" i="2"/>
  <c r="U587" i="2"/>
  <c r="U601" i="2"/>
  <c r="U612" i="2"/>
  <c r="U626" i="2"/>
  <c r="U640" i="2"/>
  <c r="U651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9" i="2"/>
  <c r="U41" i="2"/>
  <c r="U73" i="2"/>
  <c r="U105" i="2"/>
  <c r="U137" i="2"/>
  <c r="U169" i="2"/>
  <c r="U201" i="2"/>
  <c r="U233" i="2"/>
  <c r="U265" i="2"/>
  <c r="U297" i="2"/>
  <c r="U329" i="2"/>
  <c r="U361" i="2"/>
  <c r="U393" i="2"/>
  <c r="U425" i="2"/>
  <c r="U457" i="2"/>
  <c r="U488" i="2"/>
  <c r="U499" i="2"/>
  <c r="U513" i="2"/>
  <c r="U524" i="2"/>
  <c r="U538" i="2"/>
  <c r="U552" i="2"/>
  <c r="U563" i="2"/>
  <c r="U577" i="2"/>
  <c r="U588" i="2"/>
  <c r="U602" i="2"/>
  <c r="U616" i="2"/>
  <c r="U627" i="2"/>
  <c r="U641" i="2"/>
  <c r="U652" i="2"/>
  <c r="U666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6" i="2"/>
  <c r="U48" i="2"/>
  <c r="U80" i="2"/>
  <c r="U112" i="2"/>
  <c r="U144" i="2"/>
  <c r="U176" i="2"/>
  <c r="U208" i="2"/>
  <c r="U240" i="2"/>
  <c r="U272" i="2"/>
  <c r="U304" i="2"/>
  <c r="U336" i="2"/>
  <c r="U368" i="2"/>
  <c r="U400" i="2"/>
  <c r="U432" i="2"/>
  <c r="U464" i="2"/>
  <c r="U489" i="2"/>
  <c r="U500" i="2"/>
  <c r="U514" i="2"/>
  <c r="U528" i="2"/>
  <c r="U539" i="2"/>
  <c r="U553" i="2"/>
  <c r="U564" i="2"/>
  <c r="U578" i="2"/>
  <c r="U592" i="2"/>
  <c r="U603" i="2"/>
  <c r="U617" i="2"/>
  <c r="U628" i="2"/>
  <c r="U642" i="2"/>
  <c r="U656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25" i="2"/>
  <c r="U57" i="2"/>
  <c r="U89" i="2"/>
  <c r="U121" i="2"/>
  <c r="U153" i="2"/>
  <c r="U185" i="2"/>
  <c r="U217" i="2"/>
  <c r="U249" i="2"/>
  <c r="U281" i="2"/>
  <c r="U313" i="2"/>
  <c r="U345" i="2"/>
  <c r="U377" i="2"/>
  <c r="U409" i="2"/>
  <c r="U441" i="2"/>
  <c r="U473" i="2"/>
  <c r="U492" i="2"/>
  <c r="U506" i="2"/>
  <c r="U520" i="2"/>
  <c r="U531" i="2"/>
  <c r="U545" i="2"/>
  <c r="U556" i="2"/>
  <c r="U570" i="2"/>
  <c r="U584" i="2"/>
  <c r="U595" i="2"/>
  <c r="U609" i="2"/>
  <c r="U620" i="2"/>
  <c r="U634" i="2"/>
  <c r="U648" i="2"/>
  <c r="U659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32" i="2"/>
  <c r="U64" i="2"/>
  <c r="U96" i="2"/>
  <c r="U128" i="2"/>
  <c r="U160" i="2"/>
  <c r="U192" i="2"/>
  <c r="U224" i="2"/>
  <c r="U256" i="2"/>
  <c r="U288" i="2"/>
  <c r="U320" i="2"/>
  <c r="U352" i="2"/>
  <c r="U384" i="2"/>
  <c r="U416" i="2"/>
  <c r="U448" i="2"/>
  <c r="U480" i="2"/>
  <c r="U496" i="2"/>
  <c r="U507" i="2"/>
  <c r="U521" i="2"/>
  <c r="U532" i="2"/>
  <c r="U546" i="2"/>
  <c r="U560" i="2"/>
  <c r="U571" i="2"/>
  <c r="U585" i="2"/>
  <c r="U596" i="2"/>
  <c r="U610" i="2"/>
  <c r="U624" i="2"/>
  <c r="U635" i="2"/>
  <c r="U649" i="2"/>
  <c r="U660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33" i="2"/>
  <c r="U65" i="2"/>
  <c r="U97" i="2"/>
  <c r="U129" i="2"/>
  <c r="U161" i="2"/>
  <c r="U193" i="2"/>
  <c r="U225" i="2"/>
  <c r="U257" i="2"/>
  <c r="U289" i="2"/>
  <c r="U321" i="2"/>
  <c r="U353" i="2"/>
  <c r="U385" i="2"/>
  <c r="U417" i="2"/>
  <c r="U449" i="2"/>
  <c r="U481" i="2"/>
  <c r="U497" i="2"/>
  <c r="U508" i="2"/>
  <c r="U522" i="2"/>
  <c r="U536" i="2"/>
  <c r="U547" i="2"/>
  <c r="U561" i="2"/>
  <c r="U572" i="2"/>
  <c r="U586" i="2"/>
  <c r="U600" i="2"/>
  <c r="U611" i="2"/>
  <c r="U625" i="2"/>
  <c r="U636" i="2"/>
  <c r="U650" i="2"/>
  <c r="U664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7" i="2"/>
  <c r="U145" i="2"/>
  <c r="U273" i="2"/>
  <c r="U401" i="2"/>
  <c r="U504" i="2"/>
  <c r="U554" i="2"/>
  <c r="U604" i="2"/>
  <c r="U657" i="2"/>
  <c r="U698" i="2"/>
  <c r="U730" i="2"/>
  <c r="U762" i="2"/>
  <c r="U794" i="2"/>
  <c r="U826" i="2"/>
  <c r="U858" i="2"/>
  <c r="U890" i="2"/>
  <c r="U922" i="2"/>
  <c r="U954" i="2"/>
  <c r="U986" i="2"/>
  <c r="U1018" i="2"/>
  <c r="U1050" i="2"/>
  <c r="U1082" i="2"/>
  <c r="U1100" i="2"/>
  <c r="U1116" i="2"/>
  <c r="U1131" i="2"/>
  <c r="U1142" i="2"/>
  <c r="U1156" i="2"/>
  <c r="U1170" i="2"/>
  <c r="U1181" i="2"/>
  <c r="U1195" i="2"/>
  <c r="U1206" i="2"/>
  <c r="U1220" i="2"/>
  <c r="U1234" i="2"/>
  <c r="U1243" i="2"/>
  <c r="U1252" i="2"/>
  <c r="U802" i="2"/>
  <c r="U24" i="2"/>
  <c r="U152" i="2"/>
  <c r="U280" i="2"/>
  <c r="U408" i="2"/>
  <c r="U505" i="2"/>
  <c r="U555" i="2"/>
  <c r="U608" i="2"/>
  <c r="U658" i="2"/>
  <c r="U699" i="2"/>
  <c r="U731" i="2"/>
  <c r="U763" i="2"/>
  <c r="U795" i="2"/>
  <c r="U827" i="2"/>
  <c r="U859" i="2"/>
  <c r="U891" i="2"/>
  <c r="U923" i="2"/>
  <c r="U955" i="2"/>
  <c r="U987" i="2"/>
  <c r="U1019" i="2"/>
  <c r="U1051" i="2"/>
  <c r="U1083" i="2"/>
  <c r="U1102" i="2"/>
  <c r="U1118" i="2"/>
  <c r="U1132" i="2"/>
  <c r="U1146" i="2"/>
  <c r="U1157" i="2"/>
  <c r="U1171" i="2"/>
  <c r="U1182" i="2"/>
  <c r="U1196" i="2"/>
  <c r="U1210" i="2"/>
  <c r="U1221" i="2"/>
  <c r="U1235" i="2"/>
  <c r="U1244" i="2"/>
  <c r="U1253" i="2"/>
  <c r="U770" i="2"/>
  <c r="U49" i="2"/>
  <c r="U177" i="2"/>
  <c r="U305" i="2"/>
  <c r="U433" i="2"/>
  <c r="U515" i="2"/>
  <c r="U568" i="2"/>
  <c r="U618" i="2"/>
  <c r="U668" i="2"/>
  <c r="U706" i="2"/>
  <c r="U738" i="2"/>
  <c r="U834" i="2"/>
  <c r="U866" i="2"/>
  <c r="U898" i="2"/>
  <c r="U930" i="2"/>
  <c r="U962" i="2"/>
  <c r="U994" i="2"/>
  <c r="U1026" i="2"/>
  <c r="U1058" i="2"/>
  <c r="U1086" i="2"/>
  <c r="U1106" i="2"/>
  <c r="U1122" i="2"/>
  <c r="U1133" i="2"/>
  <c r="U1147" i="2"/>
  <c r="U1158" i="2"/>
  <c r="U1172" i="2"/>
  <c r="U1186" i="2"/>
  <c r="U1197" i="2"/>
  <c r="U1211" i="2"/>
  <c r="U1222" i="2"/>
  <c r="U1236" i="2"/>
  <c r="U1245" i="2"/>
  <c r="U1254" i="2"/>
  <c r="U1059" i="2"/>
  <c r="U56" i="2"/>
  <c r="U184" i="2"/>
  <c r="U312" i="2"/>
  <c r="U440" i="2"/>
  <c r="U516" i="2"/>
  <c r="U569" i="2"/>
  <c r="U619" i="2"/>
  <c r="U672" i="2"/>
  <c r="U707" i="2"/>
  <c r="U739" i="2"/>
  <c r="U771" i="2"/>
  <c r="U803" i="2"/>
  <c r="U835" i="2"/>
  <c r="U867" i="2"/>
  <c r="U899" i="2"/>
  <c r="U931" i="2"/>
  <c r="U963" i="2"/>
  <c r="U995" i="2"/>
  <c r="U1027" i="2"/>
  <c r="U1107" i="2"/>
  <c r="U1123" i="2"/>
  <c r="U1134" i="2"/>
  <c r="U1148" i="2"/>
  <c r="U1162" i="2"/>
  <c r="U1173" i="2"/>
  <c r="U1187" i="2"/>
  <c r="U1198" i="2"/>
  <c r="U1212" i="2"/>
  <c r="U1226" i="2"/>
  <c r="U1237" i="2"/>
  <c r="U1246" i="2"/>
  <c r="U81" i="2"/>
  <c r="U209" i="2"/>
  <c r="U337" i="2"/>
  <c r="U465" i="2"/>
  <c r="U529" i="2"/>
  <c r="U579" i="2"/>
  <c r="U632" i="2"/>
  <c r="U682" i="2"/>
  <c r="U714" i="2"/>
  <c r="U746" i="2"/>
  <c r="U778" i="2"/>
  <c r="U810" i="2"/>
  <c r="U842" i="2"/>
  <c r="U874" i="2"/>
  <c r="U906" i="2"/>
  <c r="U938" i="2"/>
  <c r="U970" i="2"/>
  <c r="U1002" i="2"/>
  <c r="U1034" i="2"/>
  <c r="U1066" i="2"/>
  <c r="U1091" i="2"/>
  <c r="U1108" i="2"/>
  <c r="U1124" i="2"/>
  <c r="U1138" i="2"/>
  <c r="U1149" i="2"/>
  <c r="U1163" i="2"/>
  <c r="U1174" i="2"/>
  <c r="U1188" i="2"/>
  <c r="U1202" i="2"/>
  <c r="U1213" i="2"/>
  <c r="U1227" i="2"/>
  <c r="U1238" i="2"/>
  <c r="U1247" i="2"/>
  <c r="U1256" i="2"/>
  <c r="U88" i="2"/>
  <c r="U216" i="2"/>
  <c r="U344" i="2"/>
  <c r="U472" i="2"/>
  <c r="U530" i="2"/>
  <c r="U580" i="2"/>
  <c r="U633" i="2"/>
  <c r="U683" i="2"/>
  <c r="U715" i="2"/>
  <c r="U747" i="2"/>
  <c r="U779" i="2"/>
  <c r="U811" i="2"/>
  <c r="U843" i="2"/>
  <c r="U875" i="2"/>
  <c r="U907" i="2"/>
  <c r="U939" i="2"/>
  <c r="U971" i="2"/>
  <c r="U1003" i="2"/>
  <c r="U1035" i="2"/>
  <c r="U1067" i="2"/>
  <c r="U1094" i="2"/>
  <c r="U1110" i="2"/>
  <c r="U1125" i="2"/>
  <c r="U1139" i="2"/>
  <c r="U1150" i="2"/>
  <c r="U1164" i="2"/>
  <c r="U1178" i="2"/>
  <c r="U1189" i="2"/>
  <c r="U1203" i="2"/>
  <c r="U1214" i="2"/>
  <c r="U1228" i="2"/>
  <c r="U1239" i="2"/>
  <c r="U1248" i="2"/>
  <c r="U1258" i="2"/>
  <c r="V55" i="1" s="1"/>
  <c r="AC11" i="2" s="1"/>
  <c r="U787" i="2"/>
  <c r="U113" i="2"/>
  <c r="U241" i="2"/>
  <c r="U369" i="2"/>
  <c r="U490" i="2"/>
  <c r="U540" i="2"/>
  <c r="U593" i="2"/>
  <c r="U643" i="2"/>
  <c r="U690" i="2"/>
  <c r="U722" i="2"/>
  <c r="U754" i="2"/>
  <c r="U786" i="2"/>
  <c r="U818" i="2"/>
  <c r="U850" i="2"/>
  <c r="U882" i="2"/>
  <c r="U914" i="2"/>
  <c r="U946" i="2"/>
  <c r="U978" i="2"/>
  <c r="U1010" i="2"/>
  <c r="U1042" i="2"/>
  <c r="U1074" i="2"/>
  <c r="U1098" i="2"/>
  <c r="U1114" i="2"/>
  <c r="U1126" i="2"/>
  <c r="U1140" i="2"/>
  <c r="U1154" i="2"/>
  <c r="U1165" i="2"/>
  <c r="U1179" i="2"/>
  <c r="U1190" i="2"/>
  <c r="U1204" i="2"/>
  <c r="U1218" i="2"/>
  <c r="U1229" i="2"/>
  <c r="U1240" i="2"/>
  <c r="U1250" i="2"/>
  <c r="U120" i="2"/>
  <c r="U1255" i="2"/>
  <c r="U248" i="2"/>
  <c r="U376" i="2"/>
  <c r="U491" i="2"/>
  <c r="U544" i="2"/>
  <c r="U594" i="2"/>
  <c r="U644" i="2"/>
  <c r="U691" i="2"/>
  <c r="U723" i="2"/>
  <c r="U755" i="2"/>
  <c r="U819" i="2"/>
  <c r="U851" i="2"/>
  <c r="U883" i="2"/>
  <c r="U915" i="2"/>
  <c r="U947" i="2"/>
  <c r="U979" i="2"/>
  <c r="U1011" i="2"/>
  <c r="U1043" i="2"/>
  <c r="U1075" i="2"/>
  <c r="U1099" i="2"/>
  <c r="U1115" i="2"/>
  <c r="U1130" i="2"/>
  <c r="U1141" i="2"/>
  <c r="U1155" i="2"/>
  <c r="U1166" i="2"/>
  <c r="U1180" i="2"/>
  <c r="U1194" i="2"/>
  <c r="U1205" i="2"/>
  <c r="U1219" i="2"/>
  <c r="U1230" i="2"/>
  <c r="U1242" i="2"/>
  <c r="U1251" i="2"/>
  <c r="U1090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9" i="2"/>
  <c r="T28" i="2"/>
  <c r="T51" i="2"/>
  <c r="T73" i="2"/>
  <c r="T92" i="2"/>
  <c r="T115" i="2"/>
  <c r="T137" i="2"/>
  <c r="T156" i="2"/>
  <c r="T179" i="2"/>
  <c r="T201" i="2"/>
  <c r="T220" i="2"/>
  <c r="T243" i="2"/>
  <c r="T265" i="2"/>
  <c r="T284" i="2"/>
  <c r="T307" i="2"/>
  <c r="T329" i="2"/>
  <c r="T348" i="2"/>
  <c r="T371" i="2"/>
  <c r="T393" i="2"/>
  <c r="T412" i="2"/>
  <c r="T435" i="2"/>
  <c r="T457" i="2"/>
  <c r="T476" i="2"/>
  <c r="T499" i="2"/>
  <c r="T521" i="2"/>
  <c r="T540" i="2"/>
  <c r="T563" i="2"/>
  <c r="T585" i="2"/>
  <c r="T604" i="2"/>
  <c r="T627" i="2"/>
  <c r="T649" i="2"/>
  <c r="T66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11" i="2"/>
  <c r="T33" i="2"/>
  <c r="T52" i="2"/>
  <c r="T75" i="2"/>
  <c r="T97" i="2"/>
  <c r="T116" i="2"/>
  <c r="T139" i="2"/>
  <c r="T161" i="2"/>
  <c r="T180" i="2"/>
  <c r="T203" i="2"/>
  <c r="T225" i="2"/>
  <c r="T244" i="2"/>
  <c r="T267" i="2"/>
  <c r="T289" i="2"/>
  <c r="T308" i="2"/>
  <c r="T331" i="2"/>
  <c r="T353" i="2"/>
  <c r="T372" i="2"/>
  <c r="T395" i="2"/>
  <c r="T417" i="2"/>
  <c r="T436" i="2"/>
  <c r="T459" i="2"/>
  <c r="T481" i="2"/>
  <c r="T500" i="2"/>
  <c r="T523" i="2"/>
  <c r="T545" i="2"/>
  <c r="T564" i="2"/>
  <c r="T587" i="2"/>
  <c r="T609" i="2"/>
  <c r="T628" i="2"/>
  <c r="T651" i="2"/>
  <c r="T673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9" i="2"/>
  <c r="T41" i="2"/>
  <c r="T60" i="2"/>
  <c r="T83" i="2"/>
  <c r="T105" i="2"/>
  <c r="T124" i="2"/>
  <c r="T147" i="2"/>
  <c r="T169" i="2"/>
  <c r="T188" i="2"/>
  <c r="T211" i="2"/>
  <c r="T233" i="2"/>
  <c r="T252" i="2"/>
  <c r="T275" i="2"/>
  <c r="T297" i="2"/>
  <c r="T316" i="2"/>
  <c r="T339" i="2"/>
  <c r="T361" i="2"/>
  <c r="T380" i="2"/>
  <c r="T403" i="2"/>
  <c r="T425" i="2"/>
  <c r="T444" i="2"/>
  <c r="T467" i="2"/>
  <c r="T489" i="2"/>
  <c r="T508" i="2"/>
  <c r="T531" i="2"/>
  <c r="T553" i="2"/>
  <c r="T572" i="2"/>
  <c r="T595" i="2"/>
  <c r="T617" i="2"/>
  <c r="T636" i="2"/>
  <c r="T659" i="2"/>
  <c r="T681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20" i="2"/>
  <c r="T43" i="2"/>
  <c r="T65" i="2"/>
  <c r="T84" i="2"/>
  <c r="T107" i="2"/>
  <c r="T129" i="2"/>
  <c r="T148" i="2"/>
  <c r="T171" i="2"/>
  <c r="T193" i="2"/>
  <c r="T212" i="2"/>
  <c r="T235" i="2"/>
  <c r="T257" i="2"/>
  <c r="T276" i="2"/>
  <c r="T299" i="2"/>
  <c r="T321" i="2"/>
  <c r="T340" i="2"/>
  <c r="T363" i="2"/>
  <c r="T385" i="2"/>
  <c r="T404" i="2"/>
  <c r="T427" i="2"/>
  <c r="T449" i="2"/>
  <c r="T468" i="2"/>
  <c r="T491" i="2"/>
  <c r="T513" i="2"/>
  <c r="T532" i="2"/>
  <c r="T555" i="2"/>
  <c r="T577" i="2"/>
  <c r="T596" i="2"/>
  <c r="T619" i="2"/>
  <c r="T641" i="2"/>
  <c r="T660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27" i="2"/>
  <c r="T49" i="2"/>
  <c r="T68" i="2"/>
  <c r="T91" i="2"/>
  <c r="T113" i="2"/>
  <c r="T132" i="2"/>
  <c r="T12" i="2"/>
  <c r="T67" i="2"/>
  <c r="T123" i="2"/>
  <c r="T172" i="2"/>
  <c r="T217" i="2"/>
  <c r="T259" i="2"/>
  <c r="T300" i="2"/>
  <c r="T345" i="2"/>
  <c r="T387" i="2"/>
  <c r="T428" i="2"/>
  <c r="T473" i="2"/>
  <c r="T515" i="2"/>
  <c r="T556" i="2"/>
  <c r="T601" i="2"/>
  <c r="T643" i="2"/>
  <c r="T684" i="2"/>
  <c r="T700" i="2"/>
  <c r="T716" i="2"/>
  <c r="T732" i="2"/>
  <c r="T748" i="2"/>
  <c r="T764" i="2"/>
  <c r="T780" i="2"/>
  <c r="T796" i="2"/>
  <c r="T812" i="2"/>
  <c r="T828" i="2"/>
  <c r="T844" i="2"/>
  <c r="T860" i="2"/>
  <c r="T876" i="2"/>
  <c r="T892" i="2"/>
  <c r="T908" i="2"/>
  <c r="T924" i="2"/>
  <c r="T940" i="2"/>
  <c r="T956" i="2"/>
  <c r="T972" i="2"/>
  <c r="T988" i="2"/>
  <c r="T1004" i="2"/>
  <c r="T1020" i="2"/>
  <c r="T1036" i="2"/>
  <c r="T1052" i="2"/>
  <c r="T1068" i="2"/>
  <c r="T1084" i="2"/>
  <c r="T1100" i="2"/>
  <c r="T1114" i="2"/>
  <c r="T1128" i="2"/>
  <c r="T1140" i="2"/>
  <c r="T1153" i="2"/>
  <c r="T1165" i="2"/>
  <c r="T1178" i="2"/>
  <c r="T1192" i="2"/>
  <c r="T1204" i="2"/>
  <c r="T1217" i="2"/>
  <c r="T1229" i="2"/>
  <c r="T1242" i="2"/>
  <c r="T1256" i="2"/>
  <c r="T17" i="2"/>
  <c r="T76" i="2"/>
  <c r="T131" i="2"/>
  <c r="T177" i="2"/>
  <c r="T219" i="2"/>
  <c r="T260" i="2"/>
  <c r="T305" i="2"/>
  <c r="T347" i="2"/>
  <c r="T388" i="2"/>
  <c r="T433" i="2"/>
  <c r="T475" i="2"/>
  <c r="T516" i="2"/>
  <c r="T561" i="2"/>
  <c r="T603" i="2"/>
  <c r="T644" i="2"/>
  <c r="T685" i="2"/>
  <c r="T701" i="2"/>
  <c r="T717" i="2"/>
  <c r="T733" i="2"/>
  <c r="T749" i="2"/>
  <c r="T765" i="2"/>
  <c r="T781" i="2"/>
  <c r="T797" i="2"/>
  <c r="T813" i="2"/>
  <c r="T829" i="2"/>
  <c r="T845" i="2"/>
  <c r="T861" i="2"/>
  <c r="T877" i="2"/>
  <c r="T893" i="2"/>
  <c r="T909" i="2"/>
  <c r="T925" i="2"/>
  <c r="T941" i="2"/>
  <c r="T957" i="2"/>
  <c r="T973" i="2"/>
  <c r="T989" i="2"/>
  <c r="T1005" i="2"/>
  <c r="T1021" i="2"/>
  <c r="T1037" i="2"/>
  <c r="T1053" i="2"/>
  <c r="T1069" i="2"/>
  <c r="T1085" i="2"/>
  <c r="T1101" i="2"/>
  <c r="T1116" i="2"/>
  <c r="T1129" i="2"/>
  <c r="T1141" i="2"/>
  <c r="T1154" i="2"/>
  <c r="T1168" i="2"/>
  <c r="T1180" i="2"/>
  <c r="T1193" i="2"/>
  <c r="T1205" i="2"/>
  <c r="T1218" i="2"/>
  <c r="T1232" i="2"/>
  <c r="T1244" i="2"/>
  <c r="T1257" i="2"/>
  <c r="T292" i="2"/>
  <c r="T25" i="2"/>
  <c r="T81" i="2"/>
  <c r="T140" i="2"/>
  <c r="T185" i="2"/>
  <c r="T227" i="2"/>
  <c r="T268" i="2"/>
  <c r="T313" i="2"/>
  <c r="T355" i="2"/>
  <c r="T396" i="2"/>
  <c r="T441" i="2"/>
  <c r="T483" i="2"/>
  <c r="T524" i="2"/>
  <c r="T569" i="2"/>
  <c r="T611" i="2"/>
  <c r="T652" i="2"/>
  <c r="T688" i="2"/>
  <c r="T704" i="2"/>
  <c r="T720" i="2"/>
  <c r="T736" i="2"/>
  <c r="T752" i="2"/>
  <c r="T768" i="2"/>
  <c r="T784" i="2"/>
  <c r="T800" i="2"/>
  <c r="T816" i="2"/>
  <c r="T832" i="2"/>
  <c r="T848" i="2"/>
  <c r="T864" i="2"/>
  <c r="T880" i="2"/>
  <c r="T896" i="2"/>
  <c r="T912" i="2"/>
  <c r="T928" i="2"/>
  <c r="T944" i="2"/>
  <c r="T960" i="2"/>
  <c r="T976" i="2"/>
  <c r="T992" i="2"/>
  <c r="T1008" i="2"/>
  <c r="T1024" i="2"/>
  <c r="T1040" i="2"/>
  <c r="T1056" i="2"/>
  <c r="T1072" i="2"/>
  <c r="T1088" i="2"/>
  <c r="T1104" i="2"/>
  <c r="T1117" i="2"/>
  <c r="T1130" i="2"/>
  <c r="T1144" i="2"/>
  <c r="T1156" i="2"/>
  <c r="T1169" i="2"/>
  <c r="T1181" i="2"/>
  <c r="T1194" i="2"/>
  <c r="T1208" i="2"/>
  <c r="T1220" i="2"/>
  <c r="T1233" i="2"/>
  <c r="T1245" i="2"/>
  <c r="T1258" i="2"/>
  <c r="V54" i="1" s="1"/>
  <c r="AC10" i="2" s="1"/>
  <c r="T121" i="2"/>
  <c r="T697" i="2"/>
  <c r="T873" i="2"/>
  <c r="T1001" i="2"/>
  <c r="T1097" i="2"/>
  <c r="T1152" i="2"/>
  <c r="T1202" i="2"/>
  <c r="T1253" i="2"/>
  <c r="T35" i="2"/>
  <c r="T89" i="2"/>
  <c r="T145" i="2"/>
  <c r="T187" i="2"/>
  <c r="T228" i="2"/>
  <c r="T273" i="2"/>
  <c r="T315" i="2"/>
  <c r="T356" i="2"/>
  <c r="T401" i="2"/>
  <c r="T443" i="2"/>
  <c r="T484" i="2"/>
  <c r="T529" i="2"/>
  <c r="T571" i="2"/>
  <c r="T612" i="2"/>
  <c r="T657" i="2"/>
  <c r="T689" i="2"/>
  <c r="T705" i="2"/>
  <c r="T721" i="2"/>
  <c r="T737" i="2"/>
  <c r="T753" i="2"/>
  <c r="T769" i="2"/>
  <c r="T785" i="2"/>
  <c r="T801" i="2"/>
  <c r="T817" i="2"/>
  <c r="T833" i="2"/>
  <c r="T849" i="2"/>
  <c r="T865" i="2"/>
  <c r="T881" i="2"/>
  <c r="T897" i="2"/>
  <c r="T913" i="2"/>
  <c r="T929" i="2"/>
  <c r="T945" i="2"/>
  <c r="T961" i="2"/>
  <c r="T977" i="2"/>
  <c r="T993" i="2"/>
  <c r="T1009" i="2"/>
  <c r="T1025" i="2"/>
  <c r="T1041" i="2"/>
  <c r="T1057" i="2"/>
  <c r="T1073" i="2"/>
  <c r="T1089" i="2"/>
  <c r="T1105" i="2"/>
  <c r="T1120" i="2"/>
  <c r="T1132" i="2"/>
  <c r="T1145" i="2"/>
  <c r="T1157" i="2"/>
  <c r="T1170" i="2"/>
  <c r="T1184" i="2"/>
  <c r="T1196" i="2"/>
  <c r="T1209" i="2"/>
  <c r="T1221" i="2"/>
  <c r="T1234" i="2"/>
  <c r="T1248" i="2"/>
  <c r="T164" i="2"/>
  <c r="T337" i="2"/>
  <c r="T379" i="2"/>
  <c r="T465" i="2"/>
  <c r="T548" i="2"/>
  <c r="T593" i="2"/>
  <c r="T676" i="2"/>
  <c r="T729" i="2"/>
  <c r="T761" i="2"/>
  <c r="T793" i="2"/>
  <c r="T825" i="2"/>
  <c r="T905" i="2"/>
  <c r="T937" i="2"/>
  <c r="T985" i="2"/>
  <c r="T1033" i="2"/>
  <c r="T1113" i="2"/>
  <c r="T1164" i="2"/>
  <c r="T1241" i="2"/>
  <c r="T36" i="2"/>
  <c r="T99" i="2"/>
  <c r="T153" i="2"/>
  <c r="T195" i="2"/>
  <c r="T236" i="2"/>
  <c r="T281" i="2"/>
  <c r="T323" i="2"/>
  <c r="T364" i="2"/>
  <c r="T409" i="2"/>
  <c r="T451" i="2"/>
  <c r="T492" i="2"/>
  <c r="T537" i="2"/>
  <c r="T579" i="2"/>
  <c r="T620" i="2"/>
  <c r="T665" i="2"/>
  <c r="T692" i="2"/>
  <c r="T708" i="2"/>
  <c r="T724" i="2"/>
  <c r="T740" i="2"/>
  <c r="T756" i="2"/>
  <c r="T772" i="2"/>
  <c r="T788" i="2"/>
  <c r="T804" i="2"/>
  <c r="T820" i="2"/>
  <c r="T836" i="2"/>
  <c r="T852" i="2"/>
  <c r="T868" i="2"/>
  <c r="T884" i="2"/>
  <c r="T900" i="2"/>
  <c r="T916" i="2"/>
  <c r="T932" i="2"/>
  <c r="T948" i="2"/>
  <c r="T964" i="2"/>
  <c r="T980" i="2"/>
  <c r="T996" i="2"/>
  <c r="T1012" i="2"/>
  <c r="T1028" i="2"/>
  <c r="T1044" i="2"/>
  <c r="T1060" i="2"/>
  <c r="T1076" i="2"/>
  <c r="T1092" i="2"/>
  <c r="T1108" i="2"/>
  <c r="T1121" i="2"/>
  <c r="T1133" i="2"/>
  <c r="T1146" i="2"/>
  <c r="T1160" i="2"/>
  <c r="T1172" i="2"/>
  <c r="T1185" i="2"/>
  <c r="T1197" i="2"/>
  <c r="T1210" i="2"/>
  <c r="T1224" i="2"/>
  <c r="T1236" i="2"/>
  <c r="T1249" i="2"/>
  <c r="T251" i="2"/>
  <c r="T857" i="2"/>
  <c r="T1049" i="2"/>
  <c r="T1177" i="2"/>
  <c r="T44" i="2"/>
  <c r="T100" i="2"/>
  <c r="T155" i="2"/>
  <c r="T196" i="2"/>
  <c r="T241" i="2"/>
  <c r="T283" i="2"/>
  <c r="T324" i="2"/>
  <c r="T369" i="2"/>
  <c r="T411" i="2"/>
  <c r="T452" i="2"/>
  <c r="T497" i="2"/>
  <c r="T539" i="2"/>
  <c r="T580" i="2"/>
  <c r="T625" i="2"/>
  <c r="T667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901" i="2"/>
  <c r="T917" i="2"/>
  <c r="T933" i="2"/>
  <c r="T949" i="2"/>
  <c r="T965" i="2"/>
  <c r="T981" i="2"/>
  <c r="T997" i="2"/>
  <c r="T1013" i="2"/>
  <c r="T1029" i="2"/>
  <c r="T1045" i="2"/>
  <c r="T1061" i="2"/>
  <c r="T1077" i="2"/>
  <c r="T1093" i="2"/>
  <c r="T1109" i="2"/>
  <c r="T1122" i="2"/>
  <c r="T1136" i="2"/>
  <c r="T1148" i="2"/>
  <c r="T1161" i="2"/>
  <c r="T1173" i="2"/>
  <c r="T1186" i="2"/>
  <c r="T1200" i="2"/>
  <c r="T1212" i="2"/>
  <c r="T1225" i="2"/>
  <c r="T1237" i="2"/>
  <c r="T1250" i="2"/>
  <c r="T59" i="2"/>
  <c r="T713" i="2"/>
  <c r="T841" i="2"/>
  <c r="T969" i="2"/>
  <c r="T1065" i="2"/>
  <c r="T1138" i="2"/>
  <c r="T1216" i="2"/>
  <c r="T1228" i="2"/>
  <c r="T57" i="2"/>
  <c r="T108" i="2"/>
  <c r="T163" i="2"/>
  <c r="T204" i="2"/>
  <c r="T249" i="2"/>
  <c r="T291" i="2"/>
  <c r="T332" i="2"/>
  <c r="T377" i="2"/>
  <c r="T419" i="2"/>
  <c r="T460" i="2"/>
  <c r="T505" i="2"/>
  <c r="T547" i="2"/>
  <c r="T588" i="2"/>
  <c r="T633" i="2"/>
  <c r="T675" i="2"/>
  <c r="T696" i="2"/>
  <c r="T712" i="2"/>
  <c r="T728" i="2"/>
  <c r="T744" i="2"/>
  <c r="T760" i="2"/>
  <c r="T776" i="2"/>
  <c r="T792" i="2"/>
  <c r="T808" i="2"/>
  <c r="T824" i="2"/>
  <c r="T840" i="2"/>
  <c r="T856" i="2"/>
  <c r="T872" i="2"/>
  <c r="T888" i="2"/>
  <c r="T904" i="2"/>
  <c r="T920" i="2"/>
  <c r="T936" i="2"/>
  <c r="T952" i="2"/>
  <c r="T968" i="2"/>
  <c r="T984" i="2"/>
  <c r="T1000" i="2"/>
  <c r="T1016" i="2"/>
  <c r="T1032" i="2"/>
  <c r="T1048" i="2"/>
  <c r="T1064" i="2"/>
  <c r="T1080" i="2"/>
  <c r="T1096" i="2"/>
  <c r="T1112" i="2"/>
  <c r="T1124" i="2"/>
  <c r="T1137" i="2"/>
  <c r="T1149" i="2"/>
  <c r="T1162" i="2"/>
  <c r="T1176" i="2"/>
  <c r="T1188" i="2"/>
  <c r="T1201" i="2"/>
  <c r="T1213" i="2"/>
  <c r="T1226" i="2"/>
  <c r="T1240" i="2"/>
  <c r="T1252" i="2"/>
  <c r="T209" i="2"/>
  <c r="T420" i="2"/>
  <c r="T507" i="2"/>
  <c r="T635" i="2"/>
  <c r="T745" i="2"/>
  <c r="T777" i="2"/>
  <c r="T809" i="2"/>
  <c r="T889" i="2"/>
  <c r="T921" i="2"/>
  <c r="T953" i="2"/>
  <c r="T1017" i="2"/>
  <c r="T1081" i="2"/>
  <c r="T1125" i="2"/>
  <c r="T1189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7" i="2"/>
  <c r="S8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1" i="2"/>
  <c r="S32" i="2"/>
  <c r="S55" i="2"/>
  <c r="S75" i="2"/>
  <c r="S96" i="2"/>
  <c r="S119" i="2"/>
  <c r="S139" i="2"/>
  <c r="S160" i="2"/>
  <c r="S183" i="2"/>
  <c r="S203" i="2"/>
  <c r="S224" i="2"/>
  <c r="S247" i="2"/>
  <c r="S267" i="2"/>
  <c r="S288" i="2"/>
  <c r="S311" i="2"/>
  <c r="S331" i="2"/>
  <c r="S352" i="2"/>
  <c r="S375" i="2"/>
  <c r="S395" i="2"/>
  <c r="S416" i="2"/>
  <c r="S437" i="2"/>
  <c r="S448" i="2"/>
  <c r="S462" i="2"/>
  <c r="S475" i="2"/>
  <c r="S487" i="2"/>
  <c r="S501" i="2"/>
  <c r="S512" i="2"/>
  <c r="S526" i="2"/>
  <c r="S539" i="2"/>
  <c r="S551" i="2"/>
  <c r="S565" i="2"/>
  <c r="S576" i="2"/>
  <c r="S590" i="2"/>
  <c r="S603" i="2"/>
  <c r="S615" i="2"/>
  <c r="S629" i="2"/>
  <c r="S640" i="2"/>
  <c r="S654" i="2"/>
  <c r="S667" i="2"/>
  <c r="S679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24" i="2"/>
  <c r="S47" i="2"/>
  <c r="S67" i="2"/>
  <c r="S88" i="2"/>
  <c r="S111" i="2"/>
  <c r="S131" i="2"/>
  <c r="S152" i="2"/>
  <c r="S175" i="2"/>
  <c r="S195" i="2"/>
  <c r="S216" i="2"/>
  <c r="S239" i="2"/>
  <c r="S259" i="2"/>
  <c r="S280" i="2"/>
  <c r="S303" i="2"/>
  <c r="S323" i="2"/>
  <c r="S344" i="2"/>
  <c r="S367" i="2"/>
  <c r="S387" i="2"/>
  <c r="S408" i="2"/>
  <c r="S431" i="2"/>
  <c r="S445" i="2"/>
  <c r="S456" i="2"/>
  <c r="S470" i="2"/>
  <c r="S483" i="2"/>
  <c r="S495" i="2"/>
  <c r="S509" i="2"/>
  <c r="S520" i="2"/>
  <c r="S534" i="2"/>
  <c r="S547" i="2"/>
  <c r="S559" i="2"/>
  <c r="S573" i="2"/>
  <c r="S584" i="2"/>
  <c r="S598" i="2"/>
  <c r="S611" i="2"/>
  <c r="S623" i="2"/>
  <c r="S637" i="2"/>
  <c r="S648" i="2"/>
  <c r="S27" i="2"/>
  <c r="S48" i="2"/>
  <c r="S71" i="2"/>
  <c r="S91" i="2"/>
  <c r="S112" i="2"/>
  <c r="S135" i="2"/>
  <c r="S155" i="2"/>
  <c r="S176" i="2"/>
  <c r="S199" i="2"/>
  <c r="S219" i="2"/>
  <c r="S240" i="2"/>
  <c r="S263" i="2"/>
  <c r="S283" i="2"/>
  <c r="S304" i="2"/>
  <c r="S327" i="2"/>
  <c r="S347" i="2"/>
  <c r="S368" i="2"/>
  <c r="S391" i="2"/>
  <c r="S411" i="2"/>
  <c r="S432" i="2"/>
  <c r="S446" i="2"/>
  <c r="S15" i="2"/>
  <c r="S43" i="2"/>
  <c r="S80" i="2"/>
  <c r="S115" i="2"/>
  <c r="S147" i="2"/>
  <c r="S184" i="2"/>
  <c r="S215" i="2"/>
  <c r="S251" i="2"/>
  <c r="S287" i="2"/>
  <c r="S319" i="2"/>
  <c r="S355" i="2"/>
  <c r="S384" i="2"/>
  <c r="S423" i="2"/>
  <c r="S447" i="2"/>
  <c r="S464" i="2"/>
  <c r="S480" i="2"/>
  <c r="S499" i="2"/>
  <c r="S517" i="2"/>
  <c r="S533" i="2"/>
  <c r="S550" i="2"/>
  <c r="S567" i="2"/>
  <c r="S583" i="2"/>
  <c r="S600" i="2"/>
  <c r="S619" i="2"/>
  <c r="S635" i="2"/>
  <c r="S653" i="2"/>
  <c r="S669" i="2"/>
  <c r="S683" i="2"/>
  <c r="S693" i="2"/>
  <c r="S702" i="2"/>
  <c r="S711" i="2"/>
  <c r="S720" i="2"/>
  <c r="S729" i="2"/>
  <c r="S739" i="2"/>
  <c r="S748" i="2"/>
  <c r="S757" i="2"/>
  <c r="S766" i="2"/>
  <c r="S775" i="2"/>
  <c r="S784" i="2"/>
  <c r="S793" i="2"/>
  <c r="S803" i="2"/>
  <c r="S812" i="2"/>
  <c r="S821" i="2"/>
  <c r="S830" i="2"/>
  <c r="S839" i="2"/>
  <c r="S848" i="2"/>
  <c r="S857" i="2"/>
  <c r="S867" i="2"/>
  <c r="S876" i="2"/>
  <c r="S885" i="2"/>
  <c r="S894" i="2"/>
  <c r="S903" i="2"/>
  <c r="S912" i="2"/>
  <c r="S921" i="2"/>
  <c r="S931" i="2"/>
  <c r="S940" i="2"/>
  <c r="S949" i="2"/>
  <c r="S958" i="2"/>
  <c r="S967" i="2"/>
  <c r="S976" i="2"/>
  <c r="S985" i="2"/>
  <c r="S995" i="2"/>
  <c r="S1004" i="2"/>
  <c r="S1013" i="2"/>
  <c r="S1022" i="2"/>
  <c r="S1031" i="2"/>
  <c r="S1040" i="2"/>
  <c r="S1049" i="2"/>
  <c r="S16" i="2"/>
  <c r="S51" i="2"/>
  <c r="S83" i="2"/>
  <c r="S120" i="2"/>
  <c r="S151" i="2"/>
  <c r="S187" i="2"/>
  <c r="S223" i="2"/>
  <c r="S255" i="2"/>
  <c r="S291" i="2"/>
  <c r="S320" i="2"/>
  <c r="S359" i="2"/>
  <c r="S392" i="2"/>
  <c r="S424" i="2"/>
  <c r="S451" i="2"/>
  <c r="S467" i="2"/>
  <c r="S485" i="2"/>
  <c r="S502" i="2"/>
  <c r="S518" i="2"/>
  <c r="S535" i="2"/>
  <c r="S552" i="2"/>
  <c r="S568" i="2"/>
  <c r="S587" i="2"/>
  <c r="S605" i="2"/>
  <c r="S621" i="2"/>
  <c r="S638" i="2"/>
  <c r="S655" i="2"/>
  <c r="S670" i="2"/>
  <c r="S685" i="2"/>
  <c r="S694" i="2"/>
  <c r="S703" i="2"/>
  <c r="S712" i="2"/>
  <c r="S721" i="2"/>
  <c r="S731" i="2"/>
  <c r="S740" i="2"/>
  <c r="S749" i="2"/>
  <c r="S758" i="2"/>
  <c r="S767" i="2"/>
  <c r="S776" i="2"/>
  <c r="S785" i="2"/>
  <c r="S795" i="2"/>
  <c r="S804" i="2"/>
  <c r="S813" i="2"/>
  <c r="S822" i="2"/>
  <c r="S831" i="2"/>
  <c r="S840" i="2"/>
  <c r="S849" i="2"/>
  <c r="S859" i="2"/>
  <c r="S868" i="2"/>
  <c r="S877" i="2"/>
  <c r="S886" i="2"/>
  <c r="S895" i="2"/>
  <c r="S904" i="2"/>
  <c r="S913" i="2"/>
  <c r="S923" i="2"/>
  <c r="S932" i="2"/>
  <c r="S941" i="2"/>
  <c r="S950" i="2"/>
  <c r="S959" i="2"/>
  <c r="S968" i="2"/>
  <c r="S977" i="2"/>
  <c r="S987" i="2"/>
  <c r="S996" i="2"/>
  <c r="S1005" i="2"/>
  <c r="S1014" i="2"/>
  <c r="S1023" i="2"/>
  <c r="S1032" i="2"/>
  <c r="S1041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31" i="2"/>
  <c r="S63" i="2"/>
  <c r="S99" i="2"/>
  <c r="S128" i="2"/>
  <c r="S167" i="2"/>
  <c r="S200" i="2"/>
  <c r="S232" i="2"/>
  <c r="S271" i="2"/>
  <c r="S299" i="2"/>
  <c r="S336" i="2"/>
  <c r="S371" i="2"/>
  <c r="S403" i="2"/>
  <c r="S438" i="2"/>
  <c r="S455" i="2"/>
  <c r="S472" i="2"/>
  <c r="S491" i="2"/>
  <c r="S507" i="2"/>
  <c r="S525" i="2"/>
  <c r="S542" i="2"/>
  <c r="S558" i="2"/>
  <c r="S575" i="2"/>
  <c r="S592" i="2"/>
  <c r="S608" i="2"/>
  <c r="S627" i="2"/>
  <c r="S645" i="2"/>
  <c r="S661" i="2"/>
  <c r="S675" i="2"/>
  <c r="S688" i="2"/>
  <c r="S697" i="2"/>
  <c r="S707" i="2"/>
  <c r="S716" i="2"/>
  <c r="S725" i="2"/>
  <c r="S734" i="2"/>
  <c r="S743" i="2"/>
  <c r="S752" i="2"/>
  <c r="S761" i="2"/>
  <c r="S771" i="2"/>
  <c r="S780" i="2"/>
  <c r="S789" i="2"/>
  <c r="S798" i="2"/>
  <c r="S807" i="2"/>
  <c r="S816" i="2"/>
  <c r="S825" i="2"/>
  <c r="S835" i="2"/>
  <c r="S844" i="2"/>
  <c r="S853" i="2"/>
  <c r="S862" i="2"/>
  <c r="S871" i="2"/>
  <c r="S880" i="2"/>
  <c r="S889" i="2"/>
  <c r="S899" i="2"/>
  <c r="S908" i="2"/>
  <c r="S917" i="2"/>
  <c r="S35" i="2"/>
  <c r="S64" i="2"/>
  <c r="S103" i="2"/>
  <c r="S136" i="2"/>
  <c r="S168" i="2"/>
  <c r="S207" i="2"/>
  <c r="S235" i="2"/>
  <c r="S272" i="2"/>
  <c r="S307" i="2"/>
  <c r="S339" i="2"/>
  <c r="S376" i="2"/>
  <c r="S407" i="2"/>
  <c r="S439" i="2"/>
  <c r="S459" i="2"/>
  <c r="S477" i="2"/>
  <c r="S493" i="2"/>
  <c r="S510" i="2"/>
  <c r="S527" i="2"/>
  <c r="S543" i="2"/>
  <c r="S560" i="2"/>
  <c r="S579" i="2"/>
  <c r="S595" i="2"/>
  <c r="S613" i="2"/>
  <c r="S630" i="2"/>
  <c r="S646" i="2"/>
  <c r="S662" i="2"/>
  <c r="S677" i="2"/>
  <c r="S689" i="2"/>
  <c r="S699" i="2"/>
  <c r="S708" i="2"/>
  <c r="S717" i="2"/>
  <c r="S40" i="2"/>
  <c r="S79" i="2"/>
  <c r="S107" i="2"/>
  <c r="S144" i="2"/>
  <c r="S179" i="2"/>
  <c r="S211" i="2"/>
  <c r="S248" i="2"/>
  <c r="S279" i="2"/>
  <c r="S315" i="2"/>
  <c r="S351" i="2"/>
  <c r="S383" i="2"/>
  <c r="S419" i="2"/>
  <c r="S443" i="2"/>
  <c r="S463" i="2"/>
  <c r="S479" i="2"/>
  <c r="S19" i="2"/>
  <c r="S104" i="2"/>
  <c r="S192" i="2"/>
  <c r="S295" i="2"/>
  <c r="S379" i="2"/>
  <c r="S454" i="2"/>
  <c r="S496" i="2"/>
  <c r="S531" i="2"/>
  <c r="S566" i="2"/>
  <c r="S599" i="2"/>
  <c r="S632" i="2"/>
  <c r="S664" i="2"/>
  <c r="S692" i="2"/>
  <c r="S710" i="2"/>
  <c r="S727" i="2"/>
  <c r="S742" i="2"/>
  <c r="S756" i="2"/>
  <c r="S772" i="2"/>
  <c r="S787" i="2"/>
  <c r="S800" i="2"/>
  <c r="S815" i="2"/>
  <c r="S829" i="2"/>
  <c r="S845" i="2"/>
  <c r="S860" i="2"/>
  <c r="S873" i="2"/>
  <c r="S888" i="2"/>
  <c r="S902" i="2"/>
  <c r="S918" i="2"/>
  <c r="S929" i="2"/>
  <c r="S943" i="2"/>
  <c r="S955" i="2"/>
  <c r="S966" i="2"/>
  <c r="S980" i="2"/>
  <c r="S991" i="2"/>
  <c r="S1003" i="2"/>
  <c r="S1016" i="2"/>
  <c r="S1028" i="2"/>
  <c r="S1039" i="2"/>
  <c r="S1052" i="2"/>
  <c r="S1061" i="2"/>
  <c r="S1070" i="2"/>
  <c r="S1079" i="2"/>
  <c r="S1088" i="2"/>
  <c r="S1097" i="2"/>
  <c r="S1107" i="2"/>
  <c r="S1116" i="2"/>
  <c r="S1125" i="2"/>
  <c r="S1134" i="2"/>
  <c r="S1143" i="2"/>
  <c r="S1152" i="2"/>
  <c r="S1161" i="2"/>
  <c r="S1171" i="2"/>
  <c r="S1180" i="2"/>
  <c r="S1189" i="2"/>
  <c r="S1197" i="2"/>
  <c r="S1205" i="2"/>
  <c r="S1213" i="2"/>
  <c r="S1221" i="2"/>
  <c r="S1229" i="2"/>
  <c r="S1237" i="2"/>
  <c r="S1245" i="2"/>
  <c r="S1253" i="2"/>
  <c r="S494" i="2"/>
  <c r="S814" i="2"/>
  <c r="S901" i="2"/>
  <c r="S979" i="2"/>
  <c r="S1051" i="2"/>
  <c r="S1105" i="2"/>
  <c r="S1151" i="2"/>
  <c r="S1188" i="2"/>
  <c r="S1236" i="2"/>
  <c r="S23" i="2"/>
  <c r="S123" i="2"/>
  <c r="S208" i="2"/>
  <c r="S296" i="2"/>
  <c r="S399" i="2"/>
  <c r="S461" i="2"/>
  <c r="S503" i="2"/>
  <c r="S536" i="2"/>
  <c r="S571" i="2"/>
  <c r="S606" i="2"/>
  <c r="S639" i="2"/>
  <c r="S671" i="2"/>
  <c r="S695" i="2"/>
  <c r="S713" i="2"/>
  <c r="S728" i="2"/>
  <c r="S744" i="2"/>
  <c r="S759" i="2"/>
  <c r="S773" i="2"/>
  <c r="S788" i="2"/>
  <c r="S801" i="2"/>
  <c r="S817" i="2"/>
  <c r="S832" i="2"/>
  <c r="S846" i="2"/>
  <c r="S861" i="2"/>
  <c r="S875" i="2"/>
  <c r="S891" i="2"/>
  <c r="S905" i="2"/>
  <c r="S919" i="2"/>
  <c r="S933" i="2"/>
  <c r="S944" i="2"/>
  <c r="S956" i="2"/>
  <c r="S969" i="2"/>
  <c r="S981" i="2"/>
  <c r="S992" i="2"/>
  <c r="S1006" i="2"/>
  <c r="S1017" i="2"/>
  <c r="S1029" i="2"/>
  <c r="S1043" i="2"/>
  <c r="S1053" i="2"/>
  <c r="S1062" i="2"/>
  <c r="S1071" i="2"/>
  <c r="S1080" i="2"/>
  <c r="S1089" i="2"/>
  <c r="S1099" i="2"/>
  <c r="S1108" i="2"/>
  <c r="S1117" i="2"/>
  <c r="S1126" i="2"/>
  <c r="S1135" i="2"/>
  <c r="S1144" i="2"/>
  <c r="S1153" i="2"/>
  <c r="S1163" i="2"/>
  <c r="S1172" i="2"/>
  <c r="S1181" i="2"/>
  <c r="S1190" i="2"/>
  <c r="S1198" i="2"/>
  <c r="S1206" i="2"/>
  <c r="S1214" i="2"/>
  <c r="S1222" i="2"/>
  <c r="S1230" i="2"/>
  <c r="S1238" i="2"/>
  <c r="S1246" i="2"/>
  <c r="S1254" i="2"/>
  <c r="S453" i="2"/>
  <c r="S799" i="2"/>
  <c r="S928" i="2"/>
  <c r="S1015" i="2"/>
  <c r="S1060" i="2"/>
  <c r="S1087" i="2"/>
  <c r="S1142" i="2"/>
  <c r="S1179" i="2"/>
  <c r="S1228" i="2"/>
  <c r="S39" i="2"/>
  <c r="S127" i="2"/>
  <c r="S227" i="2"/>
  <c r="S312" i="2"/>
  <c r="S400" i="2"/>
  <c r="S469" i="2"/>
  <c r="S504" i="2"/>
  <c r="S541" i="2"/>
  <c r="S574" i="2"/>
  <c r="S607" i="2"/>
  <c r="S643" i="2"/>
  <c r="S672" i="2"/>
  <c r="S696" i="2"/>
  <c r="S715" i="2"/>
  <c r="S732" i="2"/>
  <c r="S745" i="2"/>
  <c r="S760" i="2"/>
  <c r="S774" i="2"/>
  <c r="S790" i="2"/>
  <c r="S805" i="2"/>
  <c r="S819" i="2"/>
  <c r="S833" i="2"/>
  <c r="S847" i="2"/>
  <c r="S863" i="2"/>
  <c r="S878" i="2"/>
  <c r="S892" i="2"/>
  <c r="S907" i="2"/>
  <c r="S920" i="2"/>
  <c r="S934" i="2"/>
  <c r="S945" i="2"/>
  <c r="S957" i="2"/>
  <c r="S971" i="2"/>
  <c r="S982" i="2"/>
  <c r="S993" i="2"/>
  <c r="S1007" i="2"/>
  <c r="S1019" i="2"/>
  <c r="S1030" i="2"/>
  <c r="S1044" i="2"/>
  <c r="S1054" i="2"/>
  <c r="S1063" i="2"/>
  <c r="S1072" i="2"/>
  <c r="S1081" i="2"/>
  <c r="S1091" i="2"/>
  <c r="S1100" i="2"/>
  <c r="S1109" i="2"/>
  <c r="S1118" i="2"/>
  <c r="S1127" i="2"/>
  <c r="S1136" i="2"/>
  <c r="S1145" i="2"/>
  <c r="S1155" i="2"/>
  <c r="S1164" i="2"/>
  <c r="S1173" i="2"/>
  <c r="S1182" i="2"/>
  <c r="S1191" i="2"/>
  <c r="S1199" i="2"/>
  <c r="S1207" i="2"/>
  <c r="S1215" i="2"/>
  <c r="S1223" i="2"/>
  <c r="S1231" i="2"/>
  <c r="S1239" i="2"/>
  <c r="S1247" i="2"/>
  <c r="S1255" i="2"/>
  <c r="S363" i="2"/>
  <c r="S1001" i="2"/>
  <c r="S1133" i="2"/>
  <c r="S1220" i="2"/>
  <c r="S56" i="2"/>
  <c r="S143" i="2"/>
  <c r="S231" i="2"/>
  <c r="S328" i="2"/>
  <c r="S415" i="2"/>
  <c r="S471" i="2"/>
  <c r="S511" i="2"/>
  <c r="S544" i="2"/>
  <c r="S581" i="2"/>
  <c r="S614" i="2"/>
  <c r="S647" i="2"/>
  <c r="S678" i="2"/>
  <c r="S700" i="2"/>
  <c r="S718" i="2"/>
  <c r="S733" i="2"/>
  <c r="S747" i="2"/>
  <c r="S763" i="2"/>
  <c r="S777" i="2"/>
  <c r="S791" i="2"/>
  <c r="S806" i="2"/>
  <c r="S820" i="2"/>
  <c r="S836" i="2"/>
  <c r="S851" i="2"/>
  <c r="S864" i="2"/>
  <c r="S879" i="2"/>
  <c r="S893" i="2"/>
  <c r="S909" i="2"/>
  <c r="S924" i="2"/>
  <c r="S935" i="2"/>
  <c r="S947" i="2"/>
  <c r="S960" i="2"/>
  <c r="S972" i="2"/>
  <c r="S983" i="2"/>
  <c r="S997" i="2"/>
  <c r="S1008" i="2"/>
  <c r="S1020" i="2"/>
  <c r="S1033" i="2"/>
  <c r="S1045" i="2"/>
  <c r="S1055" i="2"/>
  <c r="S1064" i="2"/>
  <c r="S1073" i="2"/>
  <c r="S1083" i="2"/>
  <c r="S1092" i="2"/>
  <c r="S1101" i="2"/>
  <c r="S1110" i="2"/>
  <c r="S1119" i="2"/>
  <c r="S1128" i="2"/>
  <c r="S1137" i="2"/>
  <c r="S1147" i="2"/>
  <c r="S1156" i="2"/>
  <c r="S1165" i="2"/>
  <c r="S1174" i="2"/>
  <c r="S1183" i="2"/>
  <c r="S1192" i="2"/>
  <c r="S1200" i="2"/>
  <c r="S1208" i="2"/>
  <c r="S1216" i="2"/>
  <c r="S1224" i="2"/>
  <c r="S1232" i="2"/>
  <c r="S1240" i="2"/>
  <c r="S1248" i="2"/>
  <c r="S1256" i="2"/>
  <c r="S59" i="2"/>
  <c r="S159" i="2"/>
  <c r="S243" i="2"/>
  <c r="S335" i="2"/>
  <c r="S427" i="2"/>
  <c r="S478" i="2"/>
  <c r="S515" i="2"/>
  <c r="S549" i="2"/>
  <c r="S582" i="2"/>
  <c r="S616" i="2"/>
  <c r="S651" i="2"/>
  <c r="S680" i="2"/>
  <c r="S701" i="2"/>
  <c r="S719" i="2"/>
  <c r="S735" i="2"/>
  <c r="S750" i="2"/>
  <c r="S764" i="2"/>
  <c r="S779" i="2"/>
  <c r="S792" i="2"/>
  <c r="S808" i="2"/>
  <c r="S823" i="2"/>
  <c r="S837" i="2"/>
  <c r="S852" i="2"/>
  <c r="S865" i="2"/>
  <c r="S881" i="2"/>
  <c r="S896" i="2"/>
  <c r="S910" i="2"/>
  <c r="S925" i="2"/>
  <c r="S936" i="2"/>
  <c r="S948" i="2"/>
  <c r="S961" i="2"/>
  <c r="S973" i="2"/>
  <c r="S984" i="2"/>
  <c r="S998" i="2"/>
  <c r="S1009" i="2"/>
  <c r="S1021" i="2"/>
  <c r="S1035" i="2"/>
  <c r="S1046" i="2"/>
  <c r="S1056" i="2"/>
  <c r="S1065" i="2"/>
  <c r="S1075" i="2"/>
  <c r="S1084" i="2"/>
  <c r="S1093" i="2"/>
  <c r="S1102" i="2"/>
  <c r="S1111" i="2"/>
  <c r="S1120" i="2"/>
  <c r="S1129" i="2"/>
  <c r="S1139" i="2"/>
  <c r="S1148" i="2"/>
  <c r="S1157" i="2"/>
  <c r="S1166" i="2"/>
  <c r="S1175" i="2"/>
  <c r="S1184" i="2"/>
  <c r="S1193" i="2"/>
  <c r="S1201" i="2"/>
  <c r="S1209" i="2"/>
  <c r="S1217" i="2"/>
  <c r="S1225" i="2"/>
  <c r="S1233" i="2"/>
  <c r="S1241" i="2"/>
  <c r="S1249" i="2"/>
  <c r="S1257" i="2"/>
  <c r="S275" i="2"/>
  <c r="S953" i="2"/>
  <c r="S1096" i="2"/>
  <c r="S1212" i="2"/>
  <c r="S72" i="2"/>
  <c r="S163" i="2"/>
  <c r="S256" i="2"/>
  <c r="S343" i="2"/>
  <c r="S435" i="2"/>
  <c r="S486" i="2"/>
  <c r="S519" i="2"/>
  <c r="S555" i="2"/>
  <c r="S589" i="2"/>
  <c r="S622" i="2"/>
  <c r="S656" i="2"/>
  <c r="S686" i="2"/>
  <c r="S704" i="2"/>
  <c r="S723" i="2"/>
  <c r="S736" i="2"/>
  <c r="S751" i="2"/>
  <c r="S765" i="2"/>
  <c r="S781" i="2"/>
  <c r="S796" i="2"/>
  <c r="S809" i="2"/>
  <c r="S824" i="2"/>
  <c r="S838" i="2"/>
  <c r="S854" i="2"/>
  <c r="S869" i="2"/>
  <c r="S883" i="2"/>
  <c r="S897" i="2"/>
  <c r="S911" i="2"/>
  <c r="S926" i="2"/>
  <c r="S937" i="2"/>
  <c r="S951" i="2"/>
  <c r="S963" i="2"/>
  <c r="S974" i="2"/>
  <c r="S988" i="2"/>
  <c r="S999" i="2"/>
  <c r="S1011" i="2"/>
  <c r="S1024" i="2"/>
  <c r="S1036" i="2"/>
  <c r="S1047" i="2"/>
  <c r="S1057" i="2"/>
  <c r="S1067" i="2"/>
  <c r="S1076" i="2"/>
  <c r="S1085" i="2"/>
  <c r="S1094" i="2"/>
  <c r="S1103" i="2"/>
  <c r="S1112" i="2"/>
  <c r="S1121" i="2"/>
  <c r="S1131" i="2"/>
  <c r="S1140" i="2"/>
  <c r="S1149" i="2"/>
  <c r="S1158" i="2"/>
  <c r="S1167" i="2"/>
  <c r="S1176" i="2"/>
  <c r="S1185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95" i="2"/>
  <c r="S563" i="2"/>
  <c r="S631" i="2"/>
  <c r="S691" i="2"/>
  <c r="S726" i="2"/>
  <c r="S755" i="2"/>
  <c r="S783" i="2"/>
  <c r="S843" i="2"/>
  <c r="S872" i="2"/>
  <c r="S916" i="2"/>
  <c r="S965" i="2"/>
  <c r="S1027" i="2"/>
  <c r="S1069" i="2"/>
  <c r="S1115" i="2"/>
  <c r="S1160" i="2"/>
  <c r="S1196" i="2"/>
  <c r="S1244" i="2"/>
  <c r="S87" i="2"/>
  <c r="S171" i="2"/>
  <c r="S264" i="2"/>
  <c r="S360" i="2"/>
  <c r="S440" i="2"/>
  <c r="S488" i="2"/>
  <c r="S523" i="2"/>
  <c r="S557" i="2"/>
  <c r="S591" i="2"/>
  <c r="S624" i="2"/>
  <c r="S659" i="2"/>
  <c r="S687" i="2"/>
  <c r="S705" i="2"/>
  <c r="S724" i="2"/>
  <c r="S737" i="2"/>
  <c r="S753" i="2"/>
  <c r="S768" i="2"/>
  <c r="S782" i="2"/>
  <c r="S797" i="2"/>
  <c r="S811" i="2"/>
  <c r="S827" i="2"/>
  <c r="S841" i="2"/>
  <c r="S855" i="2"/>
  <c r="S870" i="2"/>
  <c r="S884" i="2"/>
  <c r="S900" i="2"/>
  <c r="S915" i="2"/>
  <c r="S927" i="2"/>
  <c r="S939" i="2"/>
  <c r="S952" i="2"/>
  <c r="S964" i="2"/>
  <c r="S975" i="2"/>
  <c r="S989" i="2"/>
  <c r="S1000" i="2"/>
  <c r="S1012" i="2"/>
  <c r="S1025" i="2"/>
  <c r="S1037" i="2"/>
  <c r="S1048" i="2"/>
  <c r="S1059" i="2"/>
  <c r="S1068" i="2"/>
  <c r="S1077" i="2"/>
  <c r="S1086" i="2"/>
  <c r="S1095" i="2"/>
  <c r="S1104" i="2"/>
  <c r="S1113" i="2"/>
  <c r="S1123" i="2"/>
  <c r="S1132" i="2"/>
  <c r="S1141" i="2"/>
  <c r="S1150" i="2"/>
  <c r="S1159" i="2"/>
  <c r="S1168" i="2"/>
  <c r="S1177" i="2"/>
  <c r="S1187" i="2"/>
  <c r="S1195" i="2"/>
  <c r="S1203" i="2"/>
  <c r="S1211" i="2"/>
  <c r="S1219" i="2"/>
  <c r="S1227" i="2"/>
  <c r="S1235" i="2"/>
  <c r="S1243" i="2"/>
  <c r="S1251" i="2"/>
  <c r="S191" i="2"/>
  <c r="S528" i="2"/>
  <c r="S597" i="2"/>
  <c r="S663" i="2"/>
  <c r="S709" i="2"/>
  <c r="S741" i="2"/>
  <c r="S769" i="2"/>
  <c r="S828" i="2"/>
  <c r="S856" i="2"/>
  <c r="S887" i="2"/>
  <c r="S942" i="2"/>
  <c r="S990" i="2"/>
  <c r="S1038" i="2"/>
  <c r="S1078" i="2"/>
  <c r="S1124" i="2"/>
  <c r="S1169" i="2"/>
  <c r="S1204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307" i="2"/>
  <c r="R315" i="2"/>
  <c r="R323" i="2"/>
  <c r="R331" i="2"/>
  <c r="R339" i="2"/>
  <c r="R347" i="2"/>
  <c r="R355" i="2"/>
  <c r="R363" i="2"/>
  <c r="R371" i="2"/>
  <c r="R379" i="2"/>
  <c r="R387" i="2"/>
  <c r="R395" i="2"/>
  <c r="R403" i="2"/>
  <c r="R411" i="2"/>
  <c r="R419" i="2"/>
  <c r="R427" i="2"/>
  <c r="R435" i="2"/>
  <c r="R443" i="2"/>
  <c r="R451" i="2"/>
  <c r="R459" i="2"/>
  <c r="R467" i="2"/>
  <c r="R475" i="2"/>
  <c r="R483" i="2"/>
  <c r="R491" i="2"/>
  <c r="R499" i="2"/>
  <c r="R507" i="2"/>
  <c r="R515" i="2"/>
  <c r="R523" i="2"/>
  <c r="R531" i="2"/>
  <c r="R539" i="2"/>
  <c r="R547" i="2"/>
  <c r="R555" i="2"/>
  <c r="R563" i="2"/>
  <c r="R571" i="2"/>
  <c r="R579" i="2"/>
  <c r="R587" i="2"/>
  <c r="R595" i="2"/>
  <c r="R603" i="2"/>
  <c r="R611" i="2"/>
  <c r="R619" i="2"/>
  <c r="R627" i="2"/>
  <c r="R635" i="2"/>
  <c r="R643" i="2"/>
  <c r="R651" i="2"/>
  <c r="R659" i="2"/>
  <c r="R667" i="2"/>
  <c r="R675" i="2"/>
  <c r="R683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23" i="2"/>
  <c r="R55" i="2"/>
  <c r="R87" i="2"/>
  <c r="R119" i="2"/>
  <c r="R151" i="2"/>
  <c r="R183" i="2"/>
  <c r="R215" i="2"/>
  <c r="R247" i="2"/>
  <c r="R279" i="2"/>
  <c r="R311" i="2"/>
  <c r="R343" i="2"/>
  <c r="R375" i="2"/>
  <c r="R391" i="2"/>
  <c r="R407" i="2"/>
  <c r="R423" i="2"/>
  <c r="R439" i="2"/>
  <c r="R455" i="2"/>
  <c r="R471" i="2"/>
  <c r="R487" i="2"/>
  <c r="R503" i="2"/>
  <c r="R519" i="2"/>
  <c r="R535" i="2"/>
  <c r="R551" i="2"/>
  <c r="R567" i="2"/>
  <c r="R583" i="2"/>
  <c r="R599" i="2"/>
  <c r="R615" i="2"/>
  <c r="R631" i="2"/>
  <c r="R647" i="2"/>
  <c r="R663" i="2"/>
  <c r="R679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24" i="2"/>
  <c r="R56" i="2"/>
  <c r="R88" i="2"/>
  <c r="R120" i="2"/>
  <c r="R152" i="2"/>
  <c r="R184" i="2"/>
  <c r="R216" i="2"/>
  <c r="R248" i="2"/>
  <c r="R280" i="2"/>
  <c r="R312" i="2"/>
  <c r="R344" i="2"/>
  <c r="R376" i="2"/>
  <c r="R392" i="2"/>
  <c r="R408" i="2"/>
  <c r="R424" i="2"/>
  <c r="R440" i="2"/>
  <c r="R456" i="2"/>
  <c r="R472" i="2"/>
  <c r="R488" i="2"/>
  <c r="R504" i="2"/>
  <c r="R520" i="2"/>
  <c r="R536" i="2"/>
  <c r="R552" i="2"/>
  <c r="R568" i="2"/>
  <c r="R584" i="2"/>
  <c r="R600" i="2"/>
  <c r="R616" i="2"/>
  <c r="R632" i="2"/>
  <c r="R648" i="2"/>
  <c r="R664" i="2"/>
  <c r="R680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31" i="2"/>
  <c r="R63" i="2"/>
  <c r="R95" i="2"/>
  <c r="R127" i="2"/>
  <c r="R159" i="2"/>
  <c r="R191" i="2"/>
  <c r="R223" i="2"/>
  <c r="R255" i="2"/>
  <c r="R287" i="2"/>
  <c r="R319" i="2"/>
  <c r="R351" i="2"/>
  <c r="R381" i="2"/>
  <c r="R397" i="2"/>
  <c r="R413" i="2"/>
  <c r="R429" i="2"/>
  <c r="R445" i="2"/>
  <c r="R461" i="2"/>
  <c r="R477" i="2"/>
  <c r="R493" i="2"/>
  <c r="R509" i="2"/>
  <c r="R525" i="2"/>
  <c r="R541" i="2"/>
  <c r="R557" i="2"/>
  <c r="R573" i="2"/>
  <c r="R589" i="2"/>
  <c r="R605" i="2"/>
  <c r="R621" i="2"/>
  <c r="R637" i="2"/>
  <c r="R653" i="2"/>
  <c r="R66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32" i="2"/>
  <c r="R64" i="2"/>
  <c r="R96" i="2"/>
  <c r="R128" i="2"/>
  <c r="R160" i="2"/>
  <c r="R192" i="2"/>
  <c r="R224" i="2"/>
  <c r="R256" i="2"/>
  <c r="R288" i="2"/>
  <c r="R320" i="2"/>
  <c r="R352" i="2"/>
  <c r="R382" i="2"/>
  <c r="R398" i="2"/>
  <c r="R414" i="2"/>
  <c r="R430" i="2"/>
  <c r="R446" i="2"/>
  <c r="R462" i="2"/>
  <c r="R478" i="2"/>
  <c r="R494" i="2"/>
  <c r="R510" i="2"/>
  <c r="R526" i="2"/>
  <c r="R542" i="2"/>
  <c r="R558" i="2"/>
  <c r="R574" i="2"/>
  <c r="R590" i="2"/>
  <c r="R606" i="2"/>
  <c r="R622" i="2"/>
  <c r="R638" i="2"/>
  <c r="R654" i="2"/>
  <c r="R67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7" i="2"/>
  <c r="R71" i="2"/>
  <c r="R135" i="2"/>
  <c r="R199" i="2"/>
  <c r="R263" i="2"/>
  <c r="R327" i="2"/>
  <c r="R383" i="2"/>
  <c r="R415" i="2"/>
  <c r="R447" i="2"/>
  <c r="R479" i="2"/>
  <c r="R511" i="2"/>
  <c r="R543" i="2"/>
  <c r="R575" i="2"/>
  <c r="R607" i="2"/>
  <c r="R639" i="2"/>
  <c r="R671" i="2"/>
  <c r="R695" i="2"/>
  <c r="R711" i="2"/>
  <c r="R727" i="2"/>
  <c r="R743" i="2"/>
  <c r="R759" i="2"/>
  <c r="R775" i="2"/>
  <c r="R791" i="2"/>
  <c r="R839" i="2"/>
  <c r="R903" i="2"/>
  <c r="R919" i="2"/>
  <c r="R935" i="2"/>
  <c r="R945" i="2"/>
  <c r="R957" i="2"/>
  <c r="R967" i="2"/>
  <c r="R977" i="2"/>
  <c r="R989" i="2"/>
  <c r="R999" i="2"/>
  <c r="R1009" i="2"/>
  <c r="R1021" i="2"/>
  <c r="R1031" i="2"/>
  <c r="R1041" i="2"/>
  <c r="R1053" i="2"/>
  <c r="R1063" i="2"/>
  <c r="R1073" i="2"/>
  <c r="R1085" i="2"/>
  <c r="R1095" i="2"/>
  <c r="R1105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8" i="2"/>
  <c r="R72" i="2"/>
  <c r="R136" i="2"/>
  <c r="R200" i="2"/>
  <c r="R264" i="2"/>
  <c r="R328" i="2"/>
  <c r="R384" i="2"/>
  <c r="R416" i="2"/>
  <c r="R448" i="2"/>
  <c r="R480" i="2"/>
  <c r="R512" i="2"/>
  <c r="R544" i="2"/>
  <c r="R576" i="2"/>
  <c r="R608" i="2"/>
  <c r="R640" i="2"/>
  <c r="R672" i="2"/>
  <c r="R696" i="2"/>
  <c r="R712" i="2"/>
  <c r="R728" i="2"/>
  <c r="R744" i="2"/>
  <c r="R760" i="2"/>
  <c r="R776" i="2"/>
  <c r="R792" i="2"/>
  <c r="R808" i="2"/>
  <c r="R824" i="2"/>
  <c r="R840" i="2"/>
  <c r="R856" i="2"/>
  <c r="R872" i="2"/>
  <c r="R888" i="2"/>
  <c r="R904" i="2"/>
  <c r="R920" i="2"/>
  <c r="R936" i="2"/>
  <c r="R946" i="2"/>
  <c r="R958" i="2"/>
  <c r="R968" i="2"/>
  <c r="R978" i="2"/>
  <c r="R990" i="2"/>
  <c r="R1000" i="2"/>
  <c r="R1010" i="2"/>
  <c r="R1022" i="2"/>
  <c r="R1032" i="2"/>
  <c r="R1042" i="2"/>
  <c r="R1054" i="2"/>
  <c r="R1064" i="2"/>
  <c r="R1074" i="2"/>
  <c r="R1086" i="2"/>
  <c r="R1096" i="2"/>
  <c r="R1106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15" i="2"/>
  <c r="R79" i="2"/>
  <c r="R143" i="2"/>
  <c r="R207" i="2"/>
  <c r="R271" i="2"/>
  <c r="R335" i="2"/>
  <c r="R389" i="2"/>
  <c r="R421" i="2"/>
  <c r="R453" i="2"/>
  <c r="R485" i="2"/>
  <c r="R517" i="2"/>
  <c r="R549" i="2"/>
  <c r="R581" i="2"/>
  <c r="R613" i="2"/>
  <c r="R645" i="2"/>
  <c r="R677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5" i="2"/>
  <c r="R921" i="2"/>
  <c r="R937" i="2"/>
  <c r="R949" i="2"/>
  <c r="R959" i="2"/>
  <c r="R969" i="2"/>
  <c r="R981" i="2"/>
  <c r="R991" i="2"/>
  <c r="R1001" i="2"/>
  <c r="R1013" i="2"/>
  <c r="R1023" i="2"/>
  <c r="R1033" i="2"/>
  <c r="R1045" i="2"/>
  <c r="R1055" i="2"/>
  <c r="R1065" i="2"/>
  <c r="R1077" i="2"/>
  <c r="R1087" i="2"/>
  <c r="R1097" i="2"/>
  <c r="R1109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887" i="2"/>
  <c r="R16" i="2"/>
  <c r="R80" i="2"/>
  <c r="R144" i="2"/>
  <c r="R208" i="2"/>
  <c r="R272" i="2"/>
  <c r="R336" i="2"/>
  <c r="R390" i="2"/>
  <c r="R422" i="2"/>
  <c r="R454" i="2"/>
  <c r="R486" i="2"/>
  <c r="R518" i="2"/>
  <c r="R550" i="2"/>
  <c r="R582" i="2"/>
  <c r="R614" i="2"/>
  <c r="R646" i="2"/>
  <c r="R678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6" i="2"/>
  <c r="R922" i="2"/>
  <c r="R938" i="2"/>
  <c r="R950" i="2"/>
  <c r="R960" i="2"/>
  <c r="R970" i="2"/>
  <c r="R982" i="2"/>
  <c r="R992" i="2"/>
  <c r="R1002" i="2"/>
  <c r="R1014" i="2"/>
  <c r="R1024" i="2"/>
  <c r="R1034" i="2"/>
  <c r="R1046" i="2"/>
  <c r="R1056" i="2"/>
  <c r="R1066" i="2"/>
  <c r="R1078" i="2"/>
  <c r="R1088" i="2"/>
  <c r="R1098" i="2"/>
  <c r="R1110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9" i="2"/>
  <c r="R103" i="2"/>
  <c r="R167" i="2"/>
  <c r="R231" i="2"/>
  <c r="R295" i="2"/>
  <c r="R359" i="2"/>
  <c r="R399" i="2"/>
  <c r="R431" i="2"/>
  <c r="R463" i="2"/>
  <c r="R495" i="2"/>
  <c r="R527" i="2"/>
  <c r="R559" i="2"/>
  <c r="R591" i="2"/>
  <c r="R623" i="2"/>
  <c r="R655" i="2"/>
  <c r="R687" i="2"/>
  <c r="R703" i="2"/>
  <c r="R719" i="2"/>
  <c r="R735" i="2"/>
  <c r="R751" i="2"/>
  <c r="R767" i="2"/>
  <c r="R783" i="2"/>
  <c r="R799" i="2"/>
  <c r="R815" i="2"/>
  <c r="R831" i="2"/>
  <c r="R847" i="2"/>
  <c r="R863" i="2"/>
  <c r="R879" i="2"/>
  <c r="R895" i="2"/>
  <c r="R911" i="2"/>
  <c r="R927" i="2"/>
  <c r="R941" i="2"/>
  <c r="R951" i="2"/>
  <c r="R961" i="2"/>
  <c r="R973" i="2"/>
  <c r="R983" i="2"/>
  <c r="R993" i="2"/>
  <c r="R1005" i="2"/>
  <c r="R1015" i="2"/>
  <c r="R1025" i="2"/>
  <c r="R1037" i="2"/>
  <c r="R1047" i="2"/>
  <c r="R1057" i="2"/>
  <c r="R1069" i="2"/>
  <c r="R1079" i="2"/>
  <c r="R1089" i="2"/>
  <c r="R1101" i="2"/>
  <c r="R1111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871" i="2"/>
  <c r="R40" i="2"/>
  <c r="R104" i="2"/>
  <c r="R168" i="2"/>
  <c r="R232" i="2"/>
  <c r="R296" i="2"/>
  <c r="R360" i="2"/>
  <c r="R400" i="2"/>
  <c r="R432" i="2"/>
  <c r="R464" i="2"/>
  <c r="R496" i="2"/>
  <c r="R528" i="2"/>
  <c r="R560" i="2"/>
  <c r="R592" i="2"/>
  <c r="R624" i="2"/>
  <c r="R656" i="2"/>
  <c r="R688" i="2"/>
  <c r="R704" i="2"/>
  <c r="R720" i="2"/>
  <c r="R736" i="2"/>
  <c r="R752" i="2"/>
  <c r="R768" i="2"/>
  <c r="R784" i="2"/>
  <c r="R800" i="2"/>
  <c r="R816" i="2"/>
  <c r="R832" i="2"/>
  <c r="R848" i="2"/>
  <c r="R864" i="2"/>
  <c r="R880" i="2"/>
  <c r="R896" i="2"/>
  <c r="R912" i="2"/>
  <c r="R928" i="2"/>
  <c r="R942" i="2"/>
  <c r="R952" i="2"/>
  <c r="R962" i="2"/>
  <c r="R974" i="2"/>
  <c r="R984" i="2"/>
  <c r="R994" i="2"/>
  <c r="R1006" i="2"/>
  <c r="R1016" i="2"/>
  <c r="R1026" i="2"/>
  <c r="R1038" i="2"/>
  <c r="R1048" i="2"/>
  <c r="R1058" i="2"/>
  <c r="R1070" i="2"/>
  <c r="R1080" i="2"/>
  <c r="R1090" i="2"/>
  <c r="R1102" i="2"/>
  <c r="R1112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855" i="2"/>
  <c r="R47" i="2"/>
  <c r="R111" i="2"/>
  <c r="R175" i="2"/>
  <c r="R239" i="2"/>
  <c r="R303" i="2"/>
  <c r="R367" i="2"/>
  <c r="R405" i="2"/>
  <c r="R437" i="2"/>
  <c r="R469" i="2"/>
  <c r="R501" i="2"/>
  <c r="R533" i="2"/>
  <c r="R565" i="2"/>
  <c r="R597" i="2"/>
  <c r="R629" i="2"/>
  <c r="R661" i="2"/>
  <c r="R689" i="2"/>
  <c r="R705" i="2"/>
  <c r="R721" i="2"/>
  <c r="R737" i="2"/>
  <c r="R753" i="2"/>
  <c r="R769" i="2"/>
  <c r="R785" i="2"/>
  <c r="R801" i="2"/>
  <c r="R817" i="2"/>
  <c r="R833" i="2"/>
  <c r="R849" i="2"/>
  <c r="R865" i="2"/>
  <c r="R881" i="2"/>
  <c r="R897" i="2"/>
  <c r="R913" i="2"/>
  <c r="R929" i="2"/>
  <c r="R943" i="2"/>
  <c r="R953" i="2"/>
  <c r="R965" i="2"/>
  <c r="R975" i="2"/>
  <c r="R985" i="2"/>
  <c r="R997" i="2"/>
  <c r="R1007" i="2"/>
  <c r="R1017" i="2"/>
  <c r="R1029" i="2"/>
  <c r="R1039" i="2"/>
  <c r="R1049" i="2"/>
  <c r="R1061" i="2"/>
  <c r="R1071" i="2"/>
  <c r="R1081" i="2"/>
  <c r="R1093" i="2"/>
  <c r="R1103" i="2"/>
  <c r="R1113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823" i="2"/>
  <c r="R48" i="2"/>
  <c r="R112" i="2"/>
  <c r="R176" i="2"/>
  <c r="R240" i="2"/>
  <c r="R304" i="2"/>
  <c r="R368" i="2"/>
  <c r="R406" i="2"/>
  <c r="R438" i="2"/>
  <c r="R470" i="2"/>
  <c r="R502" i="2"/>
  <c r="R534" i="2"/>
  <c r="R566" i="2"/>
  <c r="R598" i="2"/>
  <c r="R630" i="2"/>
  <c r="R662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8" i="2"/>
  <c r="R914" i="2"/>
  <c r="R930" i="2"/>
  <c r="R944" i="2"/>
  <c r="R954" i="2"/>
  <c r="R966" i="2"/>
  <c r="R976" i="2"/>
  <c r="R986" i="2"/>
  <c r="R998" i="2"/>
  <c r="R1008" i="2"/>
  <c r="R1018" i="2"/>
  <c r="R1030" i="2"/>
  <c r="R1040" i="2"/>
  <c r="R1050" i="2"/>
  <c r="R1062" i="2"/>
  <c r="R1072" i="2"/>
  <c r="R1082" i="2"/>
  <c r="R1094" i="2"/>
  <c r="R1104" i="2"/>
  <c r="R1114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807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667" i="2"/>
  <c r="Q675" i="2"/>
  <c r="Q68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532" i="2"/>
  <c r="Q540" i="2"/>
  <c r="Q548" i="2"/>
  <c r="Q556" i="2"/>
  <c r="Q564" i="2"/>
  <c r="Q572" i="2"/>
  <c r="Q580" i="2"/>
  <c r="Q588" i="2"/>
  <c r="Q596" i="2"/>
  <c r="Q604" i="2"/>
  <c r="Q612" i="2"/>
  <c r="Q620" i="2"/>
  <c r="Q628" i="2"/>
  <c r="Q636" i="2"/>
  <c r="Q644" i="2"/>
  <c r="Q652" i="2"/>
  <c r="Q660" i="2"/>
  <c r="Q668" i="2"/>
  <c r="Q676" i="2"/>
  <c r="Q684" i="2"/>
  <c r="Q7" i="2"/>
  <c r="Q17" i="2"/>
  <c r="Q29" i="2"/>
  <c r="Q39" i="2"/>
  <c r="Q49" i="2"/>
  <c r="Q61" i="2"/>
  <c r="Q71" i="2"/>
  <c r="Q81" i="2"/>
  <c r="Q93" i="2"/>
  <c r="Q103" i="2"/>
  <c r="Q113" i="2"/>
  <c r="Q125" i="2"/>
  <c r="Q135" i="2"/>
  <c r="Q145" i="2"/>
  <c r="Q157" i="2"/>
  <c r="Q167" i="2"/>
  <c r="Q177" i="2"/>
  <c r="Q189" i="2"/>
  <c r="Q199" i="2"/>
  <c r="Q209" i="2"/>
  <c r="Q221" i="2"/>
  <c r="Q231" i="2"/>
  <c r="Q241" i="2"/>
  <c r="Q253" i="2"/>
  <c r="Q263" i="2"/>
  <c r="Q273" i="2"/>
  <c r="Q285" i="2"/>
  <c r="Q295" i="2"/>
  <c r="Q305" i="2"/>
  <c r="Q317" i="2"/>
  <c r="Q327" i="2"/>
  <c r="Q337" i="2"/>
  <c r="Q349" i="2"/>
  <c r="Q359" i="2"/>
  <c r="Q369" i="2"/>
  <c r="Q381" i="2"/>
  <c r="Q391" i="2"/>
  <c r="Q401" i="2"/>
  <c r="Q413" i="2"/>
  <c r="Q423" i="2"/>
  <c r="Q433" i="2"/>
  <c r="Q445" i="2"/>
  <c r="Q455" i="2"/>
  <c r="Q465" i="2"/>
  <c r="Q477" i="2"/>
  <c r="Q487" i="2"/>
  <c r="Q497" i="2"/>
  <c r="Q509" i="2"/>
  <c r="Q519" i="2"/>
  <c r="Q529" i="2"/>
  <c r="Q541" i="2"/>
  <c r="Q551" i="2"/>
  <c r="Q561" i="2"/>
  <c r="Q573" i="2"/>
  <c r="Q583" i="2"/>
  <c r="Q593" i="2"/>
  <c r="Q605" i="2"/>
  <c r="Q615" i="2"/>
  <c r="Q625" i="2"/>
  <c r="Q637" i="2"/>
  <c r="Q647" i="2"/>
  <c r="Q657" i="2"/>
  <c r="Q669" i="2"/>
  <c r="Q679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" i="2"/>
  <c r="Q18" i="2"/>
  <c r="Q30" i="2"/>
  <c r="Q40" i="2"/>
  <c r="Q50" i="2"/>
  <c r="Q62" i="2"/>
  <c r="Q72" i="2"/>
  <c r="Q82" i="2"/>
  <c r="Q94" i="2"/>
  <c r="Q104" i="2"/>
  <c r="Q114" i="2"/>
  <c r="Q126" i="2"/>
  <c r="Q136" i="2"/>
  <c r="Q146" i="2"/>
  <c r="Q158" i="2"/>
  <c r="Q168" i="2"/>
  <c r="Q178" i="2"/>
  <c r="Q190" i="2"/>
  <c r="Q200" i="2"/>
  <c r="Q210" i="2"/>
  <c r="Q222" i="2"/>
  <c r="Q232" i="2"/>
  <c r="Q242" i="2"/>
  <c r="Q254" i="2"/>
  <c r="Q264" i="2"/>
  <c r="Q274" i="2"/>
  <c r="Q286" i="2"/>
  <c r="Q296" i="2"/>
  <c r="Q306" i="2"/>
  <c r="Q318" i="2"/>
  <c r="Q328" i="2"/>
  <c r="Q338" i="2"/>
  <c r="Q350" i="2"/>
  <c r="Q360" i="2"/>
  <c r="Q370" i="2"/>
  <c r="Q382" i="2"/>
  <c r="Q392" i="2"/>
  <c r="Q402" i="2"/>
  <c r="Q414" i="2"/>
  <c r="Q424" i="2"/>
  <c r="Q434" i="2"/>
  <c r="Q446" i="2"/>
  <c r="Q456" i="2"/>
  <c r="Q466" i="2"/>
  <c r="Q478" i="2"/>
  <c r="Q488" i="2"/>
  <c r="Q498" i="2"/>
  <c r="Q510" i="2"/>
  <c r="Q520" i="2"/>
  <c r="Q530" i="2"/>
  <c r="Q542" i="2"/>
  <c r="Q552" i="2"/>
  <c r="Q562" i="2"/>
  <c r="Q574" i="2"/>
  <c r="Q584" i="2"/>
  <c r="Q594" i="2"/>
  <c r="Q606" i="2"/>
  <c r="Q616" i="2"/>
  <c r="Q626" i="2"/>
  <c r="Q638" i="2"/>
  <c r="Q648" i="2"/>
  <c r="Q658" i="2"/>
  <c r="Q670" i="2"/>
  <c r="Q680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13" i="2"/>
  <c r="Q23" i="2"/>
  <c r="Q33" i="2"/>
  <c r="Q45" i="2"/>
  <c r="Q55" i="2"/>
  <c r="Q65" i="2"/>
  <c r="Q77" i="2"/>
  <c r="Q87" i="2"/>
  <c r="Q97" i="2"/>
  <c r="Q109" i="2"/>
  <c r="Q119" i="2"/>
  <c r="Q129" i="2"/>
  <c r="Q141" i="2"/>
  <c r="Q151" i="2"/>
  <c r="Q161" i="2"/>
  <c r="Q173" i="2"/>
  <c r="Q183" i="2"/>
  <c r="Q193" i="2"/>
  <c r="Q205" i="2"/>
  <c r="Q215" i="2"/>
  <c r="Q225" i="2"/>
  <c r="Q237" i="2"/>
  <c r="Q247" i="2"/>
  <c r="Q257" i="2"/>
  <c r="Q269" i="2"/>
  <c r="Q279" i="2"/>
  <c r="Q289" i="2"/>
  <c r="Q301" i="2"/>
  <c r="Q311" i="2"/>
  <c r="Q321" i="2"/>
  <c r="Q333" i="2"/>
  <c r="Q343" i="2"/>
  <c r="Q353" i="2"/>
  <c r="Q365" i="2"/>
  <c r="Q375" i="2"/>
  <c r="Q385" i="2"/>
  <c r="Q397" i="2"/>
  <c r="Q407" i="2"/>
  <c r="Q417" i="2"/>
  <c r="Q429" i="2"/>
  <c r="Q439" i="2"/>
  <c r="Q449" i="2"/>
  <c r="Q461" i="2"/>
  <c r="Q471" i="2"/>
  <c r="Q481" i="2"/>
  <c r="Q493" i="2"/>
  <c r="Q503" i="2"/>
  <c r="Q513" i="2"/>
  <c r="Q525" i="2"/>
  <c r="Q535" i="2"/>
  <c r="Q545" i="2"/>
  <c r="Q557" i="2"/>
  <c r="Q567" i="2"/>
  <c r="Q577" i="2"/>
  <c r="Q14" i="2"/>
  <c r="Q24" i="2"/>
  <c r="Q34" i="2"/>
  <c r="Q46" i="2"/>
  <c r="Q56" i="2"/>
  <c r="Q66" i="2"/>
  <c r="Q78" i="2"/>
  <c r="Q88" i="2"/>
  <c r="Q98" i="2"/>
  <c r="Q110" i="2"/>
  <c r="Q120" i="2"/>
  <c r="Q130" i="2"/>
  <c r="Q142" i="2"/>
  <c r="Q152" i="2"/>
  <c r="Q162" i="2"/>
  <c r="Q174" i="2"/>
  <c r="Q184" i="2"/>
  <c r="Q194" i="2"/>
  <c r="Q206" i="2"/>
  <c r="Q216" i="2"/>
  <c r="Q226" i="2"/>
  <c r="Q238" i="2"/>
  <c r="Q248" i="2"/>
  <c r="Q258" i="2"/>
  <c r="Q270" i="2"/>
  <c r="Q280" i="2"/>
  <c r="Q290" i="2"/>
  <c r="Q302" i="2"/>
  <c r="Q312" i="2"/>
  <c r="Q322" i="2"/>
  <c r="Q334" i="2"/>
  <c r="Q344" i="2"/>
  <c r="Q354" i="2"/>
  <c r="Q366" i="2"/>
  <c r="Q376" i="2"/>
  <c r="Q386" i="2"/>
  <c r="Q398" i="2"/>
  <c r="Q408" i="2"/>
  <c r="Q418" i="2"/>
  <c r="Q430" i="2"/>
  <c r="Q440" i="2"/>
  <c r="Q450" i="2"/>
  <c r="Q462" i="2"/>
  <c r="Q472" i="2"/>
  <c r="Q482" i="2"/>
  <c r="Q494" i="2"/>
  <c r="Q504" i="2"/>
  <c r="Q514" i="2"/>
  <c r="Q526" i="2"/>
  <c r="Q536" i="2"/>
  <c r="Q546" i="2"/>
  <c r="Q558" i="2"/>
  <c r="Q568" i="2"/>
  <c r="Q578" i="2"/>
  <c r="Q5" i="2"/>
  <c r="Q25" i="2"/>
  <c r="Q47" i="2"/>
  <c r="Q69" i="2"/>
  <c r="Q89" i="2"/>
  <c r="Q111" i="2"/>
  <c r="Q133" i="2"/>
  <c r="Q153" i="2"/>
  <c r="Q175" i="2"/>
  <c r="Q197" i="2"/>
  <c r="Q217" i="2"/>
  <c r="Q239" i="2"/>
  <c r="Q261" i="2"/>
  <c r="Q281" i="2"/>
  <c r="Q303" i="2"/>
  <c r="Q325" i="2"/>
  <c r="Q345" i="2"/>
  <c r="Q367" i="2"/>
  <c r="Q389" i="2"/>
  <c r="Q409" i="2"/>
  <c r="Q431" i="2"/>
  <c r="Q453" i="2"/>
  <c r="Q473" i="2"/>
  <c r="Q495" i="2"/>
  <c r="Q517" i="2"/>
  <c r="Q537" i="2"/>
  <c r="Q559" i="2"/>
  <c r="Q581" i="2"/>
  <c r="Q597" i="2"/>
  <c r="Q609" i="2"/>
  <c r="Q623" i="2"/>
  <c r="Q639" i="2"/>
  <c r="Q653" i="2"/>
  <c r="Q665" i="2"/>
  <c r="Q681" i="2"/>
  <c r="Q693" i="2"/>
  <c r="Q703" i="2"/>
  <c r="Q735" i="2"/>
  <c r="Q747" i="2"/>
  <c r="Q757" i="2"/>
  <c r="Q767" i="2"/>
  <c r="Q779" i="2"/>
  <c r="Q789" i="2"/>
  <c r="Q799" i="2"/>
  <c r="Q811" i="2"/>
  <c r="Q821" i="2"/>
  <c r="Q831" i="2"/>
  <c r="Q843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6" i="2"/>
  <c r="Q26" i="2"/>
  <c r="Q48" i="2"/>
  <c r="Q70" i="2"/>
  <c r="Q90" i="2"/>
  <c r="Q112" i="2"/>
  <c r="Q134" i="2"/>
  <c r="Q154" i="2"/>
  <c r="Q176" i="2"/>
  <c r="Q198" i="2"/>
  <c r="Q218" i="2"/>
  <c r="Q240" i="2"/>
  <c r="Q262" i="2"/>
  <c r="Q282" i="2"/>
  <c r="Q304" i="2"/>
  <c r="Q326" i="2"/>
  <c r="Q346" i="2"/>
  <c r="Q368" i="2"/>
  <c r="Q390" i="2"/>
  <c r="Q410" i="2"/>
  <c r="Q432" i="2"/>
  <c r="Q454" i="2"/>
  <c r="Q474" i="2"/>
  <c r="Q496" i="2"/>
  <c r="Q518" i="2"/>
  <c r="Q538" i="2"/>
  <c r="Q560" i="2"/>
  <c r="Q582" i="2"/>
  <c r="Q598" i="2"/>
  <c r="Q610" i="2"/>
  <c r="Q624" i="2"/>
  <c r="Q640" i="2"/>
  <c r="Q654" i="2"/>
  <c r="Q666" i="2"/>
  <c r="Q682" i="2"/>
  <c r="Q694" i="2"/>
  <c r="Q704" i="2"/>
  <c r="Q716" i="2"/>
  <c r="Q726" i="2"/>
  <c r="Q736" i="2"/>
  <c r="Q748" i="2"/>
  <c r="Q758" i="2"/>
  <c r="Q768" i="2"/>
  <c r="Q780" i="2"/>
  <c r="Q790" i="2"/>
  <c r="Q800" i="2"/>
  <c r="Q812" i="2"/>
  <c r="Q822" i="2"/>
  <c r="Q832" i="2"/>
  <c r="Q844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9" i="2"/>
  <c r="Q31" i="2"/>
  <c r="Q53" i="2"/>
  <c r="Q73" i="2"/>
  <c r="Q95" i="2"/>
  <c r="Q117" i="2"/>
  <c r="Q137" i="2"/>
  <c r="Q159" i="2"/>
  <c r="Q181" i="2"/>
  <c r="Q201" i="2"/>
  <c r="Q223" i="2"/>
  <c r="Q245" i="2"/>
  <c r="Q265" i="2"/>
  <c r="Q287" i="2"/>
  <c r="Q309" i="2"/>
  <c r="Q329" i="2"/>
  <c r="Q351" i="2"/>
  <c r="Q373" i="2"/>
  <c r="Q393" i="2"/>
  <c r="Q415" i="2"/>
  <c r="Q437" i="2"/>
  <c r="Q457" i="2"/>
  <c r="Q479" i="2"/>
  <c r="Q501" i="2"/>
  <c r="Q521" i="2"/>
  <c r="Q543" i="2"/>
  <c r="Q565" i="2"/>
  <c r="Q585" i="2"/>
  <c r="Q599" i="2"/>
  <c r="Q613" i="2"/>
  <c r="Q629" i="2"/>
  <c r="Q641" i="2"/>
  <c r="Q655" i="2"/>
  <c r="Q671" i="2"/>
  <c r="Q685" i="2"/>
  <c r="Q695" i="2"/>
  <c r="Q707" i="2"/>
  <c r="Q717" i="2"/>
  <c r="Q727" i="2"/>
  <c r="Q739" i="2"/>
  <c r="Q749" i="2"/>
  <c r="Q759" i="2"/>
  <c r="Q771" i="2"/>
  <c r="Q781" i="2"/>
  <c r="Q791" i="2"/>
  <c r="Q803" i="2"/>
  <c r="Q813" i="2"/>
  <c r="Q823" i="2"/>
  <c r="Q835" i="2"/>
  <c r="Q845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10" i="2"/>
  <c r="Q32" i="2"/>
  <c r="Q54" i="2"/>
  <c r="Q74" i="2"/>
  <c r="Q96" i="2"/>
  <c r="Q118" i="2"/>
  <c r="Q138" i="2"/>
  <c r="Q160" i="2"/>
  <c r="Q182" i="2"/>
  <c r="Q202" i="2"/>
  <c r="Q224" i="2"/>
  <c r="Q246" i="2"/>
  <c r="Q266" i="2"/>
  <c r="Q288" i="2"/>
  <c r="Q310" i="2"/>
  <c r="Q330" i="2"/>
  <c r="Q352" i="2"/>
  <c r="Q374" i="2"/>
  <c r="Q394" i="2"/>
  <c r="Q416" i="2"/>
  <c r="Q438" i="2"/>
  <c r="Q458" i="2"/>
  <c r="Q480" i="2"/>
  <c r="Q502" i="2"/>
  <c r="Q522" i="2"/>
  <c r="Q544" i="2"/>
  <c r="Q566" i="2"/>
  <c r="Q586" i="2"/>
  <c r="Q600" i="2"/>
  <c r="Q614" i="2"/>
  <c r="Q630" i="2"/>
  <c r="Q642" i="2"/>
  <c r="Q656" i="2"/>
  <c r="Q672" i="2"/>
  <c r="Q686" i="2"/>
  <c r="Q696" i="2"/>
  <c r="Q708" i="2"/>
  <c r="Q718" i="2"/>
  <c r="Q728" i="2"/>
  <c r="Q740" i="2"/>
  <c r="Q750" i="2"/>
  <c r="Q760" i="2"/>
  <c r="Q772" i="2"/>
  <c r="Q782" i="2"/>
  <c r="Q792" i="2"/>
  <c r="Q804" i="2"/>
  <c r="Q814" i="2"/>
  <c r="Q824" i="2"/>
  <c r="Q836" i="2"/>
  <c r="Q846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21" i="2"/>
  <c r="Q41" i="2"/>
  <c r="Q63" i="2"/>
  <c r="Q85" i="2"/>
  <c r="Q105" i="2"/>
  <c r="Q127" i="2"/>
  <c r="Q149" i="2"/>
  <c r="Q169" i="2"/>
  <c r="Q191" i="2"/>
  <c r="Q213" i="2"/>
  <c r="Q233" i="2"/>
  <c r="Q255" i="2"/>
  <c r="Q277" i="2"/>
  <c r="Q297" i="2"/>
  <c r="Q319" i="2"/>
  <c r="Q341" i="2"/>
  <c r="Q361" i="2"/>
  <c r="Q383" i="2"/>
  <c r="Q405" i="2"/>
  <c r="Q425" i="2"/>
  <c r="Q447" i="2"/>
  <c r="Q469" i="2"/>
  <c r="Q489" i="2"/>
  <c r="Q511" i="2"/>
  <c r="Q533" i="2"/>
  <c r="Q553" i="2"/>
  <c r="Q575" i="2"/>
  <c r="Q591" i="2"/>
  <c r="Q607" i="2"/>
  <c r="Q621" i="2"/>
  <c r="Q633" i="2"/>
  <c r="Q649" i="2"/>
  <c r="Q663" i="2"/>
  <c r="Q677" i="2"/>
  <c r="Q691" i="2"/>
  <c r="Q701" i="2"/>
  <c r="Q711" i="2"/>
  <c r="Q723" i="2"/>
  <c r="Q733" i="2"/>
  <c r="Q743" i="2"/>
  <c r="Q755" i="2"/>
  <c r="Q765" i="2"/>
  <c r="Q775" i="2"/>
  <c r="Q787" i="2"/>
  <c r="Q797" i="2"/>
  <c r="Q807" i="2"/>
  <c r="Q819" i="2"/>
  <c r="Q829" i="2"/>
  <c r="Q839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2" i="2"/>
  <c r="Q42" i="2"/>
  <c r="Q64" i="2"/>
  <c r="Q86" i="2"/>
  <c r="Q106" i="2"/>
  <c r="Q128" i="2"/>
  <c r="Q150" i="2"/>
  <c r="Q170" i="2"/>
  <c r="Q192" i="2"/>
  <c r="Q214" i="2"/>
  <c r="Q234" i="2"/>
  <c r="Q256" i="2"/>
  <c r="Q278" i="2"/>
  <c r="Q298" i="2"/>
  <c r="Q320" i="2"/>
  <c r="Q342" i="2"/>
  <c r="Q362" i="2"/>
  <c r="Q384" i="2"/>
  <c r="Q406" i="2"/>
  <c r="Q426" i="2"/>
  <c r="Q448" i="2"/>
  <c r="Q470" i="2"/>
  <c r="Q490" i="2"/>
  <c r="Q512" i="2"/>
  <c r="Q534" i="2"/>
  <c r="Q554" i="2"/>
  <c r="Q576" i="2"/>
  <c r="Q592" i="2"/>
  <c r="Q608" i="2"/>
  <c r="Q622" i="2"/>
  <c r="Q634" i="2"/>
  <c r="Q650" i="2"/>
  <c r="Q664" i="2"/>
  <c r="Q678" i="2"/>
  <c r="Q692" i="2"/>
  <c r="Q702" i="2"/>
  <c r="Q712" i="2"/>
  <c r="Q724" i="2"/>
  <c r="Q734" i="2"/>
  <c r="Q744" i="2"/>
  <c r="Q756" i="2"/>
  <c r="Q766" i="2"/>
  <c r="Q776" i="2"/>
  <c r="Q788" i="2"/>
  <c r="Q798" i="2"/>
  <c r="Q808" i="2"/>
  <c r="Q820" i="2"/>
  <c r="Q830" i="2"/>
  <c r="Q840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15" i="2"/>
  <c r="Q101" i="2"/>
  <c r="Q185" i="2"/>
  <c r="Q271" i="2"/>
  <c r="Q357" i="2"/>
  <c r="Q441" i="2"/>
  <c r="Q527" i="2"/>
  <c r="Q601" i="2"/>
  <c r="Q661" i="2"/>
  <c r="Q709" i="2"/>
  <c r="Q741" i="2"/>
  <c r="Q783" i="2"/>
  <c r="Q827" i="2"/>
  <c r="Q865" i="2"/>
  <c r="Q897" i="2"/>
  <c r="Q929" i="2"/>
  <c r="Q961" i="2"/>
  <c r="Q993" i="2"/>
  <c r="Q1025" i="2"/>
  <c r="Q1057" i="2"/>
  <c r="Q1089" i="2"/>
  <c r="Q1145" i="2"/>
  <c r="Q1177" i="2"/>
  <c r="Q1193" i="2"/>
  <c r="Q1209" i="2"/>
  <c r="Q1225" i="2"/>
  <c r="Q1241" i="2"/>
  <c r="Q1257" i="2"/>
  <c r="Q1097" i="2"/>
  <c r="Q16" i="2"/>
  <c r="Q102" i="2"/>
  <c r="Q186" i="2"/>
  <c r="Q272" i="2"/>
  <c r="Q358" i="2"/>
  <c r="Q442" i="2"/>
  <c r="Q528" i="2"/>
  <c r="Q602" i="2"/>
  <c r="Q662" i="2"/>
  <c r="Q710" i="2"/>
  <c r="Q742" i="2"/>
  <c r="Q784" i="2"/>
  <c r="Q828" i="2"/>
  <c r="Q866" i="2"/>
  <c r="Q898" i="2"/>
  <c r="Q930" i="2"/>
  <c r="Q962" i="2"/>
  <c r="Q994" i="2"/>
  <c r="Q1026" i="2"/>
  <c r="Q1058" i="2"/>
  <c r="Q1090" i="2"/>
  <c r="Q1122" i="2"/>
  <c r="Q1146" i="2"/>
  <c r="Q1162" i="2"/>
  <c r="Q1178" i="2"/>
  <c r="Q1194" i="2"/>
  <c r="Q1210" i="2"/>
  <c r="Q1226" i="2"/>
  <c r="Q1242" i="2"/>
  <c r="Q1258" i="2"/>
  <c r="V51" i="1" s="1"/>
  <c r="AC7" i="2" s="1"/>
  <c r="Q1065" i="2"/>
  <c r="Q37" i="2"/>
  <c r="Q121" i="2"/>
  <c r="Q207" i="2"/>
  <c r="Q293" i="2"/>
  <c r="Q377" i="2"/>
  <c r="Q463" i="2"/>
  <c r="Q549" i="2"/>
  <c r="Q617" i="2"/>
  <c r="Q673" i="2"/>
  <c r="Q715" i="2"/>
  <c r="Q751" i="2"/>
  <c r="Q795" i="2"/>
  <c r="Q837" i="2"/>
  <c r="Q873" i="2"/>
  <c r="Q905" i="2"/>
  <c r="Q937" i="2"/>
  <c r="Q969" i="2"/>
  <c r="Q1001" i="2"/>
  <c r="Q1033" i="2"/>
  <c r="Q1129" i="2"/>
  <c r="Q1149" i="2"/>
  <c r="Q1197" i="2"/>
  <c r="Q1213" i="2"/>
  <c r="Q1229" i="2"/>
  <c r="Q1245" i="2"/>
  <c r="Q38" i="2"/>
  <c r="Q122" i="2"/>
  <c r="Q208" i="2"/>
  <c r="Q294" i="2"/>
  <c r="Q378" i="2"/>
  <c r="Q464" i="2"/>
  <c r="Q550" i="2"/>
  <c r="Q618" i="2"/>
  <c r="Q674" i="2"/>
  <c r="Q719" i="2"/>
  <c r="Q752" i="2"/>
  <c r="Q796" i="2"/>
  <c r="Q838" i="2"/>
  <c r="Q874" i="2"/>
  <c r="Q906" i="2"/>
  <c r="Q938" i="2"/>
  <c r="Q970" i="2"/>
  <c r="Q1002" i="2"/>
  <c r="Q1034" i="2"/>
  <c r="Q1066" i="2"/>
  <c r="Q1098" i="2"/>
  <c r="Q1130" i="2"/>
  <c r="Q1150" i="2"/>
  <c r="Q1166" i="2"/>
  <c r="Q1182" i="2"/>
  <c r="Q1198" i="2"/>
  <c r="Q1214" i="2"/>
  <c r="Q1230" i="2"/>
  <c r="Q1246" i="2"/>
  <c r="Q57" i="2"/>
  <c r="Q143" i="2"/>
  <c r="Q229" i="2"/>
  <c r="Q313" i="2"/>
  <c r="Q399" i="2"/>
  <c r="Q485" i="2"/>
  <c r="Q569" i="2"/>
  <c r="Q631" i="2"/>
  <c r="Q687" i="2"/>
  <c r="Q720" i="2"/>
  <c r="Q763" i="2"/>
  <c r="Q805" i="2"/>
  <c r="Q847" i="2"/>
  <c r="Q881" i="2"/>
  <c r="Q913" i="2"/>
  <c r="Q945" i="2"/>
  <c r="Q977" i="2"/>
  <c r="Q1009" i="2"/>
  <c r="Q1041" i="2"/>
  <c r="Q1073" i="2"/>
  <c r="Q1105" i="2"/>
  <c r="Q1134" i="2"/>
  <c r="Q1153" i="2"/>
  <c r="Q1169" i="2"/>
  <c r="Q1185" i="2"/>
  <c r="Q1201" i="2"/>
  <c r="Q1217" i="2"/>
  <c r="Q1233" i="2"/>
  <c r="Q1249" i="2"/>
  <c r="Q58" i="2"/>
  <c r="Q144" i="2"/>
  <c r="Q230" i="2"/>
  <c r="Q314" i="2"/>
  <c r="Q400" i="2"/>
  <c r="Q486" i="2"/>
  <c r="Q570" i="2"/>
  <c r="Q632" i="2"/>
  <c r="Q688" i="2"/>
  <c r="Q725" i="2"/>
  <c r="Q764" i="2"/>
  <c r="Q806" i="2"/>
  <c r="Q848" i="2"/>
  <c r="Q882" i="2"/>
  <c r="Q914" i="2"/>
  <c r="Q946" i="2"/>
  <c r="Q978" i="2"/>
  <c r="Q1010" i="2"/>
  <c r="Q1042" i="2"/>
  <c r="Q1074" i="2"/>
  <c r="Q1106" i="2"/>
  <c r="Q1137" i="2"/>
  <c r="Q1154" i="2"/>
  <c r="Q1170" i="2"/>
  <c r="Q1186" i="2"/>
  <c r="Q1202" i="2"/>
  <c r="Q1218" i="2"/>
  <c r="Q1234" i="2"/>
  <c r="Q1250" i="2"/>
  <c r="Q79" i="2"/>
  <c r="Q165" i="2"/>
  <c r="Q249" i="2"/>
  <c r="Q335" i="2"/>
  <c r="Q421" i="2"/>
  <c r="Q505" i="2"/>
  <c r="Q589" i="2"/>
  <c r="Q645" i="2"/>
  <c r="Q699" i="2"/>
  <c r="Q731" i="2"/>
  <c r="Q773" i="2"/>
  <c r="Q815" i="2"/>
  <c r="Q857" i="2"/>
  <c r="Q889" i="2"/>
  <c r="Q921" i="2"/>
  <c r="Q953" i="2"/>
  <c r="Q985" i="2"/>
  <c r="Q1017" i="2"/>
  <c r="Q1049" i="2"/>
  <c r="Q1081" i="2"/>
  <c r="Q1113" i="2"/>
  <c r="Q1138" i="2"/>
  <c r="Q1157" i="2"/>
  <c r="Q1173" i="2"/>
  <c r="Q1189" i="2"/>
  <c r="Q1205" i="2"/>
  <c r="Q1221" i="2"/>
  <c r="Q1237" i="2"/>
  <c r="Q1253" i="2"/>
  <c r="Q1161" i="2"/>
  <c r="Q1181" i="2"/>
  <c r="Q80" i="2"/>
  <c r="Q166" i="2"/>
  <c r="Q250" i="2"/>
  <c r="Q336" i="2"/>
  <c r="Q422" i="2"/>
  <c r="Q506" i="2"/>
  <c r="Q590" i="2"/>
  <c r="Q646" i="2"/>
  <c r="Q700" i="2"/>
  <c r="Q732" i="2"/>
  <c r="Q774" i="2"/>
  <c r="Q816" i="2"/>
  <c r="Q858" i="2"/>
  <c r="Q890" i="2"/>
  <c r="Q922" i="2"/>
  <c r="Q954" i="2"/>
  <c r="Q986" i="2"/>
  <c r="Q1018" i="2"/>
  <c r="Q1050" i="2"/>
  <c r="Q1082" i="2"/>
  <c r="Q1114" i="2"/>
  <c r="Q1142" i="2"/>
  <c r="Q1158" i="2"/>
  <c r="Q1174" i="2"/>
  <c r="Q1190" i="2"/>
  <c r="Q1206" i="2"/>
  <c r="Q1222" i="2"/>
  <c r="Q1238" i="2"/>
  <c r="Q1254" i="2"/>
  <c r="Q1121" i="2"/>
  <c r="Q116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580" i="2"/>
  <c r="P588" i="2"/>
  <c r="P596" i="2"/>
  <c r="P604" i="2"/>
  <c r="P27" i="2"/>
  <c r="P91" i="2"/>
  <c r="P155" i="2"/>
  <c r="P219" i="2"/>
  <c r="P283" i="2"/>
  <c r="P347" i="2"/>
  <c r="P410" i="2"/>
  <c r="P442" i="2"/>
  <c r="P474" i="2"/>
  <c r="P506" i="2"/>
  <c r="P538" i="2"/>
  <c r="P570" i="2"/>
  <c r="P602" i="2"/>
  <c r="P626" i="2"/>
  <c r="P644" i="2"/>
  <c r="P667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35" i="2"/>
  <c r="P99" i="2"/>
  <c r="P163" i="2"/>
  <c r="P227" i="2"/>
  <c r="P291" i="2"/>
  <c r="P355" i="2"/>
  <c r="P411" i="2"/>
  <c r="P443" i="2"/>
  <c r="P475" i="2"/>
  <c r="P507" i="2"/>
  <c r="P539" i="2"/>
  <c r="P571" i="2"/>
  <c r="P603" i="2"/>
  <c r="P627" i="2"/>
  <c r="P650" i="2"/>
  <c r="P668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43" i="2"/>
  <c r="P107" i="2"/>
  <c r="P171" i="2"/>
  <c r="P235" i="2"/>
  <c r="P299" i="2"/>
  <c r="P363" i="2"/>
  <c r="P418" i="2"/>
  <c r="P450" i="2"/>
  <c r="P482" i="2"/>
  <c r="P514" i="2"/>
  <c r="P546" i="2"/>
  <c r="P578" i="2"/>
  <c r="P610" i="2"/>
  <c r="P628" i="2"/>
  <c r="P651" i="2"/>
  <c r="P672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51" i="2"/>
  <c r="P115" i="2"/>
  <c r="P179" i="2"/>
  <c r="P243" i="2"/>
  <c r="P307" i="2"/>
  <c r="P371" i="2"/>
  <c r="P419" i="2"/>
  <c r="P451" i="2"/>
  <c r="P483" i="2"/>
  <c r="P515" i="2"/>
  <c r="P547" i="2"/>
  <c r="P579" i="2"/>
  <c r="P611" i="2"/>
  <c r="P634" i="2"/>
  <c r="P652" i="2"/>
  <c r="P673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59" i="2"/>
  <c r="P67" i="2"/>
  <c r="P131" i="2"/>
  <c r="P195" i="2"/>
  <c r="P259" i="2"/>
  <c r="P323" i="2"/>
  <c r="P387" i="2"/>
  <c r="P427" i="2"/>
  <c r="P459" i="2"/>
  <c r="P491" i="2"/>
  <c r="P523" i="2"/>
  <c r="P555" i="2"/>
  <c r="P587" i="2"/>
  <c r="P618" i="2"/>
  <c r="P636" i="2"/>
  <c r="P659" i="2"/>
  <c r="P675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11" i="2"/>
  <c r="P203" i="2"/>
  <c r="P379" i="2"/>
  <c r="P467" i="2"/>
  <c r="P562" i="2"/>
  <c r="P635" i="2"/>
  <c r="P679" i="2"/>
  <c r="P702" i="2"/>
  <c r="P724" i="2"/>
  <c r="P743" i="2"/>
  <c r="P766" i="2"/>
  <c r="P788" i="2"/>
  <c r="P807" i="2"/>
  <c r="P830" i="2"/>
  <c r="P852" i="2"/>
  <c r="P869" i="2"/>
  <c r="P885" i="2"/>
  <c r="P901" i="2"/>
  <c r="P917" i="2"/>
  <c r="P933" i="2"/>
  <c r="P949" i="2"/>
  <c r="P965" i="2"/>
  <c r="P981" i="2"/>
  <c r="P997" i="2"/>
  <c r="P1013" i="2"/>
  <c r="P1029" i="2"/>
  <c r="P1045" i="2"/>
  <c r="P1061" i="2"/>
  <c r="P1077" i="2"/>
  <c r="P1093" i="2"/>
  <c r="P1108" i="2"/>
  <c r="P1117" i="2"/>
  <c r="P1126" i="2"/>
  <c r="P1135" i="2"/>
  <c r="P1145" i="2"/>
  <c r="P1154" i="2"/>
  <c r="P1163" i="2"/>
  <c r="P1172" i="2"/>
  <c r="P1181" i="2"/>
  <c r="P1190" i="2"/>
  <c r="P1199" i="2"/>
  <c r="P1209" i="2"/>
  <c r="P1218" i="2"/>
  <c r="P1227" i="2"/>
  <c r="P1235" i="2"/>
  <c r="P1243" i="2"/>
  <c r="P1251" i="2"/>
  <c r="P403" i="2"/>
  <c r="P1239" i="2"/>
  <c r="P19" i="2"/>
  <c r="P211" i="2"/>
  <c r="P395" i="2"/>
  <c r="P490" i="2"/>
  <c r="P563" i="2"/>
  <c r="P642" i="2"/>
  <c r="P684" i="2"/>
  <c r="P703" i="2"/>
  <c r="P726" i="2"/>
  <c r="P748" i="2"/>
  <c r="P767" i="2"/>
  <c r="P790" i="2"/>
  <c r="P812" i="2"/>
  <c r="P831" i="2"/>
  <c r="P854" i="2"/>
  <c r="P870" i="2"/>
  <c r="P886" i="2"/>
  <c r="P902" i="2"/>
  <c r="P918" i="2"/>
  <c r="P934" i="2"/>
  <c r="P950" i="2"/>
  <c r="P966" i="2"/>
  <c r="P982" i="2"/>
  <c r="P998" i="2"/>
  <c r="P1014" i="2"/>
  <c r="P1030" i="2"/>
  <c r="P1046" i="2"/>
  <c r="P1062" i="2"/>
  <c r="P1078" i="2"/>
  <c r="P1094" i="2"/>
  <c r="P1109" i="2"/>
  <c r="P1118" i="2"/>
  <c r="P1127" i="2"/>
  <c r="P1137" i="2"/>
  <c r="P1146" i="2"/>
  <c r="P1155" i="2"/>
  <c r="P1164" i="2"/>
  <c r="P1173" i="2"/>
  <c r="P1182" i="2"/>
  <c r="P1191" i="2"/>
  <c r="P1201" i="2"/>
  <c r="P1210" i="2"/>
  <c r="P1219" i="2"/>
  <c r="P1228" i="2"/>
  <c r="P1236" i="2"/>
  <c r="P1244" i="2"/>
  <c r="P1252" i="2"/>
  <c r="P251" i="2"/>
  <c r="P1231" i="2"/>
  <c r="P75" i="2"/>
  <c r="P498" i="2"/>
  <c r="P586" i="2"/>
  <c r="P643" i="2"/>
  <c r="P686" i="2"/>
  <c r="P708" i="2"/>
  <c r="P727" i="2"/>
  <c r="P750" i="2"/>
  <c r="P772" i="2"/>
  <c r="P791" i="2"/>
  <c r="P814" i="2"/>
  <c r="P836" i="2"/>
  <c r="P855" i="2"/>
  <c r="P871" i="2"/>
  <c r="P887" i="2"/>
  <c r="P903" i="2"/>
  <c r="P919" i="2"/>
  <c r="P935" i="2"/>
  <c r="P951" i="2"/>
  <c r="P999" i="2"/>
  <c r="P1015" i="2"/>
  <c r="P1031" i="2"/>
  <c r="P1047" i="2"/>
  <c r="P1063" i="2"/>
  <c r="P1079" i="2"/>
  <c r="P1095" i="2"/>
  <c r="P1110" i="2"/>
  <c r="P1119" i="2"/>
  <c r="P1129" i="2"/>
  <c r="P1138" i="2"/>
  <c r="P1147" i="2"/>
  <c r="P1156" i="2"/>
  <c r="P1165" i="2"/>
  <c r="P1174" i="2"/>
  <c r="P1183" i="2"/>
  <c r="P1193" i="2"/>
  <c r="P1202" i="2"/>
  <c r="P1211" i="2"/>
  <c r="P1220" i="2"/>
  <c r="P1229" i="2"/>
  <c r="P1237" i="2"/>
  <c r="P1245" i="2"/>
  <c r="P1253" i="2"/>
  <c r="P1222" i="2"/>
  <c r="P83" i="2"/>
  <c r="P267" i="2"/>
  <c r="P426" i="2"/>
  <c r="P499" i="2"/>
  <c r="P594" i="2"/>
  <c r="P658" i="2"/>
  <c r="P687" i="2"/>
  <c r="P710" i="2"/>
  <c r="P732" i="2"/>
  <c r="P751" i="2"/>
  <c r="P774" i="2"/>
  <c r="P796" i="2"/>
  <c r="P815" i="2"/>
  <c r="P838" i="2"/>
  <c r="P860" i="2"/>
  <c r="P876" i="2"/>
  <c r="P892" i="2"/>
  <c r="P908" i="2"/>
  <c r="P924" i="2"/>
  <c r="P940" i="2"/>
  <c r="P956" i="2"/>
  <c r="P972" i="2"/>
  <c r="P988" i="2"/>
  <c r="P1004" i="2"/>
  <c r="P1020" i="2"/>
  <c r="P1036" i="2"/>
  <c r="P1052" i="2"/>
  <c r="P1068" i="2"/>
  <c r="P1084" i="2"/>
  <c r="P1100" i="2"/>
  <c r="P1111" i="2"/>
  <c r="P1121" i="2"/>
  <c r="P1130" i="2"/>
  <c r="P1139" i="2"/>
  <c r="P1148" i="2"/>
  <c r="P1157" i="2"/>
  <c r="P1166" i="2"/>
  <c r="P1175" i="2"/>
  <c r="P1185" i="2"/>
  <c r="P1194" i="2"/>
  <c r="P1203" i="2"/>
  <c r="P1212" i="2"/>
  <c r="P1221" i="2"/>
  <c r="P1230" i="2"/>
  <c r="P1238" i="2"/>
  <c r="P1246" i="2"/>
  <c r="P1254" i="2"/>
  <c r="P1213" i="2"/>
  <c r="P123" i="2"/>
  <c r="P275" i="2"/>
  <c r="P434" i="2"/>
  <c r="P522" i="2"/>
  <c r="P595" i="2"/>
  <c r="P660" i="2"/>
  <c r="P692" i="2"/>
  <c r="P711" i="2"/>
  <c r="P734" i="2"/>
  <c r="P756" i="2"/>
  <c r="P775" i="2"/>
  <c r="P798" i="2"/>
  <c r="P820" i="2"/>
  <c r="P839" i="2"/>
  <c r="P861" i="2"/>
  <c r="P877" i="2"/>
  <c r="P893" i="2"/>
  <c r="P909" i="2"/>
  <c r="P925" i="2"/>
  <c r="P941" i="2"/>
  <c r="P957" i="2"/>
  <c r="P973" i="2"/>
  <c r="P989" i="2"/>
  <c r="P1005" i="2"/>
  <c r="P1021" i="2"/>
  <c r="P1037" i="2"/>
  <c r="P1053" i="2"/>
  <c r="P1069" i="2"/>
  <c r="P1085" i="2"/>
  <c r="P1101" i="2"/>
  <c r="P1113" i="2"/>
  <c r="P1122" i="2"/>
  <c r="P1131" i="2"/>
  <c r="P1140" i="2"/>
  <c r="P1149" i="2"/>
  <c r="P1158" i="2"/>
  <c r="P1167" i="2"/>
  <c r="P1177" i="2"/>
  <c r="P1186" i="2"/>
  <c r="P1195" i="2"/>
  <c r="P1204" i="2"/>
  <c r="P1247" i="2"/>
  <c r="P1255" i="2"/>
  <c r="P139" i="2"/>
  <c r="P315" i="2"/>
  <c r="P435" i="2"/>
  <c r="P530" i="2"/>
  <c r="P612" i="2"/>
  <c r="P666" i="2"/>
  <c r="P694" i="2"/>
  <c r="P716" i="2"/>
  <c r="P735" i="2"/>
  <c r="P758" i="2"/>
  <c r="P780" i="2"/>
  <c r="P799" i="2"/>
  <c r="P822" i="2"/>
  <c r="P844" i="2"/>
  <c r="P862" i="2"/>
  <c r="P878" i="2"/>
  <c r="P894" i="2"/>
  <c r="P910" i="2"/>
  <c r="P926" i="2"/>
  <c r="P942" i="2"/>
  <c r="P958" i="2"/>
  <c r="P974" i="2"/>
  <c r="P990" i="2"/>
  <c r="P1006" i="2"/>
  <c r="P1022" i="2"/>
  <c r="P1038" i="2"/>
  <c r="P1054" i="2"/>
  <c r="P1070" i="2"/>
  <c r="P1086" i="2"/>
  <c r="P1102" i="2"/>
  <c r="P1114" i="2"/>
  <c r="P1123" i="2"/>
  <c r="P1132" i="2"/>
  <c r="P1141" i="2"/>
  <c r="P1150" i="2"/>
  <c r="P1159" i="2"/>
  <c r="P1169" i="2"/>
  <c r="P1178" i="2"/>
  <c r="P1187" i="2"/>
  <c r="P1196" i="2"/>
  <c r="P1205" i="2"/>
  <c r="P1214" i="2"/>
  <c r="P1223" i="2"/>
  <c r="P1232" i="2"/>
  <c r="P1240" i="2"/>
  <c r="P1248" i="2"/>
  <c r="P1256" i="2"/>
  <c r="P147" i="2"/>
  <c r="P331" i="2"/>
  <c r="P458" i="2"/>
  <c r="P531" i="2"/>
  <c r="P619" i="2"/>
  <c r="P674" i="2"/>
  <c r="P695" i="2"/>
  <c r="P718" i="2"/>
  <c r="P740" i="2"/>
  <c r="P759" i="2"/>
  <c r="P782" i="2"/>
  <c r="P804" i="2"/>
  <c r="P823" i="2"/>
  <c r="P846" i="2"/>
  <c r="P863" i="2"/>
  <c r="P879" i="2"/>
  <c r="P895" i="2"/>
  <c r="P911" i="2"/>
  <c r="P927" i="2"/>
  <c r="P943" i="2"/>
  <c r="P959" i="2"/>
  <c r="P975" i="2"/>
  <c r="P991" i="2"/>
  <c r="P1007" i="2"/>
  <c r="P1023" i="2"/>
  <c r="P1039" i="2"/>
  <c r="P1055" i="2"/>
  <c r="P1071" i="2"/>
  <c r="P1087" i="2"/>
  <c r="P1103" i="2"/>
  <c r="P1115" i="2"/>
  <c r="P1124" i="2"/>
  <c r="P1133" i="2"/>
  <c r="P1142" i="2"/>
  <c r="P1151" i="2"/>
  <c r="P1161" i="2"/>
  <c r="P1170" i="2"/>
  <c r="P1179" i="2"/>
  <c r="P1188" i="2"/>
  <c r="P1197" i="2"/>
  <c r="P1206" i="2"/>
  <c r="P1215" i="2"/>
  <c r="P1225" i="2"/>
  <c r="P1233" i="2"/>
  <c r="P1241" i="2"/>
  <c r="P1249" i="2"/>
  <c r="P1257" i="2"/>
  <c r="P983" i="2"/>
  <c r="P187" i="2"/>
  <c r="P339" i="2"/>
  <c r="P466" i="2"/>
  <c r="P554" i="2"/>
  <c r="P620" i="2"/>
  <c r="P676" i="2"/>
  <c r="P700" i="2"/>
  <c r="P719" i="2"/>
  <c r="P742" i="2"/>
  <c r="P764" i="2"/>
  <c r="P783" i="2"/>
  <c r="P806" i="2"/>
  <c r="P828" i="2"/>
  <c r="P847" i="2"/>
  <c r="P868" i="2"/>
  <c r="P884" i="2"/>
  <c r="P900" i="2"/>
  <c r="P916" i="2"/>
  <c r="P932" i="2"/>
  <c r="P948" i="2"/>
  <c r="P964" i="2"/>
  <c r="P980" i="2"/>
  <c r="P996" i="2"/>
  <c r="P1012" i="2"/>
  <c r="P1028" i="2"/>
  <c r="P1044" i="2"/>
  <c r="P1060" i="2"/>
  <c r="P1076" i="2"/>
  <c r="P1092" i="2"/>
  <c r="P1105" i="2"/>
  <c r="P1116" i="2"/>
  <c r="P1125" i="2"/>
  <c r="P1134" i="2"/>
  <c r="P1143" i="2"/>
  <c r="P1153" i="2"/>
  <c r="P1162" i="2"/>
  <c r="P1171" i="2"/>
  <c r="P1180" i="2"/>
  <c r="P1189" i="2"/>
  <c r="P1198" i="2"/>
  <c r="P1207" i="2"/>
  <c r="P1217" i="2"/>
  <c r="P1226" i="2"/>
  <c r="P1234" i="2"/>
  <c r="P1242" i="2"/>
  <c r="P1250" i="2"/>
  <c r="P1258" i="2"/>
  <c r="V50" i="1" s="1"/>
  <c r="AC6" i="2" s="1"/>
  <c r="P967" i="2"/>
  <c r="I12" i="1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8" i="2"/>
  <c r="O34" i="2"/>
  <c r="O50" i="2"/>
  <c r="O66" i="2"/>
  <c r="O82" i="2"/>
  <c r="O98" i="2"/>
  <c r="O114" i="2"/>
  <c r="O130" i="2"/>
  <c r="O146" i="2"/>
  <c r="O162" i="2"/>
  <c r="O178" i="2"/>
  <c r="O194" i="2"/>
  <c r="O210" i="2"/>
  <c r="O226" i="2"/>
  <c r="O242" i="2"/>
  <c r="O258" i="2"/>
  <c r="O274" i="2"/>
  <c r="O290" i="2"/>
  <c r="O306" i="2"/>
  <c r="O322" i="2"/>
  <c r="O338" i="2"/>
  <c r="O354" i="2"/>
  <c r="O367" i="2"/>
  <c r="O378" i="2"/>
  <c r="O389" i="2"/>
  <c r="O399" i="2"/>
  <c r="O410" i="2"/>
  <c r="O421" i="2"/>
  <c r="O431" i="2"/>
  <c r="O442" i="2"/>
  <c r="O453" i="2"/>
  <c r="O463" i="2"/>
  <c r="O474" i="2"/>
  <c r="O485" i="2"/>
  <c r="O495" i="2"/>
  <c r="O506" i="2"/>
  <c r="O517" i="2"/>
  <c r="O527" i="2"/>
  <c r="O538" i="2"/>
  <c r="O549" i="2"/>
  <c r="O559" i="2"/>
  <c r="O570" i="2"/>
  <c r="O581" i="2"/>
  <c r="O591" i="2"/>
  <c r="O602" i="2"/>
  <c r="O613" i="2"/>
  <c r="O623" i="2"/>
  <c r="O634" i="2"/>
  <c r="O645" i="2"/>
  <c r="O655" i="2"/>
  <c r="O666" i="2"/>
  <c r="O677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19" i="2"/>
  <c r="O35" i="2"/>
  <c r="O51" i="2"/>
  <c r="O67" i="2"/>
  <c r="O83" i="2"/>
  <c r="O99" i="2"/>
  <c r="O115" i="2"/>
  <c r="O131" i="2"/>
  <c r="O147" i="2"/>
  <c r="O163" i="2"/>
  <c r="O179" i="2"/>
  <c r="O195" i="2"/>
  <c r="O211" i="2"/>
  <c r="O227" i="2"/>
  <c r="O243" i="2"/>
  <c r="O259" i="2"/>
  <c r="O275" i="2"/>
  <c r="O291" i="2"/>
  <c r="O307" i="2"/>
  <c r="O323" i="2"/>
  <c r="O339" i="2"/>
  <c r="O355" i="2"/>
  <c r="O368" i="2"/>
  <c r="O379" i="2"/>
  <c r="O390" i="2"/>
  <c r="O400" i="2"/>
  <c r="O411" i="2"/>
  <c r="O422" i="2"/>
  <c r="O432" i="2"/>
  <c r="O443" i="2"/>
  <c r="O454" i="2"/>
  <c r="O464" i="2"/>
  <c r="O475" i="2"/>
  <c r="O486" i="2"/>
  <c r="O496" i="2"/>
  <c r="O507" i="2"/>
  <c r="O518" i="2"/>
  <c r="O528" i="2"/>
  <c r="O539" i="2"/>
  <c r="O550" i="2"/>
  <c r="O560" i="2"/>
  <c r="O571" i="2"/>
  <c r="O582" i="2"/>
  <c r="O592" i="2"/>
  <c r="O603" i="2"/>
  <c r="O614" i="2"/>
  <c r="O624" i="2"/>
  <c r="O635" i="2"/>
  <c r="O646" i="2"/>
  <c r="O656" i="2"/>
  <c r="O667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7" i="2"/>
  <c r="O26" i="2"/>
  <c r="O47" i="2"/>
  <c r="O71" i="2"/>
  <c r="O90" i="2"/>
  <c r="O111" i="2"/>
  <c r="O135" i="2"/>
  <c r="O154" i="2"/>
  <c r="O175" i="2"/>
  <c r="O199" i="2"/>
  <c r="O218" i="2"/>
  <c r="O239" i="2"/>
  <c r="O263" i="2"/>
  <c r="O282" i="2"/>
  <c r="O303" i="2"/>
  <c r="O327" i="2"/>
  <c r="O346" i="2"/>
  <c r="O365" i="2"/>
  <c r="O381" i="2"/>
  <c r="O394" i="2"/>
  <c r="O407" i="2"/>
  <c r="O423" i="2"/>
  <c r="O437" i="2"/>
  <c r="O450" i="2"/>
  <c r="O466" i="2"/>
  <c r="O479" i="2"/>
  <c r="O493" i="2"/>
  <c r="O509" i="2"/>
  <c r="O522" i="2"/>
  <c r="O535" i="2"/>
  <c r="O551" i="2"/>
  <c r="O565" i="2"/>
  <c r="O578" i="2"/>
  <c r="O594" i="2"/>
  <c r="O607" i="2"/>
  <c r="O621" i="2"/>
  <c r="O637" i="2"/>
  <c r="O650" i="2"/>
  <c r="O663" i="2"/>
  <c r="O679" i="2"/>
  <c r="O691" i="2"/>
  <c r="O701" i="2"/>
  <c r="O713" i="2"/>
  <c r="O723" i="2"/>
  <c r="O733" i="2"/>
  <c r="O745" i="2"/>
  <c r="O755" i="2"/>
  <c r="O765" i="2"/>
  <c r="O777" i="2"/>
  <c r="O787" i="2"/>
  <c r="O797" i="2"/>
  <c r="O809" i="2"/>
  <c r="O819" i="2"/>
  <c r="O829" i="2"/>
  <c r="O841" i="2"/>
  <c r="O851" i="2"/>
  <c r="O861" i="2"/>
  <c r="O873" i="2"/>
  <c r="O883" i="2"/>
  <c r="O893" i="2"/>
  <c r="O905" i="2"/>
  <c r="O915" i="2"/>
  <c r="O925" i="2"/>
  <c r="O937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8" i="2"/>
  <c r="O27" i="2"/>
  <c r="O48" i="2"/>
  <c r="O72" i="2"/>
  <c r="O91" i="2"/>
  <c r="O112" i="2"/>
  <c r="O136" i="2"/>
  <c r="O155" i="2"/>
  <c r="O176" i="2"/>
  <c r="O200" i="2"/>
  <c r="O219" i="2"/>
  <c r="O240" i="2"/>
  <c r="O264" i="2"/>
  <c r="O283" i="2"/>
  <c r="O304" i="2"/>
  <c r="O328" i="2"/>
  <c r="O347" i="2"/>
  <c r="O366" i="2"/>
  <c r="O382" i="2"/>
  <c r="O395" i="2"/>
  <c r="O408" i="2"/>
  <c r="O424" i="2"/>
  <c r="O438" i="2"/>
  <c r="O451" i="2"/>
  <c r="O467" i="2"/>
  <c r="O480" i="2"/>
  <c r="O494" i="2"/>
  <c r="O510" i="2"/>
  <c r="O523" i="2"/>
  <c r="O536" i="2"/>
  <c r="O552" i="2"/>
  <c r="O566" i="2"/>
  <c r="O579" i="2"/>
  <c r="O595" i="2"/>
  <c r="O608" i="2"/>
  <c r="O622" i="2"/>
  <c r="O638" i="2"/>
  <c r="O651" i="2"/>
  <c r="O664" i="2"/>
  <c r="O680" i="2"/>
  <c r="O692" i="2"/>
  <c r="O702" i="2"/>
  <c r="O714" i="2"/>
  <c r="O724" i="2"/>
  <c r="O734" i="2"/>
  <c r="O746" i="2"/>
  <c r="O756" i="2"/>
  <c r="O766" i="2"/>
  <c r="O778" i="2"/>
  <c r="O788" i="2"/>
  <c r="O798" i="2"/>
  <c r="O810" i="2"/>
  <c r="O820" i="2"/>
  <c r="O830" i="2"/>
  <c r="O842" i="2"/>
  <c r="O852" i="2"/>
  <c r="O862" i="2"/>
  <c r="O874" i="2"/>
  <c r="O884" i="2"/>
  <c r="O894" i="2"/>
  <c r="O906" i="2"/>
  <c r="O916" i="2"/>
  <c r="O926" i="2"/>
  <c r="O938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23" i="2"/>
  <c r="O42" i="2"/>
  <c r="O63" i="2"/>
  <c r="O87" i="2"/>
  <c r="O106" i="2"/>
  <c r="O127" i="2"/>
  <c r="O151" i="2"/>
  <c r="O170" i="2"/>
  <c r="O191" i="2"/>
  <c r="O215" i="2"/>
  <c r="O234" i="2"/>
  <c r="O255" i="2"/>
  <c r="O279" i="2"/>
  <c r="O298" i="2"/>
  <c r="O319" i="2"/>
  <c r="O343" i="2"/>
  <c r="O362" i="2"/>
  <c r="O375" i="2"/>
  <c r="O391" i="2"/>
  <c r="O405" i="2"/>
  <c r="O418" i="2"/>
  <c r="O434" i="2"/>
  <c r="O447" i="2"/>
  <c r="O461" i="2"/>
  <c r="O477" i="2"/>
  <c r="O490" i="2"/>
  <c r="O503" i="2"/>
  <c r="O519" i="2"/>
  <c r="O533" i="2"/>
  <c r="O546" i="2"/>
  <c r="O562" i="2"/>
  <c r="O575" i="2"/>
  <c r="O589" i="2"/>
  <c r="O605" i="2"/>
  <c r="O618" i="2"/>
  <c r="O631" i="2"/>
  <c r="O647" i="2"/>
  <c r="O661" i="2"/>
  <c r="O674" i="2"/>
  <c r="O689" i="2"/>
  <c r="O699" i="2"/>
  <c r="O709" i="2"/>
  <c r="O721" i="2"/>
  <c r="O731" i="2"/>
  <c r="O741" i="2"/>
  <c r="O753" i="2"/>
  <c r="O763" i="2"/>
  <c r="O773" i="2"/>
  <c r="O785" i="2"/>
  <c r="O795" i="2"/>
  <c r="O805" i="2"/>
  <c r="O817" i="2"/>
  <c r="O827" i="2"/>
  <c r="O837" i="2"/>
  <c r="O849" i="2"/>
  <c r="O859" i="2"/>
  <c r="O869" i="2"/>
  <c r="O881" i="2"/>
  <c r="O891" i="2"/>
  <c r="O901" i="2"/>
  <c r="O913" i="2"/>
  <c r="O923" i="2"/>
  <c r="O933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4" i="2"/>
  <c r="O43" i="2"/>
  <c r="O64" i="2"/>
  <c r="O88" i="2"/>
  <c r="O107" i="2"/>
  <c r="O128" i="2"/>
  <c r="O152" i="2"/>
  <c r="O171" i="2"/>
  <c r="O192" i="2"/>
  <c r="O216" i="2"/>
  <c r="O235" i="2"/>
  <c r="O256" i="2"/>
  <c r="O280" i="2"/>
  <c r="O299" i="2"/>
  <c r="O320" i="2"/>
  <c r="O344" i="2"/>
  <c r="O363" i="2"/>
  <c r="O376" i="2"/>
  <c r="O392" i="2"/>
  <c r="O406" i="2"/>
  <c r="O419" i="2"/>
  <c r="O435" i="2"/>
  <c r="O448" i="2"/>
  <c r="O462" i="2"/>
  <c r="O478" i="2"/>
  <c r="O491" i="2"/>
  <c r="O504" i="2"/>
  <c r="O520" i="2"/>
  <c r="O534" i="2"/>
  <c r="O547" i="2"/>
  <c r="O563" i="2"/>
  <c r="O576" i="2"/>
  <c r="O590" i="2"/>
  <c r="O606" i="2"/>
  <c r="O619" i="2"/>
  <c r="O632" i="2"/>
  <c r="O648" i="2"/>
  <c r="O662" i="2"/>
  <c r="O675" i="2"/>
  <c r="O690" i="2"/>
  <c r="O700" i="2"/>
  <c r="O710" i="2"/>
  <c r="O722" i="2"/>
  <c r="O732" i="2"/>
  <c r="O742" i="2"/>
  <c r="O754" i="2"/>
  <c r="O764" i="2"/>
  <c r="O774" i="2"/>
  <c r="O786" i="2"/>
  <c r="O796" i="2"/>
  <c r="O806" i="2"/>
  <c r="O818" i="2"/>
  <c r="O828" i="2"/>
  <c r="O838" i="2"/>
  <c r="O850" i="2"/>
  <c r="O860" i="2"/>
  <c r="O870" i="2"/>
  <c r="O882" i="2"/>
  <c r="O892" i="2"/>
  <c r="O902" i="2"/>
  <c r="O914" i="2"/>
  <c r="O924" i="2"/>
  <c r="O934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56" i="2"/>
  <c r="O96" i="2"/>
  <c r="O139" i="2"/>
  <c r="O184" i="2"/>
  <c r="O224" i="2"/>
  <c r="O267" i="2"/>
  <c r="O312" i="2"/>
  <c r="O352" i="2"/>
  <c r="O414" i="2"/>
  <c r="O470" i="2"/>
  <c r="O499" i="2"/>
  <c r="O526" i="2"/>
  <c r="O555" i="2"/>
  <c r="O584" i="2"/>
  <c r="O611" i="2"/>
  <c r="O640" i="2"/>
  <c r="O670" i="2"/>
  <c r="O694" i="2"/>
  <c r="O716" i="2"/>
  <c r="O738" i="2"/>
  <c r="O758" i="2"/>
  <c r="O780" i="2"/>
  <c r="O802" i="2"/>
  <c r="O822" i="2"/>
  <c r="O844" i="2"/>
  <c r="O866" i="2"/>
  <c r="O886" i="2"/>
  <c r="O908" i="2"/>
  <c r="O930" i="2"/>
  <c r="O950" i="2"/>
  <c r="O966" i="2"/>
  <c r="O982" i="2"/>
  <c r="O998" i="2"/>
  <c r="O1014" i="2"/>
  <c r="O1030" i="2"/>
  <c r="O1046" i="2"/>
  <c r="O1062" i="2"/>
  <c r="O1078" i="2"/>
  <c r="O1094" i="2"/>
  <c r="O1110" i="2"/>
  <c r="O1120" i="2"/>
  <c r="O1132" i="2"/>
  <c r="O1142" i="2"/>
  <c r="O1152" i="2"/>
  <c r="O1164" i="2"/>
  <c r="O1174" i="2"/>
  <c r="O1184" i="2"/>
  <c r="O1196" i="2"/>
  <c r="O1206" i="2"/>
  <c r="O1216" i="2"/>
  <c r="O1228" i="2"/>
  <c r="O1238" i="2"/>
  <c r="O1248" i="2"/>
  <c r="O15" i="2"/>
  <c r="O58" i="2"/>
  <c r="O103" i="2"/>
  <c r="O143" i="2"/>
  <c r="O186" i="2"/>
  <c r="O231" i="2"/>
  <c r="O271" i="2"/>
  <c r="O314" i="2"/>
  <c r="O359" i="2"/>
  <c r="O386" i="2"/>
  <c r="O415" i="2"/>
  <c r="O445" i="2"/>
  <c r="O471" i="2"/>
  <c r="O501" i="2"/>
  <c r="O530" i="2"/>
  <c r="O557" i="2"/>
  <c r="O586" i="2"/>
  <c r="O615" i="2"/>
  <c r="O642" i="2"/>
  <c r="O671" i="2"/>
  <c r="O697" i="2"/>
  <c r="O717" i="2"/>
  <c r="O739" i="2"/>
  <c r="O761" i="2"/>
  <c r="O781" i="2"/>
  <c r="O803" i="2"/>
  <c r="O825" i="2"/>
  <c r="O845" i="2"/>
  <c r="O867" i="2"/>
  <c r="O889" i="2"/>
  <c r="O909" i="2"/>
  <c r="O931" i="2"/>
  <c r="O951" i="2"/>
  <c r="O967" i="2"/>
  <c r="O983" i="2"/>
  <c r="O999" i="2"/>
  <c r="O1015" i="2"/>
  <c r="O1031" i="2"/>
  <c r="O1047" i="2"/>
  <c r="O1063" i="2"/>
  <c r="O1079" i="2"/>
  <c r="O1095" i="2"/>
  <c r="O1111" i="2"/>
  <c r="O1123" i="2"/>
  <c r="O1133" i="2"/>
  <c r="O1143" i="2"/>
  <c r="O1155" i="2"/>
  <c r="O1165" i="2"/>
  <c r="O1175" i="2"/>
  <c r="O1187" i="2"/>
  <c r="O1197" i="2"/>
  <c r="O1207" i="2"/>
  <c r="O1219" i="2"/>
  <c r="O1229" i="2"/>
  <c r="O1239" i="2"/>
  <c r="O1251" i="2"/>
  <c r="O1135" i="2"/>
  <c r="O16" i="2"/>
  <c r="O59" i="2"/>
  <c r="O104" i="2"/>
  <c r="O144" i="2"/>
  <c r="O187" i="2"/>
  <c r="O232" i="2"/>
  <c r="O272" i="2"/>
  <c r="O315" i="2"/>
  <c r="O360" i="2"/>
  <c r="O387" i="2"/>
  <c r="O416" i="2"/>
  <c r="O446" i="2"/>
  <c r="O472" i="2"/>
  <c r="O502" i="2"/>
  <c r="O531" i="2"/>
  <c r="O558" i="2"/>
  <c r="O587" i="2"/>
  <c r="O616" i="2"/>
  <c r="O643" i="2"/>
  <c r="O672" i="2"/>
  <c r="O698" i="2"/>
  <c r="O718" i="2"/>
  <c r="O740" i="2"/>
  <c r="O762" i="2"/>
  <c r="O782" i="2"/>
  <c r="O804" i="2"/>
  <c r="O826" i="2"/>
  <c r="O846" i="2"/>
  <c r="O868" i="2"/>
  <c r="O890" i="2"/>
  <c r="O910" i="2"/>
  <c r="O932" i="2"/>
  <c r="O952" i="2"/>
  <c r="O968" i="2"/>
  <c r="O984" i="2"/>
  <c r="O1000" i="2"/>
  <c r="O1016" i="2"/>
  <c r="O1032" i="2"/>
  <c r="O1048" i="2"/>
  <c r="O1064" i="2"/>
  <c r="O1080" i="2"/>
  <c r="O1096" i="2"/>
  <c r="O1112" i="2"/>
  <c r="O1124" i="2"/>
  <c r="O1134" i="2"/>
  <c r="O1144" i="2"/>
  <c r="O1156" i="2"/>
  <c r="O1166" i="2"/>
  <c r="O1176" i="2"/>
  <c r="O1188" i="2"/>
  <c r="O1198" i="2"/>
  <c r="O1208" i="2"/>
  <c r="O1220" i="2"/>
  <c r="O1230" i="2"/>
  <c r="O1240" i="2"/>
  <c r="O1252" i="2"/>
  <c r="O1147" i="2"/>
  <c r="O31" i="2"/>
  <c r="O74" i="2"/>
  <c r="O119" i="2"/>
  <c r="O159" i="2"/>
  <c r="O202" i="2"/>
  <c r="O247" i="2"/>
  <c r="O287" i="2"/>
  <c r="O330" i="2"/>
  <c r="O370" i="2"/>
  <c r="O397" i="2"/>
  <c r="O426" i="2"/>
  <c r="O455" i="2"/>
  <c r="O482" i="2"/>
  <c r="O511" i="2"/>
  <c r="O541" i="2"/>
  <c r="O567" i="2"/>
  <c r="O597" i="2"/>
  <c r="O626" i="2"/>
  <c r="O653" i="2"/>
  <c r="O682" i="2"/>
  <c r="O705" i="2"/>
  <c r="O725" i="2"/>
  <c r="O747" i="2"/>
  <c r="O769" i="2"/>
  <c r="O789" i="2"/>
  <c r="O811" i="2"/>
  <c r="O833" i="2"/>
  <c r="O853" i="2"/>
  <c r="O875" i="2"/>
  <c r="O897" i="2"/>
  <c r="O917" i="2"/>
  <c r="O939" i="2"/>
  <c r="O957" i="2"/>
  <c r="O973" i="2"/>
  <c r="O989" i="2"/>
  <c r="O1005" i="2"/>
  <c r="O1021" i="2"/>
  <c r="O1037" i="2"/>
  <c r="O1053" i="2"/>
  <c r="O1069" i="2"/>
  <c r="O1085" i="2"/>
  <c r="O1101" i="2"/>
  <c r="O1115" i="2"/>
  <c r="O1125" i="2"/>
  <c r="O1157" i="2"/>
  <c r="O1167" i="2"/>
  <c r="O1179" i="2"/>
  <c r="O1189" i="2"/>
  <c r="O1199" i="2"/>
  <c r="O1211" i="2"/>
  <c r="O1221" i="2"/>
  <c r="O1231" i="2"/>
  <c r="O1243" i="2"/>
  <c r="O1253" i="2"/>
  <c r="O32" i="2"/>
  <c r="O75" i="2"/>
  <c r="O120" i="2"/>
  <c r="O160" i="2"/>
  <c r="O203" i="2"/>
  <c r="O248" i="2"/>
  <c r="O288" i="2"/>
  <c r="O331" i="2"/>
  <c r="O371" i="2"/>
  <c r="O398" i="2"/>
  <c r="O427" i="2"/>
  <c r="O456" i="2"/>
  <c r="O483" i="2"/>
  <c r="O512" i="2"/>
  <c r="O542" i="2"/>
  <c r="O568" i="2"/>
  <c r="O598" i="2"/>
  <c r="O627" i="2"/>
  <c r="O654" i="2"/>
  <c r="O683" i="2"/>
  <c r="O706" i="2"/>
  <c r="O726" i="2"/>
  <c r="O748" i="2"/>
  <c r="O770" i="2"/>
  <c r="O790" i="2"/>
  <c r="O812" i="2"/>
  <c r="O834" i="2"/>
  <c r="O854" i="2"/>
  <c r="O876" i="2"/>
  <c r="O898" i="2"/>
  <c r="O918" i="2"/>
  <c r="O940" i="2"/>
  <c r="O958" i="2"/>
  <c r="O974" i="2"/>
  <c r="O990" i="2"/>
  <c r="O1006" i="2"/>
  <c r="O1022" i="2"/>
  <c r="O1038" i="2"/>
  <c r="O1054" i="2"/>
  <c r="O1070" i="2"/>
  <c r="O1086" i="2"/>
  <c r="O1102" i="2"/>
  <c r="O1116" i="2"/>
  <c r="O1126" i="2"/>
  <c r="O1136" i="2"/>
  <c r="O1148" i="2"/>
  <c r="O1158" i="2"/>
  <c r="O1168" i="2"/>
  <c r="O1180" i="2"/>
  <c r="O1190" i="2"/>
  <c r="O1200" i="2"/>
  <c r="O1212" i="2"/>
  <c r="O1222" i="2"/>
  <c r="O1232" i="2"/>
  <c r="O1244" i="2"/>
  <c r="O1254" i="2"/>
  <c r="O39" i="2"/>
  <c r="O79" i="2"/>
  <c r="O122" i="2"/>
  <c r="O167" i="2"/>
  <c r="O207" i="2"/>
  <c r="O250" i="2"/>
  <c r="O295" i="2"/>
  <c r="O335" i="2"/>
  <c r="O373" i="2"/>
  <c r="O402" i="2"/>
  <c r="O429" i="2"/>
  <c r="O458" i="2"/>
  <c r="O487" i="2"/>
  <c r="O514" i="2"/>
  <c r="O543" i="2"/>
  <c r="O573" i="2"/>
  <c r="O599" i="2"/>
  <c r="O629" i="2"/>
  <c r="O658" i="2"/>
  <c r="O685" i="2"/>
  <c r="O707" i="2"/>
  <c r="O729" i="2"/>
  <c r="O749" i="2"/>
  <c r="O771" i="2"/>
  <c r="O793" i="2"/>
  <c r="O813" i="2"/>
  <c r="O835" i="2"/>
  <c r="O857" i="2"/>
  <c r="O877" i="2"/>
  <c r="O899" i="2"/>
  <c r="O921" i="2"/>
  <c r="O941" i="2"/>
  <c r="O959" i="2"/>
  <c r="O975" i="2"/>
  <c r="O991" i="2"/>
  <c r="O1007" i="2"/>
  <c r="O1023" i="2"/>
  <c r="O1039" i="2"/>
  <c r="O1055" i="2"/>
  <c r="O1071" i="2"/>
  <c r="O1087" i="2"/>
  <c r="O1103" i="2"/>
  <c r="O1117" i="2"/>
  <c r="O1127" i="2"/>
  <c r="O1139" i="2"/>
  <c r="O1149" i="2"/>
  <c r="O1159" i="2"/>
  <c r="O1171" i="2"/>
  <c r="O1181" i="2"/>
  <c r="O1191" i="2"/>
  <c r="O1203" i="2"/>
  <c r="O1213" i="2"/>
  <c r="O1223" i="2"/>
  <c r="O1235" i="2"/>
  <c r="O1245" i="2"/>
  <c r="O1255" i="2"/>
  <c r="O55" i="2"/>
  <c r="O95" i="2"/>
  <c r="O183" i="2"/>
  <c r="O266" i="2"/>
  <c r="O351" i="2"/>
  <c r="O413" i="2"/>
  <c r="O469" i="2"/>
  <c r="O525" i="2"/>
  <c r="O583" i="2"/>
  <c r="O639" i="2"/>
  <c r="O693" i="2"/>
  <c r="O737" i="2"/>
  <c r="O779" i="2"/>
  <c r="O821" i="2"/>
  <c r="O865" i="2"/>
  <c r="O907" i="2"/>
  <c r="O929" i="2"/>
  <c r="O965" i="2"/>
  <c r="O997" i="2"/>
  <c r="O1029" i="2"/>
  <c r="O1061" i="2"/>
  <c r="O1093" i="2"/>
  <c r="O1119" i="2"/>
  <c r="O1141" i="2"/>
  <c r="O1163" i="2"/>
  <c r="O1183" i="2"/>
  <c r="O1205" i="2"/>
  <c r="O1227" i="2"/>
  <c r="O1247" i="2"/>
  <c r="O384" i="2"/>
  <c r="O40" i="2"/>
  <c r="O80" i="2"/>
  <c r="O123" i="2"/>
  <c r="O168" i="2"/>
  <c r="O208" i="2"/>
  <c r="O251" i="2"/>
  <c r="O296" i="2"/>
  <c r="O336" i="2"/>
  <c r="O374" i="2"/>
  <c r="O403" i="2"/>
  <c r="O430" i="2"/>
  <c r="O459" i="2"/>
  <c r="O488" i="2"/>
  <c r="O515" i="2"/>
  <c r="O544" i="2"/>
  <c r="O574" i="2"/>
  <c r="O600" i="2"/>
  <c r="O630" i="2"/>
  <c r="O659" i="2"/>
  <c r="O686" i="2"/>
  <c r="O708" i="2"/>
  <c r="O730" i="2"/>
  <c r="O750" i="2"/>
  <c r="O772" i="2"/>
  <c r="O794" i="2"/>
  <c r="O814" i="2"/>
  <c r="O836" i="2"/>
  <c r="O858" i="2"/>
  <c r="O878" i="2"/>
  <c r="O900" i="2"/>
  <c r="O922" i="2"/>
  <c r="O942" i="2"/>
  <c r="O960" i="2"/>
  <c r="O976" i="2"/>
  <c r="O992" i="2"/>
  <c r="O1008" i="2"/>
  <c r="O1024" i="2"/>
  <c r="O1040" i="2"/>
  <c r="O1056" i="2"/>
  <c r="O1072" i="2"/>
  <c r="O1088" i="2"/>
  <c r="O1104" i="2"/>
  <c r="O1118" i="2"/>
  <c r="O1128" i="2"/>
  <c r="O1140" i="2"/>
  <c r="O1150" i="2"/>
  <c r="O1160" i="2"/>
  <c r="O1172" i="2"/>
  <c r="O1182" i="2"/>
  <c r="O1192" i="2"/>
  <c r="O1204" i="2"/>
  <c r="O1214" i="2"/>
  <c r="O1224" i="2"/>
  <c r="O1236" i="2"/>
  <c r="O1246" i="2"/>
  <c r="O1256" i="2"/>
  <c r="O10" i="2"/>
  <c r="O138" i="2"/>
  <c r="O223" i="2"/>
  <c r="O311" i="2"/>
  <c r="O383" i="2"/>
  <c r="O439" i="2"/>
  <c r="O498" i="2"/>
  <c r="O554" i="2"/>
  <c r="O610" i="2"/>
  <c r="O669" i="2"/>
  <c r="O715" i="2"/>
  <c r="O757" i="2"/>
  <c r="O801" i="2"/>
  <c r="O843" i="2"/>
  <c r="O885" i="2"/>
  <c r="O949" i="2"/>
  <c r="O981" i="2"/>
  <c r="O1013" i="2"/>
  <c r="O1045" i="2"/>
  <c r="O1077" i="2"/>
  <c r="O1109" i="2"/>
  <c r="O1131" i="2"/>
  <c r="O1151" i="2"/>
  <c r="O1173" i="2"/>
  <c r="O1195" i="2"/>
  <c r="O1215" i="2"/>
  <c r="O1237" i="2"/>
  <c r="O440" i="2"/>
  <c r="I13" i="1"/>
  <c r="I14" i="1"/>
  <c r="I15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E11" i="2"/>
  <c r="AI11" i="2"/>
  <c r="AI10" i="2"/>
  <c r="AE10" i="2"/>
  <c r="AI9" i="2"/>
  <c r="AE9" i="2"/>
  <c r="AI8" i="2"/>
  <c r="AE8" i="2"/>
  <c r="AI7" i="2"/>
  <c r="AE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9" i="2" l="1"/>
  <c r="AK14" i="2"/>
  <c r="AK13" i="2" l="1"/>
  <c r="AG7" i="2" l="1"/>
  <c r="AK12" i="2"/>
  <c r="AK11" i="2" l="1"/>
  <c r="AG8" i="2" l="1"/>
  <c r="AK10" i="2"/>
  <c r="AG12" i="2" s="1"/>
  <c r="AG6" i="2" l="1"/>
  <c r="AK9" i="2"/>
  <c r="AG14" i="2" s="1"/>
  <c r="AK8" i="2" l="1"/>
  <c r="AK7" i="2" l="1"/>
  <c r="AG10" i="2" s="1"/>
  <c r="AG5" i="2" l="1"/>
  <c r="AK6" i="2"/>
  <c r="AG15" i="2" s="1"/>
  <c r="AG16" i="2" l="1"/>
  <c r="AK5" i="2"/>
  <c r="AG13" i="2" l="1"/>
  <c r="AG11" i="2"/>
</calcChain>
</file>

<file path=xl/sharedStrings.xml><?xml version="1.0" encoding="utf-8"?>
<sst xmlns="http://schemas.openxmlformats.org/spreadsheetml/2006/main" count="91" uniqueCount="75">
  <si>
    <t>Novartis AG (NVS) - Daily Stock Price, Last 5 Years</t>
  </si>
  <si>
    <t>Source: Nasdaq historical quotes (nasdaq.com/market-activity/stocks/nvs), retrieved 2026-10-05. USD per ADS. Prices before 2023-10-03 are as adjusted by Nasdaq (4-decimal values), consistent with the Oct 2023 Sandoz spin-off.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</si>
  <si>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</si>
  <si>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</si>
  <si>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</si>
  <si>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</si>
  <si>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</si>
  <si>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</si>
  <si>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</si>
  <si>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</si>
  <si>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</si>
  <si>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</si>
  <si>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</si>
  <si>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</si>
  <si>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</si>
  <si>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</si>
  <si>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</si>
  <si>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</si>
  <si>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</si>
  <si>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</si>
  <si>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</si>
  <si>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</si>
  <si>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</si>
  <si>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</si>
  <si>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NVS trading days (last close on or before each date). Each stock's % change is in its own currency (BAYNr in EUR, others USD). % columns follow Start/End Date in 'Stock Price'!I4:I5.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</si>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</sst>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138.54</c:v>
                </c:pt>
                <c:pt idx="1">
                  <c:v>137.91</c:v>
                </c:pt>
                <c:pt idx="2">
                  <c:v>142.27000000000001</c:v>
                </c:pt>
                <c:pt idx="3">
                  <c:v>141.97999999999999</c:v>
                </c:pt>
                <c:pt idx="4">
                  <c:v>141.46</c:v>
                </c:pt>
                <c:pt idx="5">
                  <c:v>141.54</c:v>
                </c:pt>
                <c:pt idx="6">
                  <c:v>141.82</c:v>
                </c:pt>
                <c:pt idx="7">
                  <c:v>141.61000000000001</c:v>
                </c:pt>
                <c:pt idx="8">
                  <c:v>146.16</c:v>
                </c:pt>
                <c:pt idx="9">
                  <c:v>143.15</c:v>
                </c:pt>
                <c:pt idx="10">
                  <c:v>144.34</c:v>
                </c:pt>
                <c:pt idx="11">
                  <c:v>143.58000000000001</c:v>
                </c:pt>
                <c:pt idx="12">
                  <c:v>145.11000000000001</c:v>
                </c:pt>
                <c:pt idx="13">
                  <c:v>145</c:v>
                </c:pt>
                <c:pt idx="14">
                  <c:v>147.13999999999999</c:v>
                </c:pt>
                <c:pt idx="15">
                  <c:v>149.12</c:v>
                </c:pt>
                <c:pt idx="16">
                  <c:v>152.22</c:v>
                </c:pt>
                <c:pt idx="17">
                  <c:v>147.87</c:v>
                </c:pt>
                <c:pt idx="18">
                  <c:v>148.91</c:v>
                </c:pt>
                <c:pt idx="19">
                  <c:v>148.68</c:v>
                </c:pt>
                <c:pt idx="20">
                  <c:v>151.04</c:v>
                </c:pt>
                <c:pt idx="21">
                  <c:v>149.86000000000001</c:v>
                </c:pt>
                <c:pt idx="22">
                  <c:v>152.91</c:v>
                </c:pt>
                <c:pt idx="23">
                  <c:v>153.94999999999999</c:v>
                </c:pt>
                <c:pt idx="24">
                  <c:v>156.41999999999999</c:v>
                </c:pt>
                <c:pt idx="25">
                  <c:v>157.05000000000001</c:v>
                </c:pt>
                <c:pt idx="26">
                  <c:v>158.19999999999999</c:v>
                </c:pt>
                <c:pt idx="27">
                  <c:v>160.06</c:v>
                </c:pt>
                <c:pt idx="28">
                  <c:v>161.18</c:v>
                </c:pt>
                <c:pt idx="29">
                  <c:v>163.1</c:v>
                </c:pt>
                <c:pt idx="30">
                  <c:v>166.17</c:v>
                </c:pt>
                <c:pt idx="31">
                  <c:v>165.38</c:v>
                </c:pt>
                <c:pt idx="32">
                  <c:v>163.92</c:v>
                </c:pt>
                <c:pt idx="33">
                  <c:v>162.66999999999999</c:v>
                </c:pt>
                <c:pt idx="34">
                  <c:v>164.7</c:v>
                </c:pt>
                <c:pt idx="35">
                  <c:v>167.11</c:v>
                </c:pt>
                <c:pt idx="36">
                  <c:v>166.85</c:v>
                </c:pt>
                <c:pt idx="37">
                  <c:v>165.51</c:v>
                </c:pt>
                <c:pt idx="38">
                  <c:v>168.62</c:v>
                </c:pt>
                <c:pt idx="39">
                  <c:v>166.87</c:v>
                </c:pt>
                <c:pt idx="40">
                  <c:v>164.18</c:v>
                </c:pt>
                <c:pt idx="41">
                  <c:v>165.15</c:v>
                </c:pt>
                <c:pt idx="42">
                  <c:v>161.01</c:v>
                </c:pt>
                <c:pt idx="43">
                  <c:v>160.12</c:v>
                </c:pt>
                <c:pt idx="44">
                  <c:v>162.79</c:v>
                </c:pt>
                <c:pt idx="45">
                  <c:v>161.59</c:v>
                </c:pt>
                <c:pt idx="46">
                  <c:v>155.80000000000001</c:v>
                </c:pt>
                <c:pt idx="47">
                  <c:v>154.25</c:v>
                </c:pt>
                <c:pt idx="48">
                  <c:v>153.44</c:v>
                </c:pt>
                <c:pt idx="49">
                  <c:v>154.87</c:v>
                </c:pt>
                <c:pt idx="50">
                  <c:v>154.85</c:v>
                </c:pt>
                <c:pt idx="51">
                  <c:v>149.81</c:v>
                </c:pt>
                <c:pt idx="52">
                  <c:v>148.19</c:v>
                </c:pt>
                <c:pt idx="53">
                  <c:v>146.03</c:v>
                </c:pt>
                <c:pt idx="54">
                  <c:v>148.09</c:v>
                </c:pt>
                <c:pt idx="55">
                  <c:v>148.61000000000001</c:v>
                </c:pt>
                <c:pt idx="56">
                  <c:v>150.75</c:v>
                </c:pt>
                <c:pt idx="57">
                  <c:v>149.69999999999999</c:v>
                </c:pt>
                <c:pt idx="58">
                  <c:v>148.18</c:v>
                </c:pt>
                <c:pt idx="59">
                  <c:v>150.36000000000001</c:v>
                </c:pt>
                <c:pt idx="60">
                  <c:v>152.75</c:v>
                </c:pt>
                <c:pt idx="61">
                  <c:v>155.08000000000001</c:v>
                </c:pt>
                <c:pt idx="62">
                  <c:v>154.03</c:v>
                </c:pt>
                <c:pt idx="63">
                  <c:v>152.84</c:v>
                </c:pt>
                <c:pt idx="64">
                  <c:v>151.22</c:v>
                </c:pt>
                <c:pt idx="65">
                  <c:v>154.41999999999999</c:v>
                </c:pt>
                <c:pt idx="66">
                  <c:v>155.06</c:v>
                </c:pt>
                <c:pt idx="67">
                  <c:v>154.05000000000001</c:v>
                </c:pt>
                <c:pt idx="68">
                  <c:v>154.47</c:v>
                </c:pt>
                <c:pt idx="69">
                  <c:v>153.38</c:v>
                </c:pt>
                <c:pt idx="70">
                  <c:v>152.08000000000001</c:v>
                </c:pt>
                <c:pt idx="71">
                  <c:v>149.72999999999999</c:v>
                </c:pt>
                <c:pt idx="72">
                  <c:v>151.97</c:v>
                </c:pt>
                <c:pt idx="73">
                  <c:v>150.99</c:v>
                </c:pt>
                <c:pt idx="74">
                  <c:v>147.97</c:v>
                </c:pt>
                <c:pt idx="75">
                  <c:v>147.32</c:v>
                </c:pt>
                <c:pt idx="76">
                  <c:v>147.47999999999999</c:v>
                </c:pt>
                <c:pt idx="77">
                  <c:v>145.47</c:v>
                </c:pt>
                <c:pt idx="78">
                  <c:v>144.19</c:v>
                </c:pt>
                <c:pt idx="79">
                  <c:v>145.5</c:v>
                </c:pt>
                <c:pt idx="80">
                  <c:v>142.94</c:v>
                </c:pt>
                <c:pt idx="81">
                  <c:v>147.85</c:v>
                </c:pt>
                <c:pt idx="82">
                  <c:v>146.57</c:v>
                </c:pt>
                <c:pt idx="83">
                  <c:v>144.62</c:v>
                </c:pt>
                <c:pt idx="84">
                  <c:v>145.5</c:v>
                </c:pt>
                <c:pt idx="85">
                  <c:v>148.36000000000001</c:v>
                </c:pt>
                <c:pt idx="86">
                  <c:v>145.38999999999999</c:v>
                </c:pt>
                <c:pt idx="87">
                  <c:v>146.03</c:v>
                </c:pt>
                <c:pt idx="88">
                  <c:v>145.22999999999999</c:v>
                </c:pt>
                <c:pt idx="89">
                  <c:v>148.16</c:v>
                </c:pt>
                <c:pt idx="90">
                  <c:v>149.75</c:v>
                </c:pt>
                <c:pt idx="91">
                  <c:v>149.77000000000001</c:v>
                </c:pt>
                <c:pt idx="92">
                  <c:v>148.08000000000001</c:v>
                </c:pt>
                <c:pt idx="93">
                  <c:v>149.15</c:v>
                </c:pt>
                <c:pt idx="94">
                  <c:v>150.44</c:v>
                </c:pt>
                <c:pt idx="95">
                  <c:v>150.44999999999999</c:v>
                </c:pt>
                <c:pt idx="96">
                  <c:v>151.76</c:v>
                </c:pt>
                <c:pt idx="97">
                  <c:v>152.01</c:v>
                </c:pt>
                <c:pt idx="98">
                  <c:v>150.80000000000001</c:v>
                </c:pt>
                <c:pt idx="99">
                  <c:v>151.12</c:v>
                </c:pt>
                <c:pt idx="100">
                  <c:v>151.4</c:v>
                </c:pt>
                <c:pt idx="101">
                  <c:v>150.16999999999999</c:v>
                </c:pt>
                <c:pt idx="102">
                  <c:v>145.68</c:v>
                </c:pt>
                <c:pt idx="103">
                  <c:v>143.47999999999999</c:v>
                </c:pt>
                <c:pt idx="104">
                  <c:v>143.66</c:v>
                </c:pt>
                <c:pt idx="105">
                  <c:v>148.4</c:v>
                </c:pt>
                <c:pt idx="106">
                  <c:v>149.16</c:v>
                </c:pt>
                <c:pt idx="107">
                  <c:v>146.41999999999999</c:v>
                </c:pt>
                <c:pt idx="108">
                  <c:v>149.12</c:v>
                </c:pt>
                <c:pt idx="109">
                  <c:v>148.12</c:v>
                </c:pt>
                <c:pt idx="110">
                  <c:v>153.91999999999999</c:v>
                </c:pt>
                <c:pt idx="111">
                  <c:v>153.07</c:v>
                </c:pt>
                <c:pt idx="112">
                  <c:v>151.56</c:v>
                </c:pt>
                <c:pt idx="113">
                  <c:v>150.93</c:v>
                </c:pt>
                <c:pt idx="114">
                  <c:v>150.88</c:v>
                </c:pt>
                <c:pt idx="115">
                  <c:v>147.08000000000001</c:v>
                </c:pt>
                <c:pt idx="116">
                  <c:v>148.93</c:v>
                </c:pt>
                <c:pt idx="117">
                  <c:v>153.38</c:v>
                </c:pt>
                <c:pt idx="118">
                  <c:v>153.12</c:v>
                </c:pt>
                <c:pt idx="119">
                  <c:v>155.12</c:v>
                </c:pt>
                <c:pt idx="120">
                  <c:v>155.41</c:v>
                </c:pt>
                <c:pt idx="121">
                  <c:v>157.59</c:v>
                </c:pt>
                <c:pt idx="122">
                  <c:v>156.72</c:v>
                </c:pt>
                <c:pt idx="123">
                  <c:v>154.13999999999999</c:v>
                </c:pt>
                <c:pt idx="124">
                  <c:v>159.9</c:v>
                </c:pt>
                <c:pt idx="125">
                  <c:v>155.49</c:v>
                </c:pt>
                <c:pt idx="126">
                  <c:v>157.03</c:v>
                </c:pt>
                <c:pt idx="127">
                  <c:v>155.16999999999999</c:v>
                </c:pt>
                <c:pt idx="128">
                  <c:v>154.62</c:v>
                </c:pt>
                <c:pt idx="129">
                  <c:v>154.05000000000001</c:v>
                </c:pt>
                <c:pt idx="130">
                  <c:v>153.37</c:v>
                </c:pt>
                <c:pt idx="131">
                  <c:v>150.36000000000001</c:v>
                </c:pt>
                <c:pt idx="132">
                  <c:v>150.80000000000001</c:v>
                </c:pt>
                <c:pt idx="133">
                  <c:v>152.72999999999999</c:v>
                </c:pt>
                <c:pt idx="134">
                  <c:v>153.76</c:v>
                </c:pt>
                <c:pt idx="135">
                  <c:v>149.56</c:v>
                </c:pt>
                <c:pt idx="136">
                  <c:v>153.87</c:v>
                </c:pt>
                <c:pt idx="137">
                  <c:v>153.08000000000001</c:v>
                </c:pt>
                <c:pt idx="138">
                  <c:v>156.13999999999999</c:v>
                </c:pt>
                <c:pt idx="139">
                  <c:v>155.01</c:v>
                </c:pt>
                <c:pt idx="140">
                  <c:v>156.11000000000001</c:v>
                </c:pt>
                <c:pt idx="141">
                  <c:v>159.85</c:v>
                </c:pt>
                <c:pt idx="142">
                  <c:v>158.83000000000001</c:v>
                </c:pt>
                <c:pt idx="143">
                  <c:v>158.44</c:v>
                </c:pt>
                <c:pt idx="144">
                  <c:v>156.15</c:v>
                </c:pt>
                <c:pt idx="145">
                  <c:v>153.66999999999999</c:v>
                </c:pt>
                <c:pt idx="146">
                  <c:v>153.27000000000001</c:v>
                </c:pt>
                <c:pt idx="147">
                  <c:v>154.44</c:v>
                </c:pt>
                <c:pt idx="148">
                  <c:v>154.21</c:v>
                </c:pt>
                <c:pt idx="149">
                  <c:v>156.33000000000001</c:v>
                </c:pt>
                <c:pt idx="150">
                  <c:v>156.79</c:v>
                </c:pt>
                <c:pt idx="151">
                  <c:v>154.61000000000001</c:v>
                </c:pt>
                <c:pt idx="152">
                  <c:v>152.32</c:v>
                </c:pt>
                <c:pt idx="153">
                  <c:v>151.72</c:v>
                </c:pt>
                <c:pt idx="154">
                  <c:v>150.88</c:v>
                </c:pt>
                <c:pt idx="155">
                  <c:v>151.97</c:v>
                </c:pt>
                <c:pt idx="156">
                  <c:v>154.55000000000001</c:v>
                </c:pt>
                <c:pt idx="157">
                  <c:v>160.31</c:v>
                </c:pt>
                <c:pt idx="158">
                  <c:v>156.24</c:v>
                </c:pt>
                <c:pt idx="159">
                  <c:v>158.86000000000001</c:v>
                </c:pt>
                <c:pt idx="160">
                  <c:v>158.02000000000001</c:v>
                </c:pt>
                <c:pt idx="161">
                  <c:v>159.97999999999999</c:v>
                </c:pt>
                <c:pt idx="162">
                  <c:v>157.54</c:v>
                </c:pt>
                <c:pt idx="163">
                  <c:v>154.65</c:v>
                </c:pt>
                <c:pt idx="164">
                  <c:v>153.81</c:v>
                </c:pt>
                <c:pt idx="165">
                  <c:v>152.06</c:v>
                </c:pt>
                <c:pt idx="166">
                  <c:v>161.25</c:v>
                </c:pt>
                <c:pt idx="167">
                  <c:v>162.46</c:v>
                </c:pt>
                <c:pt idx="168">
                  <c:v>163.09</c:v>
                </c:pt>
                <c:pt idx="169">
                  <c:v>159.99</c:v>
                </c:pt>
                <c:pt idx="170">
                  <c:v>137.69999999999999</c:v>
                </c:pt>
                <c:pt idx="171">
                  <c:v>137.47999999999999</c:v>
                </c:pt>
                <c:pt idx="172">
                  <c:v>137.47999999999999</c:v>
                </c:pt>
                <c:pt idx="173">
                  <c:v>137.16</c:v>
                </c:pt>
                <c:pt idx="174">
                  <c:v>138.99</c:v>
                </c:pt>
                <c:pt idx="175">
                  <c:v>138.62</c:v>
                </c:pt>
                <c:pt idx="176">
                  <c:v>138.69999999999999</c:v>
                </c:pt>
                <c:pt idx="177">
                  <c:v>140.91999999999999</c:v>
                </c:pt>
                <c:pt idx="178">
                  <c:v>140.37</c:v>
                </c:pt>
                <c:pt idx="179">
                  <c:v>140.97999999999999</c:v>
                </c:pt>
                <c:pt idx="180">
                  <c:v>141.28</c:v>
                </c:pt>
                <c:pt idx="181">
                  <c:v>142.71</c:v>
                </c:pt>
                <c:pt idx="182">
                  <c:v>143.57</c:v>
                </c:pt>
                <c:pt idx="183">
                  <c:v>145.46</c:v>
                </c:pt>
                <c:pt idx="184">
                  <c:v>146.88</c:v>
                </c:pt>
                <c:pt idx="185">
                  <c:v>145.71</c:v>
                </c:pt>
                <c:pt idx="186">
                  <c:v>142.57</c:v>
                </c:pt>
                <c:pt idx="187">
                  <c:v>141.05000000000001</c:v>
                </c:pt>
                <c:pt idx="188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A7-4D41-828E-6A35C3A96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164751"/>
        <c:axId val="864629520"/>
      </c:lineChart>
      <c:dateAx>
        <c:axId val="104016475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64629520"/>
        <c:crosses val="autoZero"/>
        <c:auto val="0"/>
        <c:lblOffset val="100"/>
        <c:baseTimeUnit val="days"/>
      </c:dateAx>
      <c:valAx>
        <c:axId val="864629520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04016475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F9-4040-B258-CCB7A442D426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F9-4040-B258-CCB7A442D426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F9-4040-B258-CCB7A442D426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F9-4040-B258-CCB7A442D426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F9-4040-B258-CCB7A442D426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F9-4040-B258-CCB7A442D426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0F9-4040-B258-CCB7A442D426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0F9-4040-B258-CCB7A442D426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0F9-4040-B258-CCB7A442D426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0F9-4040-B258-CCB7A442D426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0F9-4040-B258-CCB7A442D426}"/>
            </c:ext>
          </c:extLst>
        </c:ser>
        <c:ser>
          <c:idx val="11"/>
          <c:order val="11"/>
          <c:tx>
            <c:v>NVS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9378480"/>
        <c:axId val="830018288"/>
      </c:lineChart>
      <c:scatterChart>
        <c:scatterStyle val="lineMarker"/>
        <c:varyColors val="0"/>
        <c:ser>
          <c:idx val="12"/>
          <c:order val="12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0F9-4040-B258-CCB7A442D426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-0.14109758366525255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0F9-4040-B258-CCB7A442D426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0F9-4040-B258-CCB7A442D426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-5.2387675748740682E-2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0F9-4040-B258-CCB7A442D426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0F9-4040-B258-CCB7A442D426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-1.292481938672169E-2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0F9-4040-B258-CCB7A442D426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0F9-4040-B258-CCB7A442D426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-0.17229940771449295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0F9-4040-B258-CCB7A442D426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0F9-4040-B258-CCB7A442D426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0.18263156894736826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0F9-4040-B258-CCB7A442D426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0F9-4040-B258-CCB7A442D426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0.35556598242414283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0F9-4040-B258-CCB7A442D426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0F9-4040-B258-CCB7A442D426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0F9-4040-B258-CCB7A442D426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0F9-4040-B258-CCB7A442D426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0F9-4040-B258-CCB7A442D426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0F9-4040-B258-CCB7A442D426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0F9-4040-B258-CCB7A442D426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0F9-4040-B258-CCB7A442D426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0F9-4040-B258-CCB7A442D426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0F9-4040-B258-CCB7A442D426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0F9-4040-B258-CCB7A442D426}"/>
            </c:ext>
          </c:extLst>
        </c:ser>
        <c:ser>
          <c:idx val="34"/>
          <c:order val="34"/>
          <c:tx>
            <c:v>NVS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0F9-4040-B258-CCB7A442D426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0F9-4040-B258-CCB7A442D426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1.7756599590732027E-2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378480"/>
        <c:axId val="830018288"/>
      </c:scatterChart>
      <c:dateAx>
        <c:axId val="959378480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830018288"/>
        <c:crosses val="autoZero"/>
        <c:auto val="0"/>
        <c:lblOffset val="100"/>
        <c:baseTimeUnit val="days"/>
      </c:dateAx>
      <c:valAx>
        <c:axId val="830018288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5937848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9B88C55C-F3AA-473F-04EB-E74EDE5D9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12E958EF-C253-ED87-F964-FDAD93C93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A68A2-6EAE-4468-8D53-EBDF45F79632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0" t="s">
        <v>20</v>
      </c>
      <c r="I14" s="13">
        <f ca="1">IF($I$11="OK",INDEX(PxClose,I9),"")</f>
        <v>138.54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0" t="s">
        <v>21</v>
      </c>
      <c r="I15" s="13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4" t="s">
        <v>22</v>
      </c>
      <c r="I16" s="15">
        <f ca="1">IF($I$11="OK",I15/I14-1,"")</f>
        <v>1.7756604590732028E-2</v>
      </c>
    </row>
    <row r="17" spans="1:8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8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1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1.8% from $138.54 on Jan 2, 2026 to $141.00 on Oct 2, 2026.</v>
      </c>
    </row>
    <row r="19" spans="1:8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8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8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8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8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8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8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8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8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8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8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8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8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8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23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23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23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23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23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23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23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23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23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23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23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23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23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23" ht="15.75" x14ac:dyDescent="0.25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  <c r="U46" s="1" t="s">
        <v>49</v>
      </c>
    </row>
    <row r="47" spans="1:23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  <c r="U49" s="23" t="s">
        <v>52</v>
      </c>
      <c r="V49" s="24">
        <f ca="1">IF($I$11="OK",INDEX('Peer Data'!$O$5:$O$1258,$I$10),"")</f>
        <v>1.7756604590732028E-2</v>
      </c>
      <c r="W49" s="25">
        <f t="shared" ref="W49:W60" ca="1" si="0">IF($I$11="OK",RANK(V49,$V$49:$V$60),"")</f>
        <v>8</v>
      </c>
    </row>
    <row r="50" spans="1:23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  <c r="U50" t="s">
        <v>53</v>
      </c>
      <c r="V50" s="26">
        <f ca="1">IF($I$11="OK",INDEX('Peer Data'!$P$5:$P$1258,$I$10),"")</f>
        <v>-0.14109757766525255</v>
      </c>
      <c r="W50" s="27">
        <f t="shared" ca="1" si="0"/>
        <v>11</v>
      </c>
    </row>
    <row r="51" spans="1:23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  <c r="U51" t="s">
        <v>54</v>
      </c>
      <c r="V51" s="26">
        <f ca="1">IF($I$11="OK",INDEX('Peer Data'!$Q$5:$Q$1258,$I$10),"")</f>
        <v>-5.2387668748740679E-2</v>
      </c>
      <c r="W51" s="27">
        <f t="shared" ca="1" si="0"/>
        <v>10</v>
      </c>
    </row>
    <row r="52" spans="1:23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  <c r="U52" t="s">
        <v>55</v>
      </c>
      <c r="V52" s="26">
        <f ca="1">IF($I$11="OK",INDEX('Peer Data'!$R$5:$R$1258,$I$10),"")</f>
        <v>1.5549076773566428E-2</v>
      </c>
      <c r="W52" s="27">
        <f t="shared" ca="1" si="0"/>
        <v>9</v>
      </c>
    </row>
    <row r="53" spans="1:23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  <c r="U53" t="s">
        <v>56</v>
      </c>
      <c r="V53" s="26">
        <f ca="1">IF($I$11="OK",INDEX('Peer Data'!$S$5:$S$1258,$I$10),"")</f>
        <v>-0.17229939871449296</v>
      </c>
      <c r="W53" s="27">
        <f t="shared" ca="1" si="0"/>
        <v>12</v>
      </c>
    </row>
    <row r="54" spans="1:23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  <c r="U54" t="s">
        <v>57</v>
      </c>
      <c r="V54" s="26">
        <f ca="1">IF($I$11="OK",INDEX('Peer Data'!$T$5:$T$1258,$I$10),"")</f>
        <v>0.18263157894736826</v>
      </c>
      <c r="W54" s="27">
        <f t="shared" ca="1" si="0"/>
        <v>3</v>
      </c>
    </row>
    <row r="55" spans="1:23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  <c r="U55" t="s">
        <v>58</v>
      </c>
      <c r="V55" s="26">
        <f ca="1">IF($I$11="OK",INDEX('Peer Data'!$U$5:$U$1258,$I$10),"")</f>
        <v>0.35556599342414286</v>
      </c>
      <c r="W55" s="27">
        <f t="shared" ca="1" si="0"/>
        <v>1</v>
      </c>
    </row>
    <row r="56" spans="1:23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23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23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23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1D8A68A2-6EAE-4468-8D53-EBDF45F79632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467627AF-C996-4324-8A6A-171698542E6A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06E4-4BE5-443F-B318-44F25919F76B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79.164299999999997</v>
      </c>
      <c r="C5" s="18">
        <v>121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-0.42858163707232566</v>
      </c>
      <c r="P5" s="19">
        <f ca="1">IF('Stock Price'!$I$11="OK",C5/INDEX(C$5:C$1258,'Stock Price'!$I$9)-1,"")</f>
        <v>-0.33762145887505135</v>
      </c>
      <c r="Q5" s="19">
        <f ca="1">IF('Stock Price'!$I$11="OK",D5/INDEX(D$5:D$1258,'Stock Price'!$I$9)-1,"")</f>
        <v>-3.7376586741890039E-2</v>
      </c>
      <c r="R5" s="19">
        <f ca="1">IF('Stock Price'!$I$11="OK",E5/INDEX(E$5:E$1258,'Stock Price'!$I$9)-1,"")</f>
        <v>-9.2322643343051514E-2</v>
      </c>
      <c r="S5" s="19">
        <f ca="1">IF('Stock Price'!$I$11="OK",F5/INDEX(F$5:F$1258,'Stock Price'!$I$9)-1,"")</f>
        <v>1.8660584698322324E-3</v>
      </c>
      <c r="T5" s="19">
        <f ca="1">IF('Stock Price'!$I$11="OK",G5/INDEX(G$5:G$1258,'Stock Price'!$I$9)-1,"")</f>
        <v>0.21486842105263149</v>
      </c>
      <c r="U5" s="19">
        <f ca="1">IF('Stock Price'!$I$11="OK",H5/INDEX(H$5:H$1258,'Stock Price'!$I$9)-1,"")</f>
        <v>-0.23344293095349933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1.7756604590732028E-2</v>
      </c>
      <c r="AD5" s="33">
        <f t="shared" ref="AD5:AD16" ca="1" si="0">IF(AC5="","",AC5-ROW()*0.000000001)</f>
        <v>1.7756599590732027E-2</v>
      </c>
      <c r="AE5" s="31">
        <f t="shared" ref="AE5:AE16" ca="1" si="1">IF(AD5="","",COUNTIF($AD$5:$AD$16,"&gt;"&amp;AD5)+1)</f>
        <v>8</v>
      </c>
      <c r="AF5" s="31" t="str">
        <f t="shared" ref="AF5:AF16" ca="1" si="2">IF(AC5="",AB5,AB5&amp;" "&amp;TEXT(AC5,"+0.0%;-0.0%;0.0%"))</f>
        <v>NVS +1.8%</v>
      </c>
      <c r="AG5" s="33">
        <f t="shared" ref="AG5:AG16" ca="1" si="3">IF(AE5="","",INDEX($AK$5:$AK$16,AE5))</f>
        <v>1.7756599590732027E-2</v>
      </c>
      <c r="AH5" s="31">
        <v>1</v>
      </c>
      <c r="AI5" s="33">
        <f ca="1">IF('Stock Price'!$I$11="OK",LARGE($AD$5:$AD$16,AH5),"")</f>
        <v>0.35556598242414283</v>
      </c>
      <c r="AJ5" s="33">
        <f ca="1">AI5</f>
        <v>0.35556598242414283</v>
      </c>
      <c r="AK5" s="33">
        <f ca="1">IF('Stock Price'!$I$11="OK",MAX(AJ5,AK6+$AL$5),"")</f>
        <v>0.35556598242414283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79.125600000000006</v>
      </c>
      <c r="C6" s="18">
        <v>120.27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-0.428860978778692</v>
      </c>
      <c r="P6" s="19">
        <f ca="1">IF('Stock Price'!$I$11="OK",C6/INDEX(C$5:C$1258,'Stock Price'!$I$9)-1,"")</f>
        <v>-0.34161762693307796</v>
      </c>
      <c r="Q6" s="19">
        <f ca="1">IF('Stock Price'!$I$11="OK",D6/INDEX(D$5:D$1258,'Stock Price'!$I$9)-1,"")</f>
        <v>-3.9643360870441291E-2</v>
      </c>
      <c r="R6" s="19">
        <f ca="1">IF('Stock Price'!$I$11="OK",E6/INDEX(E$5:E$1258,'Stock Price'!$I$9)-1,"")</f>
        <v>-8.2021379980563802E-2</v>
      </c>
      <c r="S6" s="19">
        <f ca="1">IF('Stock Price'!$I$11="OK",F6/INDEX(F$5:F$1258,'Stock Price'!$I$9)-1,"")</f>
        <v>-6.2201948994389245E-4</v>
      </c>
      <c r="T6" s="19">
        <f ca="1">IF('Stock Price'!$I$11="OK",G6/INDEX(G$5:G$1258,'Stock Price'!$I$9)-1,"")</f>
        <v>0.21934210526315789</v>
      </c>
      <c r="U6" s="19">
        <f ca="1">IF('Stock Price'!$I$11="OK",H6/INDEX(H$5:H$1258,'Stock Price'!$I$9)-1,"")</f>
        <v>-0.24227336777829978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-0.14109757766525255</v>
      </c>
      <c r="AD6" s="33">
        <f t="shared" ca="1" si="0"/>
        <v>-0.14109758366525255</v>
      </c>
      <c r="AE6" s="31">
        <f t="shared" ca="1" si="1"/>
        <v>11</v>
      </c>
      <c r="AF6" s="31" t="str">
        <f t="shared" ca="1" si="2"/>
        <v>AZN -14.1%</v>
      </c>
      <c r="AG6" s="33">
        <f t="shared" ca="1" si="3"/>
        <v>-0.14109758366525255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79.793099999999995</v>
      </c>
      <c r="C7" s="18">
        <v>121.98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-0.42404287570376786</v>
      </c>
      <c r="P7" s="19">
        <f ca="1">IF('Stock Price'!$I$11="OK",C7/INDEX(C$5:C$1258,'Stock Price'!$I$9)-1,"")</f>
        <v>-0.33225674011222117</v>
      </c>
      <c r="Q7" s="19">
        <f ca="1">IF('Stock Price'!$I$11="OK",D7/INDEX(D$5:D$1258,'Stock Price'!$I$9)-1,"")</f>
        <v>-2.629457989119488E-2</v>
      </c>
      <c r="R7" s="19">
        <f ca="1">IF('Stock Price'!$I$11="OK",E7/INDEX(E$5:E$1258,'Stock Price'!$I$9)-1,"")</f>
        <v>-6.6083576287658041E-2</v>
      </c>
      <c r="S7" s="19">
        <f ca="1">IF('Stock Price'!$I$11="OK",F7/INDEX(F$5:F$1258,'Stock Price'!$I$9)-1,"")</f>
        <v>7.6715737093095981E-3</v>
      </c>
      <c r="T7" s="19">
        <f ca="1">IF('Stock Price'!$I$11="OK",G7/INDEX(G$5:G$1258,'Stock Price'!$I$9)-1,"")</f>
        <v>0.24631578947368427</v>
      </c>
      <c r="U7" s="19">
        <f ca="1">IF('Stock Price'!$I$11="OK",H7/INDEX(H$5:H$1258,'Stock Price'!$I$9)-1,"")</f>
        <v>-0.23024894316580558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-5.2387668748740679E-2</v>
      </c>
      <c r="AD7" s="33">
        <f t="shared" ca="1" si="0"/>
        <v>-5.2387675748740682E-2</v>
      </c>
      <c r="AE7" s="31">
        <f t="shared" ca="1" si="1"/>
        <v>10</v>
      </c>
      <c r="AF7" s="31" t="str">
        <f t="shared" ca="1" si="2"/>
        <v>GSK -5.2%</v>
      </c>
      <c r="AG7" s="33">
        <f t="shared" ca="1" si="3"/>
        <v>-5.2387675748740682E-2</v>
      </c>
      <c r="AH7" s="31">
        <v>3</v>
      </c>
      <c r="AI7" s="33">
        <f ca="1">IF('Stock Price'!$I$11="OK",LARGE($AD$5:$AD$16,AH7),"")</f>
        <v>0.18263156894736826</v>
      </c>
      <c r="AJ7" s="33">
        <f ca="1">IF('Stock Price'!$I$11="OK",MIN(AI7,AJ6-$AL$5),"")</f>
        <v>0.18263156894736826</v>
      </c>
      <c r="AK7" s="33">
        <f ca="1">IF('Stock Price'!$I$11="OK",MAX(AJ7,AK8+$AL$5),"")</f>
        <v>0.18263156894736826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80.131699999999995</v>
      </c>
      <c r="C8" s="18">
        <v>123.83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-0.42159881622636064</v>
      </c>
      <c r="P8" s="19">
        <f ca="1">IF('Stock Price'!$I$11="OK",C8/INDEX(C$5:C$1258,'Stock Price'!$I$9)-1,"")</f>
        <v>-0.32212946489667449</v>
      </c>
      <c r="Q8" s="19">
        <f ca="1">IF('Stock Price'!$I$11="OK",D8/INDEX(D$5:D$1258,'Stock Price'!$I$9)-1,"")</f>
        <v>-2.5035260930888592E-2</v>
      </c>
      <c r="R8" s="19">
        <f ca="1">IF('Stock Price'!$I$11="OK",E8/INDEX(E$5:E$1258,'Stock Price'!$I$9)-1,"")</f>
        <v>-3.0320699708454857E-2</v>
      </c>
      <c r="S8" s="19">
        <f ca="1">IF('Stock Price'!$I$11="OK",F8/INDEX(F$5:F$1258,'Stock Price'!$I$9)-1,"")</f>
        <v>1.6172506738544534E-2</v>
      </c>
      <c r="T8" s="19">
        <f ca="1">IF('Stock Price'!$I$11="OK",G8/INDEX(G$5:G$1258,'Stock Price'!$I$9)-1,"")</f>
        <v>0.25657894736842102</v>
      </c>
      <c r="U8" s="19">
        <f ca="1">IF('Stock Price'!$I$11="OK",H8/INDEX(H$5:H$1258,'Stock Price'!$I$9)-1,"")</f>
        <v>-0.24255519023015504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1.5549076773566428E-2</v>
      </c>
      <c r="AD8" s="33">
        <f t="shared" ca="1" si="0"/>
        <v>1.5549068773566429E-2</v>
      </c>
      <c r="AE8" s="31">
        <f t="shared" ca="1" si="1"/>
        <v>9</v>
      </c>
      <c r="AF8" s="31" t="str">
        <f t="shared" ca="1" si="2"/>
        <v>ROG +1.6%</v>
      </c>
      <c r="AG8" s="33">
        <f t="shared" ca="1" si="3"/>
        <v>-1.292481938672169E-2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79.657700000000006</v>
      </c>
      <c r="C9" s="18">
        <v>123.4924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-0.42502021076945284</v>
      </c>
      <c r="P9" s="19">
        <f ca="1">IF('Stock Price'!$I$11="OK",C9/INDEX(C$5:C$1258,'Stock Price'!$I$9)-1,"")</f>
        <v>-0.32397755576844123</v>
      </c>
      <c r="Q9" s="19">
        <f ca="1">IF('Stock Price'!$I$11="OK",D9/INDEX(D$5:D$1258,'Stock Price'!$I$9)-1,"")</f>
        <v>-3.6872859157767612E-2</v>
      </c>
      <c r="R9" s="19">
        <f ca="1">IF('Stock Price'!$I$11="OK",E9/INDEX(E$5:E$1258,'Stock Price'!$I$9)-1,"")</f>
        <v>-5.0923226433430613E-2</v>
      </c>
      <c r="S9" s="19">
        <f ca="1">IF('Stock Price'!$I$11="OK",F9/INDEX(F$5:F$1258,'Stock Price'!$I$9)-1,"")</f>
        <v>9.3302923491602741E-3</v>
      </c>
      <c r="T9" s="19">
        <f ca="1">IF('Stock Price'!$I$11="OK",G9/INDEX(G$5:G$1258,'Stock Price'!$I$9)-1,"")</f>
        <v>0.27934210526315795</v>
      </c>
      <c r="U9" s="19">
        <f ca="1">IF('Stock Price'!$I$11="OK",H9/INDEX(H$5:H$1258,'Stock Price'!$I$9)-1,"")</f>
        <v>-0.24913104744011272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-0.17229939871449296</v>
      </c>
      <c r="AD9" s="33">
        <f t="shared" ca="1" si="0"/>
        <v>-0.17229940771449295</v>
      </c>
      <c r="AE9" s="31">
        <f t="shared" ca="1" si="1"/>
        <v>12</v>
      </c>
      <c r="AF9" s="31" t="str">
        <f t="shared" ca="1" si="2"/>
        <v>SNY -17.2%</v>
      </c>
      <c r="AG9" s="33">
        <f t="shared" ca="1" si="3"/>
        <v>-0.17229940771449295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79.309399999999997</v>
      </c>
      <c r="C10" s="18">
        <v>122.92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-0.42753428612675037</v>
      </c>
      <c r="P10" s="19">
        <f ca="1">IF('Stock Price'!$I$11="OK",C10/INDEX(C$5:C$1258,'Stock Price'!$I$9)-1,"")</f>
        <v>-0.32711098946215955</v>
      </c>
      <c r="Q10" s="19">
        <f ca="1">IF('Stock Price'!$I$11="OK",D10/INDEX(D$5:D$1258,'Stock Price'!$I$9)-1,"")</f>
        <v>-2.6798307475317418E-2</v>
      </c>
      <c r="R10" s="19">
        <f ca="1">IF('Stock Price'!$I$11="OK",E10/INDEX(E$5:E$1258,'Stock Price'!$I$9)-1,"")</f>
        <v>-6.25850340136056E-2</v>
      </c>
      <c r="S10" s="19">
        <f ca="1">IF('Stock Price'!$I$11="OK",F10/INDEX(F$5:F$1258,'Stock Price'!$I$9)-1,"")</f>
        <v>1.4513788098693414E-3</v>
      </c>
      <c r="T10" s="19">
        <f ca="1">IF('Stock Price'!$I$11="OK",G10/INDEX(G$5:G$1258,'Stock Price'!$I$9)-1,"")</f>
        <v>0.2556578947368422</v>
      </c>
      <c r="U10" s="19">
        <f ca="1">IF('Stock Price'!$I$11="OK",H10/INDEX(H$5:H$1258,'Stock Price'!$I$9)-1,"")</f>
        <v>-0.25232503522780647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0.18263157894736826</v>
      </c>
      <c r="AD10" s="33">
        <f t="shared" ca="1" si="0"/>
        <v>0.18263156894736826</v>
      </c>
      <c r="AE10" s="31">
        <f t="shared" ca="1" si="1"/>
        <v>3</v>
      </c>
      <c r="AF10" s="31" t="str">
        <f t="shared" ca="1" si="2"/>
        <v>BAYNr +18.3%</v>
      </c>
      <c r="AG10" s="33">
        <f t="shared" ca="1" si="3"/>
        <v>0.18263156894736826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79.744799999999998</v>
      </c>
      <c r="C11" s="18">
        <v>119.09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-0.42439151147682974</v>
      </c>
      <c r="P11" s="19">
        <f ca="1">IF('Stock Price'!$I$11="OK",C11/INDEX(C$5:C$1258,'Stock Price'!$I$9)-1,"")</f>
        <v>-0.34807718625975093</v>
      </c>
      <c r="Q11" s="19">
        <f ca="1">IF('Stock Price'!$I$11="OK",D11/INDEX(D$5:D$1258,'Stock Price'!$I$9)-1,"")</f>
        <v>-2.276848680233734E-2</v>
      </c>
      <c r="R11" s="19">
        <f ca="1">IF('Stock Price'!$I$11="OK",E11/INDEX(E$5:E$1258,'Stock Price'!$I$9)-1,"")</f>
        <v>-6.27793974732751E-2</v>
      </c>
      <c r="S11" s="19">
        <f ca="1">IF('Stock Price'!$I$11="OK",F11/INDEX(F$5:F$1258,'Stock Price'!$I$9)-1,"")</f>
        <v>-2.0733982998133449E-4</v>
      </c>
      <c r="T11" s="19">
        <f ca="1">IF('Stock Price'!$I$11="OK",G11/INDEX(G$5:G$1258,'Stock Price'!$I$9)-1,"")</f>
        <v>0.23907894736842117</v>
      </c>
      <c r="U11" s="19">
        <f ca="1">IF('Stock Price'!$I$11="OK",H11/INDEX(H$5:H$1258,'Stock Price'!$I$9)-1,"")</f>
        <v>-0.25833724753405352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0.35556599342414286</v>
      </c>
      <c r="AD11" s="33">
        <f t="shared" ca="1" si="0"/>
        <v>0.35556598242414283</v>
      </c>
      <c r="AE11" s="31">
        <f t="shared" ca="1" si="1"/>
        <v>1</v>
      </c>
      <c r="AF11" s="31" t="str">
        <f t="shared" ca="1" si="2"/>
        <v>MRK +35.6%</v>
      </c>
      <c r="AG11" s="33">
        <f t="shared" ca="1" si="3"/>
        <v>0.35556598242414283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79.909199999999998</v>
      </c>
      <c r="C12" s="18">
        <v>121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-0.42320485058466861</v>
      </c>
      <c r="P12" s="19">
        <f ca="1">IF('Stock Price'!$I$11="OK",C12/INDEX(C$5:C$1258,'Stock Price'!$I$9)-1,"")</f>
        <v>-0.33762145887505135</v>
      </c>
      <c r="Q12" s="19">
        <f ca="1">IF('Stock Price'!$I$11="OK",D12/INDEX(D$5:D$1258,'Stock Price'!$I$9)-1,"")</f>
        <v>-2.4783397138827379E-2</v>
      </c>
      <c r="R12" s="19">
        <f ca="1">IF('Stock Price'!$I$11="OK",E12/INDEX(E$5:E$1258,'Stock Price'!$I$9)-1,"")</f>
        <v>-6.2196307094266379E-2</v>
      </c>
      <c r="S12" s="19">
        <f ca="1">IF('Stock Price'!$I$11="OK",F12/INDEX(F$5:F$1258,'Stock Price'!$I$9)-1,"")</f>
        <v>7.4642338793282637E-3</v>
      </c>
      <c r="T12" s="19">
        <f ca="1">IF('Stock Price'!$I$11="OK",G12/INDEX(G$5:G$1258,'Stock Price'!$I$9)-1,"")</f>
        <v>0.25736842105263169</v>
      </c>
      <c r="U12" s="19">
        <f ca="1">IF('Stock Price'!$I$11="OK",H12/INDEX(H$5:H$1258,'Stock Price'!$I$9)-1,"")</f>
        <v>-0.26416157820573039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1.7756599590732027E-2</v>
      </c>
      <c r="AJ12" s="33">
        <f ca="1">IF('Stock Price'!$I$11="OK",MIN(AI12,AJ11-$AL$5),"")</f>
        <v>1.7756599590732027E-2</v>
      </c>
      <c r="AK12" s="33">
        <f ca="1">IF('Stock Price'!$I$11="OK",MAX(AJ12,AK13+$AL$5),"")</f>
        <v>1.7756599590732027E-2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80.615499999999997</v>
      </c>
      <c r="C13" s="18">
        <v>118.58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-0.41810668399018336</v>
      </c>
      <c r="P13" s="19">
        <f ca="1">IF('Stock Price'!$I$11="OK",C13/INDEX(C$5:C$1258,'Stock Price'!$I$9)-1,"")</f>
        <v>-0.35086902969755029</v>
      </c>
      <c r="Q13" s="19">
        <f ca="1">IF('Stock Price'!$I$11="OK",D13/INDEX(D$5:D$1258,'Stock Price'!$I$9)-1,"")</f>
        <v>-1.7479347169050974E-2</v>
      </c>
      <c r="R13" s="19">
        <f ca="1">IF('Stock Price'!$I$11="OK",E13/INDEX(E$5:E$1258,'Stock Price'!$I$9)-1,"")</f>
        <v>-4.9173955296404337E-2</v>
      </c>
      <c r="S13" s="19">
        <f ca="1">IF('Stock Price'!$I$11="OK",F13/INDEX(F$5:F$1258,'Stock Price'!$I$9)-1,"")</f>
        <v>1.2855069458843182E-2</v>
      </c>
      <c r="T13" s="19">
        <f ca="1">IF('Stock Price'!$I$11="OK",G13/INDEX(G$5:G$1258,'Stock Price'!$I$9)-1,"")</f>
        <v>0.26013157894736838</v>
      </c>
      <c r="U13" s="19">
        <f ca="1">IF('Stock Price'!$I$11="OK",H13/INDEX(H$5:H$1258,'Stock Price'!$I$9)-1,"")</f>
        <v>-0.26416157820573039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1.5549068773566429E-2</v>
      </c>
      <c r="AJ13" s="33">
        <f ca="1">IF('Stock Price'!$I$11="OK",MIN(AI13,AJ12-$AL$5),"")</f>
        <v>-1.292481938672169E-2</v>
      </c>
      <c r="AK13" s="33">
        <f ca="1">IF('Stock Price'!$I$11="OK",MAX(AJ13,AK14+$AL$5),"")</f>
        <v>-1.292481938672169E-2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79.657700000000006</v>
      </c>
      <c r="C14" s="18">
        <v>120.12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-0.42502021076945284</v>
      </c>
      <c r="P14" s="19">
        <f ca="1">IF('Stock Price'!$I$11="OK",C14/INDEX(C$5:C$1258,'Stock Price'!$I$9)-1,"")</f>
        <v>-0.34243875735596008</v>
      </c>
      <c r="Q14" s="19">
        <f ca="1">IF('Stock Price'!$I$11="OK",D14/INDEX(D$5:D$1258,'Stock Price'!$I$9)-1,"")</f>
        <v>-2.6546443683256093E-2</v>
      </c>
      <c r="R14" s="19">
        <f ca="1">IF('Stock Price'!$I$11="OK",E14/INDEX(E$5:E$1258,'Stock Price'!$I$9)-1,"")</f>
        <v>-4.4509232264334453E-2</v>
      </c>
      <c r="S14" s="19">
        <f ca="1">IF('Stock Price'!$I$11="OK",F14/INDEX(F$5:F$1258,'Stock Price'!$I$9)-1,"")</f>
        <v>-4.1467965996266898E-3</v>
      </c>
      <c r="T14" s="19">
        <f ca="1">IF('Stock Price'!$I$11="OK",G14/INDEX(G$5:G$1258,'Stock Price'!$I$9)-1,"")</f>
        <v>0.22671052631578958</v>
      </c>
      <c r="U14" s="19">
        <f ca="1">IF('Stock Price'!$I$11="OK",H14/INDEX(H$5:H$1258,'Stock Price'!$I$9)-1,"")</f>
        <v>-0.27524659464537338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-5.2387675748740682E-2</v>
      </c>
      <c r="AJ14" s="33">
        <f ca="1">IF('Stock Price'!$I$11="OK",MIN(AI14,AJ13-$AL$5),"")</f>
        <v>-5.2387675748740682E-2</v>
      </c>
      <c r="AK14" s="33">
        <f ca="1">IF('Stock Price'!$I$11="OK",MAX(AJ14,AK15+$AL$5),"")</f>
        <v>-5.2387675748740682E-2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80.441299999999998</v>
      </c>
      <c r="C15" s="18">
        <v>119.37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-0.41936408257542945</v>
      </c>
      <c r="P15" s="19">
        <f ca="1">IF('Stock Price'!$I$11="OK",C15/INDEX(C$5:C$1258,'Stock Price'!$I$9)-1,"")</f>
        <v>-0.34654440947037091</v>
      </c>
      <c r="Q15" s="19">
        <f ca="1">IF('Stock Price'!$I$11="OK",D15/INDEX(D$5:D$1258,'Stock Price'!$I$9)-1,"")</f>
        <v>-1.3449526496071007E-2</v>
      </c>
      <c r="R15" s="19">
        <f ca="1">IF('Stock Price'!$I$11="OK",E15/INDEX(E$5:E$1258,'Stock Price'!$I$9)-1,"")</f>
        <v>-5.636540330417894E-2</v>
      </c>
      <c r="S15" s="19">
        <f ca="1">IF('Stock Price'!$I$11="OK",F15/INDEX(F$5:F$1258,'Stock Price'!$I$9)-1,"")</f>
        <v>-3.5247771096826863E-3</v>
      </c>
      <c r="T15" s="19">
        <f ca="1">IF('Stock Price'!$I$11="OK",G15/INDEX(G$5:G$1258,'Stock Price'!$I$9)-1,"")</f>
        <v>0.24421052631578943</v>
      </c>
      <c r="U15" s="19">
        <f ca="1">IF('Stock Price'!$I$11="OK",H15/INDEX(H$5:H$1258,'Stock Price'!$I$9)-1,"")</f>
        <v>-0.25326444340065768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-0.14109758366525255</v>
      </c>
      <c r="AJ15" s="33">
        <f ca="1">IF('Stock Price'!$I$11="OK",MIN(AI15,AJ14-$AL$5),"")</f>
        <v>-0.14109758366525255</v>
      </c>
      <c r="AK15" s="33">
        <f ca="1">IF('Stock Price'!$I$11="OK",MAX(AJ15,AK16+$AL$5),"")</f>
        <v>-0.14109758366525255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81.718299999999999</v>
      </c>
      <c r="C16" s="18">
        <v>122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-0.41014652807853325</v>
      </c>
      <c r="P16" s="19">
        <f ca="1">IF('Stock Price'!$I$11="OK",C16/INDEX(C$5:C$1258,'Stock Price'!$I$9)-1,"")</f>
        <v>-0.33214725605583695</v>
      </c>
      <c r="Q16" s="19">
        <f ca="1">IF('Stock Price'!$I$11="OK",D16/INDEX(D$5:D$1258,'Stock Price'!$I$9)-1,"")</f>
        <v>-6.1454765262946021E-3</v>
      </c>
      <c r="R16" s="19">
        <f ca="1">IF('Stock Price'!$I$11="OK",E16/INDEX(E$5:E$1258,'Stock Price'!$I$9)-1,"")</f>
        <v>-7.1720116618075869E-2</v>
      </c>
      <c r="S16" s="19">
        <f ca="1">IF('Stock Price'!$I$11="OK",F16/INDEX(F$5:F$1258,'Stock Price'!$I$9)-1,"")</f>
        <v>1.7001866058469872E-2</v>
      </c>
      <c r="T16" s="19">
        <f ca="1">IF('Stock Price'!$I$11="OK",G16/INDEX(G$5:G$1258,'Stock Price'!$I$9)-1,"")</f>
        <v>0.26776315789473681</v>
      </c>
      <c r="U16" s="19">
        <f ca="1">IF('Stock Price'!$I$11="OK",H16/INDEX(H$5:H$1258,'Stock Price'!$I$9)-1,"")</f>
        <v>-0.23842179426961019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-0.17229940771449295</v>
      </c>
      <c r="AJ16" s="33">
        <f ca="1">IF('Stock Price'!$I$11="OK",MIN(AI16,AJ15-$AL$5),"")</f>
        <v>-0.17229940771449295</v>
      </c>
      <c r="AK16" s="33">
        <f ca="1">IF('Stock Price'!$I$11="OK",MAX(AJ16,$AM$5),"")</f>
        <v>-0.17229940771449295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81.911799999999999</v>
      </c>
      <c r="C17" s="18">
        <v>122.4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-0.40874981954670131</v>
      </c>
      <c r="P17" s="19">
        <f ca="1">IF('Stock Price'!$I$11="OK",C17/INDEX(C$5:C$1258,'Stock Price'!$I$9)-1,"")</f>
        <v>-0.32995757492815114</v>
      </c>
      <c r="Q17" s="19">
        <f ca="1">IF('Stock Price'!$I$11="OK",D17/INDEX(D$5:D$1258,'Stock Price'!$I$9)-1,"")</f>
        <v>-3.8787023977433499E-3</v>
      </c>
      <c r="R17" s="19">
        <f ca="1">IF('Stock Price'!$I$11="OK",E17/INDEX(E$5:E$1258,'Stock Price'!$I$9)-1,"")</f>
        <v>-5.0728862973760891E-2</v>
      </c>
      <c r="S17" s="19">
        <f ca="1">IF('Stock Price'!$I$11="OK",F17/INDEX(F$5:F$1258,'Stock Price'!$I$9)-1,"")</f>
        <v>2.0319303338171446E-2</v>
      </c>
      <c r="T17" s="19">
        <f ca="1">IF('Stock Price'!$I$11="OK",G17/INDEX(G$5:G$1258,'Stock Price'!$I$9)-1,"")</f>
        <v>0.26815789473684215</v>
      </c>
      <c r="U17" s="19">
        <f ca="1">IF('Stock Price'!$I$11="OK",H17/INDEX(H$5:H$1258,'Stock Price'!$I$9)-1,"")</f>
        <v>-0.23748238609675909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82.153700000000001</v>
      </c>
      <c r="C18" s="18">
        <v>123.77500000000001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-0.40700375342861261</v>
      </c>
      <c r="P18" s="19">
        <f ca="1">IF('Stock Price'!$I$11="OK",C18/INDEX(C$5:C$1258,'Stock Price'!$I$9)-1,"")</f>
        <v>-0.32243054605173127</v>
      </c>
      <c r="Q18" s="19">
        <f ca="1">IF('Stock Price'!$I$11="OK",D18/INDEX(D$5:D$1258,'Stock Price'!$I$9)-1,"")</f>
        <v>1.6623010276042294E-3</v>
      </c>
      <c r="R18" s="19">
        <f ca="1">IF('Stock Price'!$I$11="OK",E18/INDEX(E$5:E$1258,'Stock Price'!$I$9)-1,"")</f>
        <v>-5.2672497570456778E-2</v>
      </c>
      <c r="S18" s="19">
        <f ca="1">IF('Stock Price'!$I$11="OK",F18/INDEX(F$5:F$1258,'Stock Price'!$I$9)-1,"")</f>
        <v>3.5040431266846417E-2</v>
      </c>
      <c r="T18" s="19">
        <f ca="1">IF('Stock Price'!$I$11="OK",G18/INDEX(G$5:G$1258,'Stock Price'!$I$9)-1,"")</f>
        <v>0.27157894736842114</v>
      </c>
      <c r="U18" s="19">
        <f ca="1">IF('Stock Price'!$I$11="OK",H18/INDEX(H$5:H$1258,'Stock Price'!$I$9)-1,"")</f>
        <v>-0.23767026773132927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80.644499999999994</v>
      </c>
      <c r="C19" s="18">
        <v>124.82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-0.41789735816370721</v>
      </c>
      <c r="P19" s="19">
        <f ca="1">IF('Stock Price'!$I$11="OK",C19/INDEX(C$5:C$1258,'Stock Price'!$I$9)-1,"")</f>
        <v>-0.3167100041056522</v>
      </c>
      <c r="Q19" s="19">
        <f ca="1">IF('Stock Price'!$I$11="OK",D19/INDEX(D$5:D$1258,'Stock Price'!$I$9)-1,"")</f>
        <v>2.6697561958493043E-3</v>
      </c>
      <c r="R19" s="19">
        <f ca="1">IF('Stock Price'!$I$11="OK",E19/INDEX(E$5:E$1258,'Stock Price'!$I$9)-1,"")</f>
        <v>-5.7725947521865995E-2</v>
      </c>
      <c r="S19" s="19">
        <f ca="1">IF('Stock Price'!$I$11="OK",F19/INDEX(F$5:F$1258,'Stock Price'!$I$9)-1,"")</f>
        <v>3.2345013477089068E-2</v>
      </c>
      <c r="T19" s="19">
        <f ca="1">IF('Stock Price'!$I$11="OK",G19/INDEX(G$5:G$1258,'Stock Price'!$I$9)-1,"")</f>
        <v>0.27513157894736828</v>
      </c>
      <c r="U19" s="19">
        <f ca="1">IF('Stock Price'!$I$11="OK",H19/INDEX(H$5:H$1258,'Stock Price'!$I$9)-1,"")</f>
        <v>-0.23287928604978869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82.076300000000003</v>
      </c>
      <c r="C20" s="18">
        <v>123.13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-0.40756243684134541</v>
      </c>
      <c r="P20" s="19">
        <f ca="1">IF('Stock Price'!$I$11="OK",C20/INDEX(C$5:C$1258,'Stock Price'!$I$9)-1,"")</f>
        <v>-0.32596140687012465</v>
      </c>
      <c r="Q20" s="19">
        <f ca="1">IF('Stock Price'!$I$11="OK",D20/INDEX(D$5:D$1258,'Stock Price'!$I$9)-1,"")</f>
        <v>1.1988716502115526E-2</v>
      </c>
      <c r="R20" s="19">
        <f ca="1">IF('Stock Price'!$I$11="OK",E20/INDEX(E$5:E$1258,'Stock Price'!$I$9)-1,"")</f>
        <v>-5.6754130223518051E-2</v>
      </c>
      <c r="S20" s="19">
        <f ca="1">IF('Stock Price'!$I$11="OK",F20/INDEX(F$5:F$1258,'Stock Price'!$I$9)-1,"")</f>
        <v>3.5869790586771755E-2</v>
      </c>
      <c r="T20" s="19">
        <f ca="1">IF('Stock Price'!$I$11="OK",G20/INDEX(G$5:G$1258,'Stock Price'!$I$9)-1,"")</f>
        <v>0.2839473684210525</v>
      </c>
      <c r="U20" s="19">
        <f ca="1">IF('Stock Price'!$I$11="OK",H20/INDEX(H$5:H$1258,'Stock Price'!$I$9)-1,"")</f>
        <v>-0.2273367778299672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80.034999999999997</v>
      </c>
      <c r="C21" s="18">
        <v>122.81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-0.42229680958567917</v>
      </c>
      <c r="P21" s="19">
        <f ca="1">IF('Stock Price'!$I$11="OK",C21/INDEX(C$5:C$1258,'Stock Price'!$I$9)-1,"")</f>
        <v>-0.32771315177227323</v>
      </c>
      <c r="Q21" s="19">
        <f ca="1">IF('Stock Price'!$I$11="OK",D21/INDEX(D$5:D$1258,'Stock Price'!$I$9)-1,"")</f>
        <v>1.8033447511585754E-2</v>
      </c>
      <c r="R21" s="19">
        <f ca="1">IF('Stock Price'!$I$11="OK",E21/INDEX(E$5:E$1258,'Stock Price'!$I$9)-1,"")</f>
        <v>-6.6277939747327541E-2</v>
      </c>
      <c r="S21" s="19">
        <f ca="1">IF('Stock Price'!$I$11="OK",F21/INDEX(F$5:F$1258,'Stock Price'!$I$9)-1,"")</f>
        <v>2.7783537217499488E-2</v>
      </c>
      <c r="T21" s="19">
        <f ca="1">IF('Stock Price'!$I$11="OK",G21/INDEX(G$5:G$1258,'Stock Price'!$I$9)-1,"")</f>
        <v>0.27881578947368424</v>
      </c>
      <c r="U21" s="19">
        <f ca="1">IF('Stock Price'!$I$11="OK",H21/INDEX(H$5:H$1258,'Stock Price'!$I$9)-1,"")</f>
        <v>-0.23400657585720996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80.596100000000007</v>
      </c>
      <c r="C22" s="18">
        <v>127.25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-0.41824671574996386</v>
      </c>
      <c r="P22" s="19">
        <f ca="1">IF('Stock Price'!$I$11="OK",C22/INDEX(C$5:C$1258,'Stock Price'!$I$9)-1,"")</f>
        <v>-0.30340769125496103</v>
      </c>
      <c r="Q22" s="19">
        <f ca="1">IF('Stock Price'!$I$11="OK",D22/INDEX(D$5:D$1258,'Stock Price'!$I$9)-1,"")</f>
        <v>6.0850292161998665E-2</v>
      </c>
      <c r="R22" s="19">
        <f ca="1">IF('Stock Price'!$I$11="OK",E22/INDEX(E$5:E$1258,'Stock Price'!$I$9)-1,"")</f>
        <v>-5.2478134110787278E-2</v>
      </c>
      <c r="S22" s="19">
        <f ca="1">IF('Stock Price'!$I$11="OK",F22/INDEX(F$5:F$1258,'Stock Price'!$I$9)-1,"")</f>
        <v>3.9601907526435998E-2</v>
      </c>
      <c r="T22" s="19">
        <f ca="1">IF('Stock Price'!$I$11="OK",G22/INDEX(G$5:G$1258,'Stock Price'!$I$9)-1,"")</f>
        <v>0.28249999999999997</v>
      </c>
      <c r="U22" s="19">
        <f ca="1">IF('Stock Price'!$I$11="OK",H22/INDEX(H$5:H$1258,'Stock Price'!$I$9)-1,"")</f>
        <v>-0.18694222639736968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80.063999999999993</v>
      </c>
      <c r="C23" s="18">
        <v>125.27500000000001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-0.42208748375920313</v>
      </c>
      <c r="P23" s="19">
        <f ca="1">IF('Stock Price'!$I$11="OK",C23/INDEX(C$5:C$1258,'Stock Price'!$I$9)-1,"")</f>
        <v>-0.3142192418229095</v>
      </c>
      <c r="Q23" s="19">
        <f ca="1">IF('Stock Price'!$I$11="OK",D23/INDEX(D$5:D$1258,'Stock Price'!$I$9)-1,"")</f>
        <v>6.6139431795285031E-2</v>
      </c>
      <c r="R23" s="19">
        <f ca="1">IF('Stock Price'!$I$11="OK",E23/INDEX(E$5:E$1258,'Stock Price'!$I$9)-1,"")</f>
        <v>-6.0641399416909714E-2</v>
      </c>
      <c r="S23" s="19">
        <f ca="1">IF('Stock Price'!$I$11="OK",F23/INDEX(F$5:F$1258,'Stock Price'!$I$9)-1,"")</f>
        <v>4.5614762595894698E-2</v>
      </c>
      <c r="T23" s="19">
        <f ca="1">IF('Stock Price'!$I$11="OK",G23/INDEX(G$5:G$1258,'Stock Price'!$I$9)-1,"")</f>
        <v>0.28078947368421048</v>
      </c>
      <c r="U23" s="19">
        <f ca="1">IF('Stock Price'!$I$11="OK",H23/INDEX(H$5:H$1258,'Stock Price'!$I$9)-1,"")</f>
        <v>-0.17285110380460311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81.311999999999998</v>
      </c>
      <c r="C24" s="18">
        <v>127.17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-0.41307925508878296</v>
      </c>
      <c r="P24" s="19">
        <f ca="1">IF('Stock Price'!$I$11="OK",C24/INDEX(C$5:C$1258,'Stock Price'!$I$9)-1,"")</f>
        <v>-0.30384562748049815</v>
      </c>
      <c r="Q24" s="19">
        <f ca="1">IF('Stock Price'!$I$11="OK",D24/INDEX(D$5:D$1258,'Stock Price'!$I$9)-1,"")</f>
        <v>7.2687890388877685E-2</v>
      </c>
      <c r="R24" s="19">
        <f ca="1">IF('Stock Price'!$I$11="OK",E24/INDEX(E$5:E$1258,'Stock Price'!$I$9)-1,"")</f>
        <v>-4.101068999028179E-2</v>
      </c>
      <c r="S24" s="19">
        <f ca="1">IF('Stock Price'!$I$11="OK",F24/INDEX(F$5:F$1258,'Stock Price'!$I$9)-1,"")</f>
        <v>6.3653327804271242E-2</v>
      </c>
      <c r="T24" s="19">
        <f ca="1">IF('Stock Price'!$I$11="OK",G24/INDEX(G$5:G$1258,'Stock Price'!$I$9)-1,"")</f>
        <v>0.30210526315789465</v>
      </c>
      <c r="U24" s="19">
        <f ca="1">IF('Stock Price'!$I$11="OK",H24/INDEX(H$5:H$1258,'Stock Price'!$I$9)-1,"")</f>
        <v>-0.17482386096759039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81.021799999999999</v>
      </c>
      <c r="C25" s="18">
        <v>126.45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-0.41517395697993353</v>
      </c>
      <c r="P25" s="19">
        <f ca="1">IF('Stock Price'!$I$11="OK",C25/INDEX(C$5:C$1258,'Stock Price'!$I$9)-1,"")</f>
        <v>-0.30778705351033253</v>
      </c>
      <c r="Q25" s="19">
        <f ca="1">IF('Stock Price'!$I$11="OK",D25/INDEX(D$5:D$1258,'Stock Price'!$I$9)-1,"")</f>
        <v>7.7977030022164051E-2</v>
      </c>
      <c r="R25" s="19">
        <f ca="1">IF('Stock Price'!$I$11="OK",E25/INDEX(E$5:E$1258,'Stock Price'!$I$9)-1,"")</f>
        <v>-2.6822157434402416E-2</v>
      </c>
      <c r="S25" s="19">
        <f ca="1">IF('Stock Price'!$I$11="OK",F25/INDEX(F$5:F$1258,'Stock Price'!$I$9)-1,"")</f>
        <v>7.6715737093095537E-2</v>
      </c>
      <c r="T25" s="19">
        <f ca="1">IF('Stock Price'!$I$11="OK",G25/INDEX(G$5:G$1258,'Stock Price'!$I$9)-1,"")</f>
        <v>0.31539473684210528</v>
      </c>
      <c r="U25" s="19">
        <f ca="1">IF('Stock Price'!$I$11="OK",H25/INDEX(H$5:H$1258,'Stock Price'!$I$9)-1,"")</f>
        <v>-0.1637388445279474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80.867000000000004</v>
      </c>
      <c r="C26" s="18">
        <v>129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-0.41629132380539913</v>
      </c>
      <c r="P26" s="19">
        <f ca="1">IF('Stock Price'!$I$11="OK",C26/INDEX(C$5:C$1258,'Stock Price'!$I$9)-1,"")</f>
        <v>-0.2938278363213358</v>
      </c>
      <c r="Q26" s="19">
        <f ca="1">IF('Stock Price'!$I$11="OK",D26/INDEX(D$5:D$1258,'Stock Price'!$I$9)-1,"")</f>
        <v>9.6363086842635504E-2</v>
      </c>
      <c r="R26" s="19">
        <f ca="1">IF('Stock Price'!$I$11="OK",E26/INDEX(E$5:E$1258,'Stock Price'!$I$9)-1,"")</f>
        <v>-1.9436345966958202E-2</v>
      </c>
      <c r="S26" s="19">
        <f ca="1">IF('Stock Price'!$I$11="OK",F26/INDEX(F$5:F$1258,'Stock Price'!$I$9)-1,"")</f>
        <v>8.542400995231203E-2</v>
      </c>
      <c r="T26" s="19">
        <f ca="1">IF('Stock Price'!$I$11="OK",G26/INDEX(G$5:G$1258,'Stock Price'!$I$9)-1,"")</f>
        <v>0.32236842105263164</v>
      </c>
      <c r="U26" s="19">
        <f ca="1">IF('Stock Price'!$I$11="OK",H26/INDEX(H$5:H$1258,'Stock Price'!$I$9)-1,"")</f>
        <v>-0.16693283231564116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80.963700000000003</v>
      </c>
      <c r="C27" s="18">
        <v>129.91999999999999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-0.41559333044608049</v>
      </c>
      <c r="P27" s="19">
        <f ca="1">IF('Stock Price'!$I$11="OK",C27/INDEX(C$5:C$1258,'Stock Price'!$I$9)-1,"")</f>
        <v>-0.28879156972765851</v>
      </c>
      <c r="Q27" s="19">
        <f ca="1">IF('Stock Price'!$I$11="OK",D27/INDEX(D$5:D$1258,'Stock Price'!$I$9)-1,"")</f>
        <v>8.3014305863388982E-2</v>
      </c>
      <c r="R27" s="19">
        <f ca="1">IF('Stock Price'!$I$11="OK",E27/INDEX(E$5:E$1258,'Stock Price'!$I$9)-1,"")</f>
        <v>-8.3576287657920467E-3</v>
      </c>
      <c r="S27" s="19">
        <f ca="1">IF('Stock Price'!$I$11="OK",F27/INDEX(F$5:F$1258,'Stock Price'!$I$9)-1,"")</f>
        <v>7.3812979473356854E-2</v>
      </c>
      <c r="T27" s="19">
        <f ca="1">IF('Stock Price'!$I$11="OK",G27/INDEX(G$5:G$1258,'Stock Price'!$I$9)-1,"")</f>
        <v>0.31447368421052646</v>
      </c>
      <c r="U27" s="19">
        <f ca="1">IF('Stock Price'!$I$11="OK",H27/INDEX(H$5:H$1258,'Stock Price'!$I$9)-1,"")</f>
        <v>-0.14945984030061055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80.924999999999997</v>
      </c>
      <c r="C28" s="18">
        <v>125.47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-0.41587267215244694</v>
      </c>
      <c r="P28" s="19">
        <f ca="1">IF('Stock Price'!$I$11="OK",C28/INDEX(C$5:C$1258,'Stock Price'!$I$9)-1,"")</f>
        <v>-0.31315177227316282</v>
      </c>
      <c r="Q28" s="19">
        <f ca="1">IF('Stock Price'!$I$11="OK",D28/INDEX(D$5:D$1258,'Stock Price'!$I$9)-1,"")</f>
        <v>9.5355631674390429E-2</v>
      </c>
      <c r="R28" s="19">
        <f ca="1">IF('Stock Price'!$I$11="OK",E28/INDEX(E$5:E$1258,'Stock Price'!$I$9)-1,"")</f>
        <v>-2.4295432458697808E-2</v>
      </c>
      <c r="S28" s="19">
        <f ca="1">IF('Stock Price'!$I$11="OK",F28/INDEX(F$5:F$1258,'Stock Price'!$I$9)-1,"")</f>
        <v>6.3445987974289908E-2</v>
      </c>
      <c r="T28" s="19">
        <f ca="1">IF('Stock Price'!$I$11="OK",G28/INDEX(G$5:G$1258,'Stock Price'!$I$9)-1,"")</f>
        <v>0.3085526315789473</v>
      </c>
      <c r="U28" s="19">
        <f ca="1">IF('Stock Price'!$I$11="OK",H28/INDEX(H$5:H$1258,'Stock Price'!$I$9)-1,"")</f>
        <v>-0.23334899013621424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80.509</v>
      </c>
      <c r="C29" s="18">
        <v>128.37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-0.41887541504258696</v>
      </c>
      <c r="P29" s="19">
        <f ca="1">IF('Stock Price'!$I$11="OK",C29/INDEX(C$5:C$1258,'Stock Price'!$I$9)-1,"")</f>
        <v>-0.29727658409744084</v>
      </c>
      <c r="Q29" s="19">
        <f ca="1">IF('Stock Price'!$I$11="OK",D29/INDEX(D$5:D$1258,'Stock Price'!$I$9)-1,"")</f>
        <v>7.7221438645980189E-2</v>
      </c>
      <c r="R29" s="19">
        <f ca="1">IF('Stock Price'!$I$11="OK",E29/INDEX(E$5:E$1258,'Stock Price'!$I$9)-1,"")</f>
        <v>-2.4101068999028197E-2</v>
      </c>
      <c r="S29" s="19">
        <f ca="1">IF('Stock Price'!$I$11="OK",F29/INDEX(F$5:F$1258,'Stock Price'!$I$9)-1,"")</f>
        <v>5.9713871034625887E-2</v>
      </c>
      <c r="T29" s="19">
        <f ca="1">IF('Stock Price'!$I$11="OK",G29/INDEX(G$5:G$1258,'Stock Price'!$I$9)-1,"")</f>
        <v>0.31605263157894736</v>
      </c>
      <c r="U29" s="19">
        <f ca="1">IF('Stock Price'!$I$11="OK",H29/INDEX(H$5:H$1258,'Stock Price'!$I$9)-1,"")</f>
        <v>-0.22329732268670732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80.383300000000006</v>
      </c>
      <c r="C30" s="18">
        <v>126.42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-0.41978273422838164</v>
      </c>
      <c r="P30" s="19">
        <f ca="1">IF('Stock Price'!$I$11="OK",C30/INDEX(C$5:C$1258,'Stock Price'!$I$9)-1,"")</f>
        <v>-0.30795127959490898</v>
      </c>
      <c r="Q30" s="19">
        <f ca="1">IF('Stock Price'!$I$11="OK",D30/INDEX(D$5:D$1258,'Stock Price'!$I$9)-1,"")</f>
        <v>7.6213983477735114E-2</v>
      </c>
      <c r="R30" s="19">
        <f ca="1">IF('Stock Price'!$I$11="OK",E30/INDEX(E$5:E$1258,'Stock Price'!$I$9)-1,"")</f>
        <v>-1.9825072886297423E-2</v>
      </c>
      <c r="S30" s="19">
        <f ca="1">IF('Stock Price'!$I$11="OK",F30/INDEX(F$5:F$1258,'Stock Price'!$I$9)-1,"")</f>
        <v>6.2823968484345905E-2</v>
      </c>
      <c r="T30" s="19">
        <f ca="1">IF('Stock Price'!$I$11="OK",G30/INDEX(G$5:G$1258,'Stock Price'!$I$9)-1,"")</f>
        <v>0.33552631578947367</v>
      </c>
      <c r="U30" s="19">
        <f ca="1">IF('Stock Price'!$I$11="OK",H30/INDEX(H$5:H$1258,'Stock Price'!$I$9)-1,"")</f>
        <v>-0.22292155941756697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80.460700000000003</v>
      </c>
      <c r="C31" s="18">
        <v>126.77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-0.41922405081564884</v>
      </c>
      <c r="P31" s="19">
        <f ca="1">IF('Stock Price'!$I$11="OK",C31/INDEX(C$5:C$1258,'Stock Price'!$I$9)-1,"")</f>
        <v>-0.30603530860818395</v>
      </c>
      <c r="Q31" s="19">
        <f ca="1">IF('Stock Price'!$I$11="OK",D31/INDEX(D$5:D$1258,'Stock Price'!$I$9)-1,"")</f>
        <v>8.7547854120491708E-2</v>
      </c>
      <c r="R31" s="19">
        <f ca="1">IF('Stock Price'!$I$11="OK",E31/INDEX(E$5:E$1258,'Stock Price'!$I$9)-1,"")</f>
        <v>-2.3906705539358697E-2</v>
      </c>
      <c r="S31" s="19">
        <f ca="1">IF('Stock Price'!$I$11="OK",F31/INDEX(F$5:F$1258,'Stock Price'!$I$9)-1,"")</f>
        <v>6.4482687124196802E-2</v>
      </c>
      <c r="T31" s="19">
        <f ca="1">IF('Stock Price'!$I$11="OK",G31/INDEX(G$5:G$1258,'Stock Price'!$I$9)-1,"")</f>
        <v>0.34868421052631571</v>
      </c>
      <c r="U31" s="19">
        <f ca="1">IF('Stock Price'!$I$11="OK",H31/INDEX(H$5:H$1258,'Stock Price'!$I$9)-1,"")</f>
        <v>-0.21080319398778768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80.141400000000004</v>
      </c>
      <c r="C32" s="18">
        <v>126.92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-0.42152880034647022</v>
      </c>
      <c r="P32" s="19">
        <f ca="1">IF('Stock Price'!$I$11="OK",C32/INDEX(C$5:C$1258,'Stock Price'!$I$9)-1,"")</f>
        <v>-0.30521417818530183</v>
      </c>
      <c r="Q32" s="19">
        <f ca="1">IF('Stock Price'!$I$11="OK",D32/INDEX(D$5:D$1258,'Stock Price'!$I$9)-1,"")</f>
        <v>8.8807173080797774E-2</v>
      </c>
      <c r="R32" s="19">
        <f ca="1">IF('Stock Price'!$I$11="OK",E32/INDEX(E$5:E$1258,'Stock Price'!$I$9)-1,"")</f>
        <v>-2.0602526724975756E-2</v>
      </c>
      <c r="S32" s="19">
        <f ca="1">IF('Stock Price'!$I$11="OK",F32/INDEX(F$5:F$1258,'Stock Price'!$I$9)-1,"")</f>
        <v>6.8836823553804605E-2</v>
      </c>
      <c r="T32" s="19">
        <f ca="1">IF('Stock Price'!$I$11="OK",G32/INDEX(G$5:G$1258,'Stock Price'!$I$9)-1,"")</f>
        <v>0.33842105263157896</v>
      </c>
      <c r="U32" s="19">
        <f ca="1">IF('Stock Price'!$I$11="OK",H32/INDEX(H$5:H$1258,'Stock Price'!$I$9)-1,"")</f>
        <v>-0.2107092531705026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79.802800000000005</v>
      </c>
      <c r="C33" s="18">
        <v>118.39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-0.42397285982387756</v>
      </c>
      <c r="P33" s="19">
        <f ca="1">IF('Stock Price'!$I$11="OK",C33/INDEX(C$5:C$1258,'Stock Price'!$I$9)-1,"")</f>
        <v>-0.35190912823320109</v>
      </c>
      <c r="Q33" s="19">
        <f ca="1">IF('Stock Price'!$I$11="OK",D33/INDEX(D$5:D$1258,'Stock Price'!$I$9)-1,"")</f>
        <v>9.2081402377594213E-2</v>
      </c>
      <c r="R33" s="19">
        <f ca="1">IF('Stock Price'!$I$11="OK",E33/INDEX(E$5:E$1258,'Stock Price'!$I$9)-1,"")</f>
        <v>-2.7210884353741638E-2</v>
      </c>
      <c r="S33" s="19">
        <f ca="1">IF('Stock Price'!$I$11="OK",F33/INDEX(F$5:F$1258,'Stock Price'!$I$9)-1,"")</f>
        <v>5.2664316815260293E-2</v>
      </c>
      <c r="T33" s="19">
        <f ca="1">IF('Stock Price'!$I$11="OK",G33/INDEX(G$5:G$1258,'Stock Price'!$I$9)-1,"")</f>
        <v>0.33657894736842109</v>
      </c>
      <c r="U33" s="19">
        <f ca="1">IF('Stock Price'!$I$11="OK",H33/INDEX(H$5:H$1258,'Stock Price'!$I$9)-1,"")</f>
        <v>-0.21089713480507277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79.599699999999999</v>
      </c>
      <c r="C34" s="18">
        <v>123.13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-0.42543886242240503</v>
      </c>
      <c r="P34" s="19">
        <f ca="1">IF('Stock Price'!$I$11="OK",C34/INDEX(C$5:C$1258,'Stock Price'!$I$9)-1,"")</f>
        <v>-0.32596140687012465</v>
      </c>
      <c r="Q34" s="19">
        <f ca="1">IF('Stock Price'!$I$11="OK",D34/INDEX(D$5:D$1258,'Stock Price'!$I$9)-1,"")</f>
        <v>8.7295990328430273E-2</v>
      </c>
      <c r="R34" s="19">
        <f ca="1">IF('Stock Price'!$I$11="OK",E34/INDEX(E$5:E$1258,'Stock Price'!$I$9)-1,"")</f>
        <v>-3.3819241982507298E-2</v>
      </c>
      <c r="S34" s="19">
        <f ca="1">IF('Stock Price'!$I$11="OK",F34/INDEX(F$5:F$1258,'Stock Price'!$I$9)-1,"")</f>
        <v>5.9506531204644553E-2</v>
      </c>
      <c r="T34" s="19">
        <f ca="1">IF('Stock Price'!$I$11="OK",G34/INDEX(G$5:G$1258,'Stock Price'!$I$9)-1,"")</f>
        <v>0.32552631578947366</v>
      </c>
      <c r="U34" s="19">
        <f ca="1">IF('Stock Price'!$I$11="OK",H34/INDEX(H$5:H$1258,'Stock Price'!$I$9)-1,"")</f>
        <v>-0.21380930014091126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79.241699999999994</v>
      </c>
      <c r="C35" s="18">
        <v>116.81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-0.42802295365959286</v>
      </c>
      <c r="P35" s="19">
        <f ca="1">IF('Stock Price'!$I$11="OK",C35/INDEX(C$5:C$1258,'Stock Price'!$I$9)-1,"")</f>
        <v>-0.36055836868755986</v>
      </c>
      <c r="Q35" s="19">
        <f ca="1">IF('Stock Price'!$I$11="OK",D35/INDEX(D$5:D$1258,'Stock Price'!$I$9)-1,"")</f>
        <v>6.9161797300020034E-2</v>
      </c>
      <c r="R35" s="19">
        <f ca="1">IF('Stock Price'!$I$11="OK",E35/INDEX(E$5:E$1258,'Stock Price'!$I$9)-1,"")</f>
        <v>-3.5762876579203184E-2</v>
      </c>
      <c r="S35" s="19">
        <f ca="1">IF('Stock Price'!$I$11="OK",F35/INDEX(F$5:F$1258,'Stock Price'!$I$9)-1,"")</f>
        <v>5.5567074434998975E-2</v>
      </c>
      <c r="T35" s="19">
        <f ca="1">IF('Stock Price'!$I$11="OK",G35/INDEX(G$5:G$1258,'Stock Price'!$I$9)-1,"")</f>
        <v>0.31894736842105265</v>
      </c>
      <c r="U35" s="19">
        <f ca="1">IF('Stock Price'!$I$11="OK",H35/INDEX(H$5:H$1258,'Stock Price'!$I$9)-1,"")</f>
        <v>-0.20986378581493659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79.231999999999999</v>
      </c>
      <c r="C36" s="18">
        <v>115.94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-0.42809296953948317</v>
      </c>
      <c r="P36" s="19">
        <f ca="1">IF('Stock Price'!$I$11="OK",C36/INDEX(C$5:C$1258,'Stock Price'!$I$9)-1,"")</f>
        <v>-0.36532092514027648</v>
      </c>
      <c r="Q36" s="19">
        <f ca="1">IF('Stock Price'!$I$11="OK",D36/INDEX(D$5:D$1258,'Stock Price'!$I$9)-1,"")</f>
        <v>7.168043522063261E-2</v>
      </c>
      <c r="R36" s="19">
        <f ca="1">IF('Stock Price'!$I$11="OK",E36/INDEX(E$5:E$1258,'Stock Price'!$I$9)-1,"")</f>
        <v>-3.0903790087463578E-2</v>
      </c>
      <c r="S36" s="19">
        <f ca="1">IF('Stock Price'!$I$11="OK",F36/INDEX(F$5:F$1258,'Stock Price'!$I$9)-1,"")</f>
        <v>5.764047273481232E-2</v>
      </c>
      <c r="T36" s="19">
        <f ca="1">IF('Stock Price'!$I$11="OK",G36/INDEX(G$5:G$1258,'Stock Price'!$I$9)-1,"")</f>
        <v>0.31302631578947371</v>
      </c>
      <c r="U36" s="19">
        <f ca="1">IF('Stock Price'!$I$11="OK",H36/INDEX(H$5:H$1258,'Stock Price'!$I$9)-1,"")</f>
        <v>-0.22404884922498836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79.299800000000005</v>
      </c>
      <c r="C37" s="18">
        <v>112.42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-0.42760358019344591</v>
      </c>
      <c r="P37" s="19">
        <f ca="1">IF('Stock Price'!$I$11="OK",C37/INDEX(C$5:C$1258,'Stock Price'!$I$9)-1,"")</f>
        <v>-0.38459011906391138</v>
      </c>
      <c r="Q37" s="19">
        <f ca="1">IF('Stock Price'!$I$11="OK",D37/INDEX(D$5:D$1258,'Stock Price'!$I$9)-1,"")</f>
        <v>4.5234737054201002E-2</v>
      </c>
      <c r="R37" s="19">
        <f ca="1">IF('Stock Price'!$I$11="OK",E37/INDEX(E$5:E$1258,'Stock Price'!$I$9)-1,"")</f>
        <v>-3.1681243926141911E-2</v>
      </c>
      <c r="S37" s="19">
        <f ca="1">IF('Stock Price'!$I$11="OK",F37/INDEX(F$5:F$1258,'Stock Price'!$I$9)-1,"")</f>
        <v>4.0223927016380001E-2</v>
      </c>
      <c r="T37" s="19">
        <f ca="1">IF('Stock Price'!$I$11="OK",G37/INDEX(G$5:G$1258,'Stock Price'!$I$9)-1,"")</f>
        <v>0.2973684210526315</v>
      </c>
      <c r="U37" s="19">
        <f ca="1">IF('Stock Price'!$I$11="OK",H37/INDEX(H$5:H$1258,'Stock Price'!$I$9)-1,"")</f>
        <v>-0.21982151244715831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78.999899999999997</v>
      </c>
      <c r="C38" s="18">
        <v>112.6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-0.42976829796448679</v>
      </c>
      <c r="P38" s="19">
        <f ca="1">IF('Stock Price'!$I$11="OK",C38/INDEX(C$5:C$1258,'Stock Price'!$I$9)-1,"")</f>
        <v>-0.38360476255645282</v>
      </c>
      <c r="Q38" s="19">
        <f ca="1">IF('Stock Price'!$I$11="OK",D38/INDEX(D$5:D$1258,'Stock Price'!$I$9)-1,"")</f>
        <v>4.7501511182752365E-2</v>
      </c>
      <c r="R38" s="19">
        <f ca="1">IF('Stock Price'!$I$11="OK",E38/INDEX(E$5:E$1258,'Stock Price'!$I$9)-1,"")</f>
        <v>-3.3041788143828965E-2</v>
      </c>
      <c r="S38" s="19">
        <f ca="1">IF('Stock Price'!$I$11="OK",F38/INDEX(F$5:F$1258,'Stock Price'!$I$9)-1,"")</f>
        <v>4.976155919552161E-2</v>
      </c>
      <c r="T38" s="19">
        <f ca="1">IF('Stock Price'!$I$11="OK",G38/INDEX(G$5:G$1258,'Stock Price'!$I$9)-1,"")</f>
        <v>0.2667105263157894</v>
      </c>
      <c r="U38" s="19">
        <f ca="1">IF('Stock Price'!$I$11="OK",H38/INDEX(H$5:H$1258,'Stock Price'!$I$9)-1,"")</f>
        <v>-0.2418976045091592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78.670900000000003</v>
      </c>
      <c r="C39" s="18">
        <v>114.21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-0.43214306337519848</v>
      </c>
      <c r="P39" s="19">
        <f ca="1">IF('Stock Price'!$I$11="OK",C39/INDEX(C$5:C$1258,'Stock Price'!$I$9)-1,"")</f>
        <v>-0.37479129601751748</v>
      </c>
      <c r="Q39" s="19">
        <f ca="1">IF('Stock Price'!$I$11="OK",D39/INDEX(D$5:D$1258,'Stock Price'!$I$9)-1,"")</f>
        <v>3.9945597420914636E-2</v>
      </c>
      <c r="R39" s="19">
        <f ca="1">IF('Stock Price'!$I$11="OK",E39/INDEX(E$5:E$1258,'Stock Price'!$I$9)-1,"")</f>
        <v>-4.8785228377065226E-2</v>
      </c>
      <c r="S39" s="19">
        <f ca="1">IF('Stock Price'!$I$11="OK",F39/INDEX(F$5:F$1258,'Stock Price'!$I$9)-1,"")</f>
        <v>3.6077130416753089E-2</v>
      </c>
      <c r="T39" s="19">
        <f ca="1">IF('Stock Price'!$I$11="OK",G39/INDEX(G$5:G$1258,'Stock Price'!$I$9)-1,"")</f>
        <v>0.26842105263157912</v>
      </c>
      <c r="U39" s="19">
        <f ca="1">IF('Stock Price'!$I$11="OK",H39/INDEX(H$5:H$1258,'Stock Price'!$I$9)-1,"")</f>
        <v>-0.23306716768435887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79.977000000000004</v>
      </c>
      <c r="C40" s="18">
        <v>112.25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-0.42271546123863135</v>
      </c>
      <c r="P40" s="19">
        <f ca="1">IF('Stock Price'!$I$11="OK",C40/INDEX(C$5:C$1258,'Stock Price'!$I$9)-1,"")</f>
        <v>-0.38552073354317784</v>
      </c>
      <c r="Q40" s="19">
        <f ca="1">IF('Stock Price'!$I$11="OK",D40/INDEX(D$5:D$1258,'Stock Price'!$I$9)-1,"")</f>
        <v>4.7753374974813578E-2</v>
      </c>
      <c r="R40" s="19">
        <f ca="1">IF('Stock Price'!$I$11="OK",E40/INDEX(E$5:E$1258,'Stock Price'!$I$9)-1,"")</f>
        <v>-6.4334305150631765E-2</v>
      </c>
      <c r="S40" s="19">
        <f ca="1">IF('Stock Price'!$I$11="OK",F40/INDEX(F$5:F$1258,'Stock Price'!$I$9)-1,"")</f>
        <v>3.4833091436865082E-2</v>
      </c>
      <c r="T40" s="19">
        <f ca="1">IF('Stock Price'!$I$11="OK",G40/INDEX(G$5:G$1258,'Stock Price'!$I$9)-1,"")</f>
        <v>0.28118421052631581</v>
      </c>
      <c r="U40" s="19">
        <f ca="1">IF('Stock Price'!$I$11="OK",H40/INDEX(H$5:H$1258,'Stock Price'!$I$9)-1,"")</f>
        <v>-0.22217003287928605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79.241699999999994</v>
      </c>
      <c r="C41" s="18">
        <v>113.72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-0.42802295365959286</v>
      </c>
      <c r="P41" s="19">
        <f ca="1">IF('Stock Price'!$I$11="OK",C41/INDEX(C$5:C$1258,'Stock Price'!$I$9)-1,"")</f>
        <v>-0.37747365539893263</v>
      </c>
      <c r="Q41" s="19">
        <f ca="1">IF('Stock Price'!$I$11="OK",D41/INDEX(D$5:D$1258,'Stock Price'!$I$9)-1,"")</f>
        <v>4.7753374974813578E-2</v>
      </c>
      <c r="R41" s="19">
        <f ca="1">IF('Stock Price'!$I$11="OK",E41/INDEX(E$5:E$1258,'Stock Price'!$I$9)-1,"")</f>
        <v>-6.0641399416909714E-2</v>
      </c>
      <c r="S41" s="19">
        <f ca="1">IF('Stock Price'!$I$11="OK",F41/INDEX(F$5:F$1258,'Stock Price'!$I$9)-1,"")</f>
        <v>1.866058469832077E-2</v>
      </c>
      <c r="T41" s="19">
        <f ca="1">IF('Stock Price'!$I$11="OK",G41/INDEX(G$5:G$1258,'Stock Price'!$I$9)-1,"")</f>
        <v>0.24921052631578955</v>
      </c>
      <c r="U41" s="19">
        <f ca="1">IF('Stock Price'!$I$11="OK",H41/INDEX(H$5:H$1258,'Stock Price'!$I$9)-1,"")</f>
        <v>-0.22705495537811182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78.071100000000001</v>
      </c>
      <c r="C42" s="18">
        <v>112.355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-0.43647249891728013</v>
      </c>
      <c r="P42" s="19">
        <f ca="1">IF('Stock Price'!$I$11="OK",C42/INDEX(C$5:C$1258,'Stock Price'!$I$9)-1,"")</f>
        <v>-0.38494594224716028</v>
      </c>
      <c r="Q42" s="19">
        <f ca="1">IF('Stock Price'!$I$11="OK",D42/INDEX(D$5:D$1258,'Stock Price'!$I$9)-1,"")</f>
        <v>3.3145275035260768E-2</v>
      </c>
      <c r="R42" s="19">
        <f ca="1">IF('Stock Price'!$I$11="OK",E42/INDEX(E$5:E$1258,'Stock Price'!$I$9)-1,"")</f>
        <v>-5.9086491739553049E-2</v>
      </c>
      <c r="S42" s="19">
        <f ca="1">IF('Stock Price'!$I$11="OK",F42/INDEX(F$5:F$1258,'Stock Price'!$I$9)-1,"")</f>
        <v>1.4513788098693414E-3</v>
      </c>
      <c r="T42" s="19">
        <f ca="1">IF('Stock Price'!$I$11="OK",G42/INDEX(G$5:G$1258,'Stock Price'!$I$9)-1,"")</f>
        <v>0.19842105263157883</v>
      </c>
      <c r="U42" s="19">
        <f ca="1">IF('Stock Price'!$I$11="OK",H42/INDEX(H$5:H$1258,'Stock Price'!$I$9)-1,"")</f>
        <v>-0.25636449037106623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77.655100000000004</v>
      </c>
      <c r="C43" s="18">
        <v>112.35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-0.43947524180742015</v>
      </c>
      <c r="P43" s="19">
        <f ca="1">IF('Stock Price'!$I$11="OK",C43/INDEX(C$5:C$1258,'Stock Price'!$I$9)-1,"")</f>
        <v>-0.38497331326125639</v>
      </c>
      <c r="Q43" s="19">
        <f ca="1">IF('Stock Price'!$I$11="OK",D43/INDEX(D$5:D$1258,'Stock Price'!$I$9)-1,"")</f>
        <v>4.1708643965343573E-2</v>
      </c>
      <c r="R43" s="19">
        <f ca="1">IF('Stock Price'!$I$11="OK",E43/INDEX(E$5:E$1258,'Stock Price'!$I$9)-1,"")</f>
        <v>-6.0641399416909714E-2</v>
      </c>
      <c r="S43" s="19">
        <f ca="1">IF('Stock Price'!$I$11="OK",F43/INDEX(F$5:F$1258,'Stock Price'!$I$9)-1,"")</f>
        <v>-4.1467965996255796E-4</v>
      </c>
      <c r="T43" s="19">
        <f ca="1">IF('Stock Price'!$I$11="OK",G43/INDEX(G$5:G$1258,'Stock Price'!$I$9)-1,"")</f>
        <v>0.19263157894736849</v>
      </c>
      <c r="U43" s="19">
        <f ca="1">IF('Stock Price'!$I$11="OK",H43/INDEX(H$5:H$1258,'Stock Price'!$I$9)-1,"")</f>
        <v>-0.29647721935180837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77.103700000000003</v>
      </c>
      <c r="C44" s="18">
        <v>111.57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-0.44345531976324526</v>
      </c>
      <c r="P44" s="19">
        <f ca="1">IF('Stock Price'!$I$11="OK",C44/INDEX(C$5:C$1258,'Stock Price'!$I$9)-1,"")</f>
        <v>-0.38924319146024366</v>
      </c>
      <c r="Q44" s="19">
        <f ca="1">IF('Stock Price'!$I$11="OK",D44/INDEX(D$5:D$1258,'Stock Price'!$I$9)-1,"")</f>
        <v>3.5663912955873345E-2</v>
      </c>
      <c r="R44" s="19">
        <f ca="1">IF('Stock Price'!$I$11="OK",E44/INDEX(E$5:E$1258,'Stock Price'!$I$9)-1,"")</f>
        <v>-5.1895043731778445E-2</v>
      </c>
      <c r="S44" s="19">
        <f ca="1">IF('Stock Price'!$I$11="OK",F44/INDEX(F$5:F$1258,'Stock Price'!$I$9)-1,"")</f>
        <v>-1.3684428778768298E-2</v>
      </c>
      <c r="T44" s="19">
        <f ca="1">IF('Stock Price'!$I$11="OK",G44/INDEX(G$5:G$1258,'Stock Price'!$I$9)-1,"")</f>
        <v>0.17157894736842105</v>
      </c>
      <c r="U44" s="19">
        <f ca="1">IF('Stock Price'!$I$11="OK",H44/INDEX(H$5:H$1258,'Stock Price'!$I$9)-1,"")</f>
        <v>-0.2962893377172382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77.219800000000006</v>
      </c>
      <c r="C45" s="18">
        <v>109.35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-0.44261729464414601</v>
      </c>
      <c r="P45" s="19">
        <f ca="1">IF('Stock Price'!$I$11="OK",C45/INDEX(C$5:C$1258,'Stock Price'!$I$9)-1,"")</f>
        <v>-0.40139592171889971</v>
      </c>
      <c r="Q45" s="19">
        <f ca="1">IF('Stock Price'!$I$11="OK",D45/INDEX(D$5:D$1258,'Stock Price'!$I$9)-1,"")</f>
        <v>4.1960507757404786E-2</v>
      </c>
      <c r="R45" s="19">
        <f ca="1">IF('Stock Price'!$I$11="OK",E45/INDEX(E$5:E$1258,'Stock Price'!$I$9)-1,"")</f>
        <v>-4.4897959183673564E-2</v>
      </c>
      <c r="S45" s="19">
        <f ca="1">IF('Stock Price'!$I$11="OK",F45/INDEX(F$5:F$1258,'Stock Price'!$I$9)-1,"")</f>
        <v>-3.5247771096826863E-3</v>
      </c>
      <c r="T45" s="19">
        <f ca="1">IF('Stock Price'!$I$11="OK",G45/INDEX(G$5:G$1258,'Stock Price'!$I$9)-1,"")</f>
        <v>0.19394736842105265</v>
      </c>
      <c r="U45" s="19">
        <f ca="1">IF('Stock Price'!$I$11="OK",H45/INDEX(H$5:H$1258,'Stock Price'!$I$9)-1,"")</f>
        <v>-0.30070455612963842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77.345600000000005</v>
      </c>
      <c r="C46" s="18">
        <v>111.42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-0.44170925364515656</v>
      </c>
      <c r="P46" s="19">
        <f ca="1">IF('Stock Price'!$I$11="OK",C46/INDEX(C$5:C$1258,'Stock Price'!$I$9)-1,"")</f>
        <v>-0.39006432188312579</v>
      </c>
      <c r="Q46" s="19">
        <f ca="1">IF('Stock Price'!$I$11="OK",D46/INDEX(D$5:D$1258,'Stock Price'!$I$9)-1,"")</f>
        <v>4.447914567801714E-2</v>
      </c>
      <c r="R46" s="19">
        <f ca="1">IF('Stock Price'!$I$11="OK",E46/INDEX(E$5:E$1258,'Stock Price'!$I$9)-1,"")</f>
        <v>-3.7512147716229349E-2</v>
      </c>
      <c r="S46" s="19">
        <f ca="1">IF('Stock Price'!$I$11="OK",F46/INDEX(F$5:F$1258,'Stock Price'!$I$9)-1,"")</f>
        <v>-1.1196350818992284E-2</v>
      </c>
      <c r="T46" s="19">
        <f ca="1">IF('Stock Price'!$I$11="OK",G46/INDEX(G$5:G$1258,'Stock Price'!$I$9)-1,"")</f>
        <v>0.18250000000000011</v>
      </c>
      <c r="U46" s="19">
        <f ca="1">IF('Stock Price'!$I$11="OK",H46/INDEX(H$5:H$1258,'Stock Price'!$I$9)-1,"")</f>
        <v>-0.30587130108031946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77.393900000000002</v>
      </c>
      <c r="C47" s="18">
        <v>109.66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-0.44136061787209468</v>
      </c>
      <c r="P47" s="19">
        <f ca="1">IF('Stock Price'!$I$11="OK",C47/INDEX(C$5:C$1258,'Stock Price'!$I$9)-1,"")</f>
        <v>-0.39969891884494324</v>
      </c>
      <c r="Q47" s="19">
        <f ca="1">IF('Stock Price'!$I$11="OK",D47/INDEX(D$5:D$1258,'Stock Price'!$I$9)-1,"")</f>
        <v>3.8938142252669783E-2</v>
      </c>
      <c r="R47" s="19">
        <f ca="1">IF('Stock Price'!$I$11="OK",E47/INDEX(E$5:E$1258,'Stock Price'!$I$9)-1,"")</f>
        <v>-4.081632653061229E-2</v>
      </c>
      <c r="S47" s="19">
        <f ca="1">IF('Stock Price'!$I$11="OK",F47/INDEX(F$5:F$1258,'Stock Price'!$I$9)-1,"")</f>
        <v>-2.4051420277835356E-2</v>
      </c>
      <c r="T47" s="19">
        <f ca="1">IF('Stock Price'!$I$11="OK",G47/INDEX(G$5:G$1258,'Stock Price'!$I$9)-1,"")</f>
        <v>0.1646052631578947</v>
      </c>
      <c r="U47" s="19">
        <f ca="1">IF('Stock Price'!$I$11="OK",H47/INDEX(H$5:H$1258,'Stock Price'!$I$9)-1,"")</f>
        <v>-0.31103804603100049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77.906700000000001</v>
      </c>
      <c r="C48" s="18">
        <v>110.93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-0.43765915980944126</v>
      </c>
      <c r="P48" s="19">
        <f ca="1">IF('Stock Price'!$I$11="OK",C48/INDEX(C$5:C$1258,'Stock Price'!$I$9)-1,"")</f>
        <v>-0.39274668126454082</v>
      </c>
      <c r="Q48" s="19">
        <f ca="1">IF('Stock Price'!$I$11="OK",D48/INDEX(D$5:D$1258,'Stock Price'!$I$9)-1,"")</f>
        <v>5.1783195647793656E-2</v>
      </c>
      <c r="R48" s="19">
        <f ca="1">IF('Stock Price'!$I$11="OK",E48/INDEX(E$5:E$1258,'Stock Price'!$I$9)-1,"")</f>
        <v>-3.3430515063168187E-2</v>
      </c>
      <c r="S48" s="19">
        <f ca="1">IF('Stock Price'!$I$11="OK",F48/INDEX(F$5:F$1258,'Stock Price'!$I$9)-1,"")</f>
        <v>-1.3891768608749633E-2</v>
      </c>
      <c r="T48" s="19">
        <f ca="1">IF('Stock Price'!$I$11="OK",G48/INDEX(G$5:G$1258,'Stock Price'!$I$9)-1,"")</f>
        <v>0.17328947368421055</v>
      </c>
      <c r="U48" s="19">
        <f ca="1">IF('Stock Price'!$I$11="OK",H48/INDEX(H$5:H$1258,'Stock Price'!$I$9)-1,"")</f>
        <v>-0.31028651949271957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78.0518</v>
      </c>
      <c r="C49" s="18">
        <v>108.63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-0.43661180886386597</v>
      </c>
      <c r="P49" s="19">
        <f ca="1">IF('Stock Price'!$I$11="OK",C49/INDEX(C$5:C$1258,'Stock Price'!$I$9)-1,"")</f>
        <v>-0.4053373477487342</v>
      </c>
      <c r="Q49" s="19">
        <f ca="1">IF('Stock Price'!$I$11="OK",D49/INDEX(D$5:D$1258,'Stock Price'!$I$9)-1,"")</f>
        <v>6.7398750755591319E-2</v>
      </c>
      <c r="R49" s="19">
        <f ca="1">IF('Stock Price'!$I$11="OK",E49/INDEX(E$5:E$1258,'Stock Price'!$I$9)-1,"")</f>
        <v>-3.2653061224489743E-2</v>
      </c>
      <c r="S49" s="19">
        <f ca="1">IF('Stock Price'!$I$11="OK",F49/INDEX(F$5:F$1258,'Stock Price'!$I$9)-1,"")</f>
        <v>-6.6348745594028147E-3</v>
      </c>
      <c r="T49" s="19">
        <f ca="1">IF('Stock Price'!$I$11="OK",G49/INDEX(G$5:G$1258,'Stock Price'!$I$9)-1,"")</f>
        <v>0.20289473684210524</v>
      </c>
      <c r="U49" s="19">
        <f ca="1">IF('Stock Price'!$I$11="OK",H49/INDEX(H$5:H$1258,'Stock Price'!$I$9)-1,"")</f>
        <v>-0.32099577266322221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78.709599999999995</v>
      </c>
      <c r="C50" s="18">
        <v>112.47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-0.43186372166883213</v>
      </c>
      <c r="P50" s="19">
        <f ca="1">IF('Stock Price'!$I$11="OK",C50/INDEX(C$5:C$1258,'Stock Price'!$I$9)-1,"")</f>
        <v>-0.3843164089229506</v>
      </c>
      <c r="Q50" s="19">
        <f ca="1">IF('Stock Price'!$I$11="OK",D50/INDEX(D$5:D$1258,'Stock Price'!$I$9)-1,"")</f>
        <v>7.4954664517429048E-2</v>
      </c>
      <c r="R50" s="19">
        <f ca="1">IF('Stock Price'!$I$11="OK",E50/INDEX(E$5:E$1258,'Stock Price'!$I$9)-1,"")</f>
        <v>-1.4965986394557929E-2</v>
      </c>
      <c r="S50" s="19">
        <f ca="1">IF('Stock Price'!$I$11="OK",F50/INDEX(F$5:F$1258,'Stock Price'!$I$9)-1,"")</f>
        <v>-4.9761559195520277E-3</v>
      </c>
      <c r="T50" s="19">
        <f ca="1">IF('Stock Price'!$I$11="OK",G50/INDEX(G$5:G$1258,'Stock Price'!$I$9)-1,"")</f>
        <v>0.20368421052631591</v>
      </c>
      <c r="U50" s="19">
        <f ca="1">IF('Stock Price'!$I$11="OK",H50/INDEX(H$5:H$1258,'Stock Price'!$I$9)-1,"")</f>
        <v>-0.31225927665570696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77.819599999999994</v>
      </c>
      <c r="C51" s="18">
        <v>109.25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-0.43828785910206436</v>
      </c>
      <c r="P51" s="19">
        <f ca="1">IF('Stock Price'!$I$11="OK",C51/INDEX(C$5:C$1258,'Stock Price'!$I$9)-1,"")</f>
        <v>-0.40194334200082116</v>
      </c>
      <c r="Q51" s="19">
        <f ca="1">IF('Stock Price'!$I$11="OK",D51/INDEX(D$5:D$1258,'Stock Price'!$I$9)-1,"")</f>
        <v>7.7977030022164051E-2</v>
      </c>
      <c r="R51" s="19">
        <f ca="1">IF('Stock Price'!$I$11="OK",E51/INDEX(E$5:E$1258,'Stock Price'!$I$9)-1,"")</f>
        <v>-1.9047619047619091E-2</v>
      </c>
      <c r="S51" s="19">
        <f ca="1">IF('Stock Price'!$I$11="OK",F51/INDEX(F$5:F$1258,'Stock Price'!$I$9)-1,"")</f>
        <v>-1.9075264358283106E-2</v>
      </c>
      <c r="T51" s="19">
        <f ca="1">IF('Stock Price'!$I$11="OK",G51/INDEX(G$5:G$1258,'Stock Price'!$I$9)-1,"")</f>
        <v>0.20486842105263148</v>
      </c>
      <c r="U51" s="19">
        <f ca="1">IF('Stock Price'!$I$11="OK",H51/INDEX(H$5:H$1258,'Stock Price'!$I$9)-1,"")</f>
        <v>-0.3155472052606858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78.042100000000005</v>
      </c>
      <c r="C52" s="18">
        <v>110.43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-0.43668182474375627</v>
      </c>
      <c r="P52" s="19">
        <f ca="1">IF('Stock Price'!$I$11="OK",C52/INDEX(C$5:C$1258,'Stock Price'!$I$9)-1,"")</f>
        <v>-0.39548378267414808</v>
      </c>
      <c r="Q52" s="19">
        <f ca="1">IF('Stock Price'!$I$11="OK",D52/INDEX(D$5:D$1258,'Stock Price'!$I$9)-1,"")</f>
        <v>8.7295990328430273E-2</v>
      </c>
      <c r="R52" s="19">
        <f ca="1">IF('Stock Price'!$I$11="OK",E52/INDEX(E$5:E$1258,'Stock Price'!$I$9)-1,"")</f>
        <v>-6.413994169096271E-3</v>
      </c>
      <c r="S52" s="19">
        <f ca="1">IF('Stock Price'!$I$11="OK",F52/INDEX(F$5:F$1258,'Stock Price'!$I$9)-1,"")</f>
        <v>1.7416545718432541E-2</v>
      </c>
      <c r="T52" s="19">
        <f ca="1">IF('Stock Price'!$I$11="OK",G52/INDEX(G$5:G$1258,'Stock Price'!$I$9)-1,"")</f>
        <v>0.22657894736842099</v>
      </c>
      <c r="U52" s="19">
        <f ca="1">IF('Stock Price'!$I$11="OK",H52/INDEX(H$5:H$1258,'Stock Price'!$I$9)-1,"")</f>
        <v>-0.31780178487552835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78.216200000000001</v>
      </c>
      <c r="C53" s="18">
        <v>107.28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-0.43542514797170484</v>
      </c>
      <c r="P53" s="19">
        <f ca="1">IF('Stock Price'!$I$11="OK",C53/INDEX(C$5:C$1258,'Stock Price'!$I$9)-1,"")</f>
        <v>-0.41272752155467363</v>
      </c>
      <c r="Q53" s="19">
        <f ca="1">IF('Stock Price'!$I$11="OK",D53/INDEX(D$5:D$1258,'Stock Price'!$I$9)-1,"")</f>
        <v>8.5784807576062772E-2</v>
      </c>
      <c r="R53" s="19">
        <f ca="1">IF('Stock Price'!$I$11="OK",E53/INDEX(E$5:E$1258,'Stock Price'!$I$9)-1,"")</f>
        <v>-1.574344023323615E-2</v>
      </c>
      <c r="S53" s="19">
        <f ca="1">IF('Stock Price'!$I$11="OK",F53/INDEX(F$5:F$1258,'Stock Price'!$I$9)-1,"")</f>
        <v>1.1196350818992507E-2</v>
      </c>
      <c r="T53" s="19">
        <f ca="1">IF('Stock Price'!$I$11="OK",G53/INDEX(G$5:G$1258,'Stock Price'!$I$9)-1,"")</f>
        <v>0.22565789473684217</v>
      </c>
      <c r="U53" s="19">
        <f ca="1">IF('Stock Price'!$I$11="OK",H53/INDEX(H$5:H$1258,'Stock Price'!$I$9)-1,"")</f>
        <v>-0.31028651949271957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77.964699999999993</v>
      </c>
      <c r="C54" s="18">
        <v>107.76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-0.43724050815648907</v>
      </c>
      <c r="P54" s="19">
        <f ca="1">IF('Stock Price'!$I$11="OK",C54/INDEX(C$5:C$1258,'Stock Price'!$I$9)-1,"")</f>
        <v>-0.4100999042014507</v>
      </c>
      <c r="Q54" s="19">
        <f ca="1">IF('Stock Price'!$I$11="OK",D54/INDEX(D$5:D$1258,'Stock Price'!$I$9)-1,"")</f>
        <v>8.0495667942776405E-2</v>
      </c>
      <c r="R54" s="19">
        <f ca="1">IF('Stock Price'!$I$11="OK",E54/INDEX(E$5:E$1258,'Stock Price'!$I$9)-1,"")</f>
        <v>-4.0427599611273179E-2</v>
      </c>
      <c r="S54" s="19">
        <f ca="1">IF('Stock Price'!$I$11="OK",F54/INDEX(F$5:F$1258,'Stock Price'!$I$9)-1,"")</f>
        <v>-3.7321169396641318E-3</v>
      </c>
      <c r="T54" s="19">
        <f ca="1">IF('Stock Price'!$I$11="OK",G54/INDEX(G$5:G$1258,'Stock Price'!$I$9)-1,"")</f>
        <v>0.22118421052631576</v>
      </c>
      <c r="U54" s="19">
        <f ca="1">IF('Stock Price'!$I$11="OK",H54/INDEX(H$5:H$1258,'Stock Price'!$I$9)-1,"")</f>
        <v>-0.30746829497416628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78.864400000000003</v>
      </c>
      <c r="C55" s="18">
        <v>110.34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-0.43074635484336643</v>
      </c>
      <c r="P55" s="19">
        <f ca="1">IF('Stock Price'!$I$11="OK",C55/INDEX(C$5:C$1258,'Stock Price'!$I$9)-1,"")</f>
        <v>-0.39597646092787742</v>
      </c>
      <c r="Q55" s="19">
        <f ca="1">IF('Stock Price'!$I$11="OK",D55/INDEX(D$5:D$1258,'Stock Price'!$I$9)-1,"")</f>
        <v>9.963731613943172E-2</v>
      </c>
      <c r="R55" s="19">
        <f ca="1">IF('Stock Price'!$I$11="OK",E55/INDEX(E$5:E$1258,'Stock Price'!$I$9)-1,"")</f>
        <v>-1.6132167152575372E-2</v>
      </c>
      <c r="S55" s="19">
        <f ca="1">IF('Stock Price'!$I$11="OK",F55/INDEX(F$5:F$1258,'Stock Price'!$I$9)-1,"")</f>
        <v>2.2185361808003234E-2</v>
      </c>
      <c r="T55" s="19">
        <f ca="1">IF('Stock Price'!$I$11="OK",G55/INDEX(G$5:G$1258,'Stock Price'!$I$9)-1,"")</f>
        <v>0.20907894736842114</v>
      </c>
      <c r="U55" s="19">
        <f ca="1">IF('Stock Price'!$I$11="OK",H55/INDEX(H$5:H$1258,'Stock Price'!$I$9)-1,"")</f>
        <v>-0.29271958666040387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83.266199999999998</v>
      </c>
      <c r="C56" s="18">
        <v>113.92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-0.39897358163707231</v>
      </c>
      <c r="P56" s="19">
        <f ca="1">IF('Stock Price'!$I$11="OK",C56/INDEX(C$5:C$1258,'Stock Price'!$I$9)-1,"")</f>
        <v>-0.37637881483508961</v>
      </c>
      <c r="Q56" s="19">
        <f ca="1">IF('Stock Price'!$I$11="OK",D56/INDEX(D$5:D$1258,'Stock Price'!$I$9)-1,"")</f>
        <v>0.1036671368124118</v>
      </c>
      <c r="R56" s="19">
        <f ca="1">IF('Stock Price'!$I$11="OK",E56/INDEX(E$5:E$1258,'Stock Price'!$I$9)-1,"")</f>
        <v>-2.9154518950438302E-3</v>
      </c>
      <c r="S56" s="19">
        <f ca="1">IF('Stock Price'!$I$11="OK",F56/INDEX(F$5:F$1258,'Stock Price'!$I$9)-1,"")</f>
        <v>2.1978021978022122E-2</v>
      </c>
      <c r="T56" s="19">
        <f ca="1">IF('Stock Price'!$I$11="OK",G56/INDEX(G$5:G$1258,'Stock Price'!$I$9)-1,"")</f>
        <v>0.22907894736842094</v>
      </c>
      <c r="U56" s="19">
        <f ca="1">IF('Stock Price'!$I$11="OK",H56/INDEX(H$5:H$1258,'Stock Price'!$I$9)-1,"")</f>
        <v>-0.28689525598872712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83.101699999999994</v>
      </c>
      <c r="C57" s="18">
        <v>111.4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-0.4001609643424282</v>
      </c>
      <c r="P57" s="19">
        <f ca="1">IF('Stock Price'!$I$11="OK",C57/INDEX(C$5:C$1258,'Stock Price'!$I$9)-1,"")</f>
        <v>-0.39017380593951012</v>
      </c>
      <c r="Q57" s="19">
        <f ca="1">IF('Stock Price'!$I$11="OK",D57/INDEX(D$5:D$1258,'Stock Price'!$I$9)-1,"")</f>
        <v>8.5532943784001558E-2</v>
      </c>
      <c r="R57" s="19">
        <f ca="1">IF('Stock Price'!$I$11="OK",E57/INDEX(E$5:E$1258,'Stock Price'!$I$9)-1,"")</f>
        <v>-5.0534499514092168E-3</v>
      </c>
      <c r="S57" s="19">
        <f ca="1">IF('Stock Price'!$I$11="OK",F57/INDEX(F$5:F$1258,'Stock Price'!$I$9)-1,"")</f>
        <v>1.3477088948787186E-2</v>
      </c>
      <c r="T57" s="19">
        <f ca="1">IF('Stock Price'!$I$11="OK",G57/INDEX(G$5:G$1258,'Stock Price'!$I$9)-1,"")</f>
        <v>0.22434210526315779</v>
      </c>
      <c r="U57" s="19">
        <f ca="1">IF('Stock Price'!$I$11="OK",H57/INDEX(H$5:H$1258,'Stock Price'!$I$9)-1,"")</f>
        <v>-0.2889619539689996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82.569599999999994</v>
      </c>
      <c r="C58" s="18">
        <v>109.56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-0.40400173235166736</v>
      </c>
      <c r="P58" s="19">
        <f ca="1">IF('Stock Price'!$I$11="OK",C58/INDEX(C$5:C$1258,'Stock Price'!$I$9)-1,"")</f>
        <v>-0.40024633912686469</v>
      </c>
      <c r="Q58" s="19">
        <f ca="1">IF('Stock Price'!$I$11="OK",D58/INDEX(D$5:D$1258,'Stock Price'!$I$9)-1,"")</f>
        <v>8.4525488615756705E-2</v>
      </c>
      <c r="R58" s="19">
        <f ca="1">IF('Stock Price'!$I$11="OK",E58/INDEX(E$5:E$1258,'Stock Price'!$I$9)-1,"")</f>
        <v>-1.0884353741496655E-2</v>
      </c>
      <c r="S58" s="19">
        <f ca="1">IF('Stock Price'!$I$11="OK",F58/INDEX(F$5:F$1258,'Stock Price'!$I$9)-1,"")</f>
        <v>1.5343147418619196E-2</v>
      </c>
      <c r="T58" s="19">
        <f ca="1">IF('Stock Price'!$I$11="OK",G58/INDEX(G$5:G$1258,'Stock Price'!$I$9)-1,"")</f>
        <v>0.19355263157894731</v>
      </c>
      <c r="U58" s="19">
        <f ca="1">IF('Stock Price'!$I$11="OK",H58/INDEX(H$5:H$1258,'Stock Price'!$I$9)-1,"")</f>
        <v>-0.28219821512447163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83.188800000000001</v>
      </c>
      <c r="C59" s="18">
        <v>116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-0.3995322650498051</v>
      </c>
      <c r="P59" s="19">
        <f ca="1">IF('Stock Price'!$I$11="OK",C59/INDEX(C$5:C$1258,'Stock Price'!$I$9)-1,"")</f>
        <v>-0.36499247297112358</v>
      </c>
      <c r="Q59" s="19">
        <f ca="1">IF('Stock Price'!$I$11="OK",D59/INDEX(D$5:D$1258,'Stock Price'!$I$9)-1,"")</f>
        <v>9.2081402377594213E-2</v>
      </c>
      <c r="R59" s="19">
        <f ca="1">IF('Stock Price'!$I$11="OK",E59/INDEX(E$5:E$1258,'Stock Price'!$I$9)-1,"")</f>
        <v>1.3605442176871652E-3</v>
      </c>
      <c r="S59" s="19">
        <f ca="1">IF('Stock Price'!$I$11="OK",F59/INDEX(F$5:F$1258,'Stock Price'!$I$9)-1,"")</f>
        <v>2.7576197387518153E-2</v>
      </c>
      <c r="T59" s="19">
        <f ca="1">IF('Stock Price'!$I$11="OK",G59/INDEX(G$5:G$1258,'Stock Price'!$I$9)-1,"")</f>
        <v>0.20013157894736833</v>
      </c>
      <c r="U59" s="19">
        <f ca="1">IF('Stock Price'!$I$11="OK",H59/INDEX(H$5:H$1258,'Stock Price'!$I$9)-1,"")</f>
        <v>-0.29037106622827613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83.498400000000004</v>
      </c>
      <c r="C60" s="18">
        <v>115.87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-0.39729753139887392</v>
      </c>
      <c r="P60" s="19">
        <f ca="1">IF('Stock Price'!$I$11="OK",C60/INDEX(C$5:C$1258,'Stock Price'!$I$9)-1,"")</f>
        <v>-0.36570411933762148</v>
      </c>
      <c r="Q60" s="19">
        <f ca="1">IF('Stock Price'!$I$11="OK",D60/INDEX(D$5:D$1258,'Stock Price'!$I$9)-1,"")</f>
        <v>0.10240781785210551</v>
      </c>
      <c r="R60" s="19">
        <f ca="1">IF('Stock Price'!$I$11="OK",E60/INDEX(E$5:E$1258,'Stock Price'!$I$9)-1,"")</f>
        <v>1.3605442176871652E-3</v>
      </c>
      <c r="S60" s="19">
        <f ca="1">IF('Stock Price'!$I$11="OK",F60/INDEX(F$5:F$1258,'Stock Price'!$I$9)-1,"")</f>
        <v>3.110097449720084E-2</v>
      </c>
      <c r="T60" s="19">
        <f ca="1">IF('Stock Price'!$I$11="OK",G60/INDEX(G$5:G$1258,'Stock Price'!$I$9)-1,"")</f>
        <v>0.20342105263157895</v>
      </c>
      <c r="U60" s="19">
        <f ca="1">IF('Stock Price'!$I$11="OK",H60/INDEX(H$5:H$1258,'Stock Price'!$I$9)-1,"")</f>
        <v>-0.28454673555659937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83.837000000000003</v>
      </c>
      <c r="C61" s="18">
        <v>115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-0.39485347192146669</v>
      </c>
      <c r="P61" s="19">
        <f ca="1">IF('Stock Price'!$I$11="OK",C61/INDEX(C$5:C$1258,'Stock Price'!$I$9)-1,"")</f>
        <v>-0.3704666757903381</v>
      </c>
      <c r="Q61" s="19">
        <f ca="1">IF('Stock Price'!$I$11="OK",D61/INDEX(D$5:D$1258,'Stock Price'!$I$9)-1,"")</f>
        <v>0.1021559540600443</v>
      </c>
      <c r="R61" s="19">
        <f ca="1">IF('Stock Price'!$I$11="OK",E61/INDEX(E$5:E$1258,'Stock Price'!$I$9)-1,"")</f>
        <v>-5.4421768707483276E-3</v>
      </c>
      <c r="S61" s="19">
        <f ca="1">IF('Stock Price'!$I$11="OK",F61/INDEX(F$5:F$1258,'Stock Price'!$I$9)-1,"")</f>
        <v>3.3174372797014406E-2</v>
      </c>
      <c r="T61" s="19">
        <f ca="1">IF('Stock Price'!$I$11="OK",G61/INDEX(G$5:G$1258,'Stock Price'!$I$9)-1,"")</f>
        <v>0.22697368421052633</v>
      </c>
      <c r="U61" s="19">
        <f ca="1">IF('Stock Price'!$I$11="OK",H61/INDEX(H$5:H$1258,'Stock Price'!$I$9)-1,"")</f>
        <v>-0.28858619069985902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84.756</v>
      </c>
      <c r="C62" s="18">
        <v>115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-0.38822000866175832</v>
      </c>
      <c r="P62" s="19">
        <f ca="1">IF('Stock Price'!$I$11="OK",C62/INDEX(C$5:C$1258,'Stock Price'!$I$9)-1,"")</f>
        <v>-0.3704666757903381</v>
      </c>
      <c r="Q62" s="19">
        <f ca="1">IF('Stock Price'!$I$11="OK",D62/INDEX(D$5:D$1258,'Stock Price'!$I$9)-1,"")</f>
        <v>0.11046745919806567</v>
      </c>
      <c r="R62" s="19">
        <f ca="1">IF('Stock Price'!$I$11="OK",E62/INDEX(E$5:E$1258,'Stock Price'!$I$9)-1,"")</f>
        <v>9.9125364431487117E-3</v>
      </c>
      <c r="S62" s="19">
        <f ca="1">IF('Stock Price'!$I$11="OK",F62/INDEX(F$5:F$1258,'Stock Price'!$I$9)-1,"")</f>
        <v>4.7066141405764039E-2</v>
      </c>
      <c r="T62" s="19">
        <f ca="1">IF('Stock Price'!$I$11="OK",G62/INDEX(G$5:G$1258,'Stock Price'!$I$9)-1,"")</f>
        <v>0.23921052631578954</v>
      </c>
      <c r="U62" s="19">
        <f ca="1">IF('Stock Price'!$I$11="OK",H62/INDEX(H$5:H$1258,'Stock Price'!$I$9)-1,"")</f>
        <v>-0.2806951620479099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85.259100000000004</v>
      </c>
      <c r="C63" s="18">
        <v>117.15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-0.3845885664789952</v>
      </c>
      <c r="P63" s="19">
        <f ca="1">IF('Stock Price'!$I$11="OK",C63/INDEX(C$5:C$1258,'Stock Price'!$I$9)-1,"")</f>
        <v>-0.35869713972902695</v>
      </c>
      <c r="Q63" s="19">
        <f ca="1">IF('Stock Price'!$I$11="OK",D63/INDEX(D$5:D$1258,'Stock Price'!$I$9)-1,"")</f>
        <v>0.11097118678218809</v>
      </c>
      <c r="R63" s="19">
        <f ca="1">IF('Stock Price'!$I$11="OK",E63/INDEX(E$5:E$1258,'Stock Price'!$I$9)-1,"")</f>
        <v>1.6520894071914372E-2</v>
      </c>
      <c r="S63" s="19">
        <f ca="1">IF('Stock Price'!$I$11="OK",F63/INDEX(F$5:F$1258,'Stock Price'!$I$9)-1,"")</f>
        <v>4.0638606676342448E-2</v>
      </c>
      <c r="T63" s="19">
        <f ca="1">IF('Stock Price'!$I$11="OK",G63/INDEX(G$5:G$1258,'Stock Price'!$I$9)-1,"")</f>
        <v>0.24078947368421044</v>
      </c>
      <c r="U63" s="19">
        <f ca="1">IF('Stock Price'!$I$11="OK",H63/INDEX(H$5:H$1258,'Stock Price'!$I$9)-1,"")</f>
        <v>-0.27844058243306713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85.249399999999994</v>
      </c>
      <c r="C64" s="18">
        <v>116.13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-0.3846585823588855</v>
      </c>
      <c r="P64" s="19">
        <f ca="1">IF('Stock Price'!$I$11="OK",C64/INDEX(C$5:C$1258,'Stock Price'!$I$9)-1,"")</f>
        <v>-0.3642808266046258</v>
      </c>
      <c r="Q64" s="19">
        <f ca="1">IF('Stock Price'!$I$11="OK",D64/INDEX(D$5:D$1258,'Stock Price'!$I$9)-1,"")</f>
        <v>0.11928269192020946</v>
      </c>
      <c r="R64" s="19">
        <f ca="1">IF('Stock Price'!$I$11="OK",E64/INDEX(E$5:E$1258,'Stock Price'!$I$9)-1,"")</f>
        <v>1.6520894071914372E-2</v>
      </c>
      <c r="S64" s="19">
        <f ca="1">IF('Stock Price'!$I$11="OK",F64/INDEX(F$5:F$1258,'Stock Price'!$I$9)-1,"")</f>
        <v>4.665146174580137E-2</v>
      </c>
      <c r="T64" s="19">
        <f ca="1">IF('Stock Price'!$I$11="OK",G64/INDEX(G$5:G$1258,'Stock Price'!$I$9)-1,"")</f>
        <v>0.23552631578947381</v>
      </c>
      <c r="U64" s="19">
        <f ca="1">IF('Stock Price'!$I$11="OK",H64/INDEX(H$5:H$1258,'Stock Price'!$I$9)-1,"")</f>
        <v>-0.27712541099107557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84.610900000000001</v>
      </c>
      <c r="C65" s="18">
        <v>118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-0.38926735960733361</v>
      </c>
      <c r="P65" s="19">
        <f ca="1">IF('Stock Price'!$I$11="OK",C65/INDEX(C$5:C$1258,'Stock Price'!$I$9)-1,"")</f>
        <v>-0.35404406733269467</v>
      </c>
      <c r="Q65" s="19">
        <f ca="1">IF('Stock Price'!$I$11="OK",D65/INDEX(D$5:D$1258,'Stock Price'!$I$9)-1,"")</f>
        <v>0.1112230505742493</v>
      </c>
      <c r="R65" s="19">
        <f ca="1">IF('Stock Price'!$I$11="OK",E65/INDEX(E$5:E$1258,'Stock Price'!$I$9)-1,"")</f>
        <v>4.0816326530610514E-3</v>
      </c>
      <c r="S65" s="19">
        <f ca="1">IF('Stock Price'!$I$11="OK",F65/INDEX(F$5:F$1258,'Stock Price'!$I$9)-1,"")</f>
        <v>4.5407422765913363E-2</v>
      </c>
      <c r="T65" s="19">
        <f ca="1">IF('Stock Price'!$I$11="OK",G65/INDEX(G$5:G$1258,'Stock Price'!$I$9)-1,"")</f>
        <v>0.23684210526315796</v>
      </c>
      <c r="U65" s="19">
        <f ca="1">IF('Stock Price'!$I$11="OK",H65/INDEX(H$5:H$1258,'Stock Price'!$I$9)-1,"")</f>
        <v>-0.27534053546265858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84.620599999999996</v>
      </c>
      <c r="C66" s="18">
        <v>115.8501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-0.3891973437274433</v>
      </c>
      <c r="P66" s="19">
        <f ca="1">IF('Stock Price'!$I$11="OK",C66/INDEX(C$5:C$1258,'Stock Price'!$I$9)-1,"")</f>
        <v>-0.36581305597372393</v>
      </c>
      <c r="Q66" s="19">
        <f ca="1">IF('Stock Price'!$I$11="OK",D66/INDEX(D$5:D$1258,'Stock Price'!$I$9)-1,"")</f>
        <v>0.11071932299012688</v>
      </c>
      <c r="R66" s="19">
        <f ca="1">IF('Stock Price'!$I$11="OK",E66/INDEX(E$5:E$1258,'Stock Price'!$I$9)-1,"")</f>
        <v>4.664723032069773E-3</v>
      </c>
      <c r="S66" s="19">
        <f ca="1">IF('Stock Price'!$I$11="OK",F66/INDEX(F$5:F$1258,'Stock Price'!$I$9)-1,"")</f>
        <v>3.877254820651066E-2</v>
      </c>
      <c r="T66" s="19">
        <f ca="1">IF('Stock Price'!$I$11="OK",G66/INDEX(G$5:G$1258,'Stock Price'!$I$9)-1,"")</f>
        <v>0.23684210526315796</v>
      </c>
      <c r="U66" s="19">
        <f ca="1">IF('Stock Price'!$I$11="OK",H66/INDEX(H$5:H$1258,'Stock Price'!$I$9)-1,"")</f>
        <v>-0.28003757632691406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85.007599999999996</v>
      </c>
      <c r="C67" s="18">
        <v>115.785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-0.38640392666377943</v>
      </c>
      <c r="P67" s="19">
        <f ca="1">IF('Stock Price'!$I$11="OK",C67/INDEX(C$5:C$1258,'Stock Price'!$I$9)-1,"")</f>
        <v>-0.36616942657725471</v>
      </c>
      <c r="Q67" s="19">
        <f ca="1">IF('Stock Price'!$I$11="OK",D67/INDEX(D$5:D$1258,'Stock Price'!$I$9)-1,"")</f>
        <v>9.9889179931492933E-2</v>
      </c>
      <c r="R67" s="19">
        <f ca="1">IF('Stock Price'!$I$11="OK",E67/INDEX(E$5:E$1258,'Stock Price'!$I$9)-1,"")</f>
        <v>4.0816326530610514E-3</v>
      </c>
      <c r="S67" s="19">
        <f ca="1">IF('Stock Price'!$I$11="OK",F67/INDEX(F$5:F$1258,'Stock Price'!$I$9)-1,"")</f>
        <v>5.1005598175409617E-2</v>
      </c>
      <c r="T67" s="19">
        <f ca="1">IF('Stock Price'!$I$11="OK",G67/INDEX(G$5:G$1258,'Stock Price'!$I$9)-1,"")</f>
        <v>0.25460526315789456</v>
      </c>
      <c r="U67" s="19">
        <f ca="1">IF('Stock Price'!$I$11="OK",H67/INDEX(H$5:H$1258,'Stock Price'!$I$9)-1,"")</f>
        <v>-0.27787693752935649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84.620599999999996</v>
      </c>
      <c r="C68" s="18">
        <v>115.66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-0.3891973437274433</v>
      </c>
      <c r="P68" s="19">
        <f ca="1">IF('Stock Price'!$I$11="OK",C68/INDEX(C$5:C$1258,'Stock Price'!$I$9)-1,"")</f>
        <v>-0.36685370192965661</v>
      </c>
      <c r="Q68" s="19">
        <f ca="1">IF('Stock Price'!$I$11="OK",D68/INDEX(D$5:D$1258,'Stock Price'!$I$9)-1,"")</f>
        <v>9.6614950634696717E-2</v>
      </c>
      <c r="R68" s="19">
        <f ca="1">IF('Stock Price'!$I$11="OK",E68/INDEX(E$5:E$1258,'Stock Price'!$I$9)-1,"")</f>
        <v>-1.4188532555879596E-2</v>
      </c>
      <c r="S68" s="19">
        <f ca="1">IF('Stock Price'!$I$11="OK",F68/INDEX(F$5:F$1258,'Stock Price'!$I$9)-1,"")</f>
        <v>3.0686294837238393E-2</v>
      </c>
      <c r="T68" s="19">
        <f ca="1">IF('Stock Price'!$I$11="OK",G68/INDEX(G$5:G$1258,'Stock Price'!$I$9)-1,"")</f>
        <v>0.276842105263158</v>
      </c>
      <c r="U68" s="19">
        <f ca="1">IF('Stock Price'!$I$11="OK",H68/INDEX(H$5:H$1258,'Stock Price'!$I$9)-1,"")</f>
        <v>-0.27656176608736494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85.162300000000002</v>
      </c>
      <c r="C69" s="18">
        <v>113.5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-0.3852872816515085</v>
      </c>
      <c r="P69" s="19">
        <f ca="1">IF('Stock Price'!$I$11="OK",C69/INDEX(C$5:C$1258,'Stock Price'!$I$9)-1,"")</f>
        <v>-0.37867798001915975</v>
      </c>
      <c r="Q69" s="19">
        <f ca="1">IF('Stock Price'!$I$11="OK",D69/INDEX(D$5:D$1258,'Stock Price'!$I$9)-1,"")</f>
        <v>9.8126133387064218E-2</v>
      </c>
      <c r="R69" s="19">
        <f ca="1">IF('Stock Price'!$I$11="OK",E69/INDEX(E$5:E$1258,'Stock Price'!$I$9)-1,"")</f>
        <v>-1.8658892128279869E-2</v>
      </c>
      <c r="S69" s="19">
        <f ca="1">IF('Stock Price'!$I$11="OK",F69/INDEX(F$5:F$1258,'Stock Price'!$I$9)-1,"")</f>
        <v>3.0893634667219727E-2</v>
      </c>
      <c r="T69" s="19">
        <f ca="1">IF('Stock Price'!$I$11="OK",G69/INDEX(G$5:G$1258,'Stock Price'!$I$9)-1,"")</f>
        <v>0.28381578947368413</v>
      </c>
      <c r="U69" s="19">
        <f ca="1">IF('Stock Price'!$I$11="OK",H69/INDEX(H$5:H$1258,'Stock Price'!$I$9)-1,"")</f>
        <v>-0.25899483325504935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85.413899999999998</v>
      </c>
      <c r="C70" s="18">
        <v>114.7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-0.3834711996535296</v>
      </c>
      <c r="P70" s="19">
        <f ca="1">IF('Stock Price'!$I$11="OK",C70/INDEX(C$5:C$1258,'Stock Price'!$I$9)-1,"")</f>
        <v>-0.37210893663610234</v>
      </c>
      <c r="Q70" s="19">
        <f ca="1">IF('Stock Price'!$I$11="OK",D70/INDEX(D$5:D$1258,'Stock Price'!$I$9)-1,"")</f>
        <v>9.2333266169655426E-2</v>
      </c>
      <c r="R70" s="19">
        <f ca="1">IF('Stock Price'!$I$11="OK",E70/INDEX(E$5:E$1258,'Stock Price'!$I$9)-1,"")</f>
        <v>-2.1574344023323588E-2</v>
      </c>
      <c r="S70" s="19">
        <f ca="1">IF('Stock Price'!$I$11="OK",F70/INDEX(F$5:F$1258,'Stock Price'!$I$9)-1,"")</f>
        <v>2.8405556707443491E-2</v>
      </c>
      <c r="T70" s="19">
        <f ca="1">IF('Stock Price'!$I$11="OK",G70/INDEX(G$5:G$1258,'Stock Price'!$I$9)-1,"")</f>
        <v>0.27184210526315788</v>
      </c>
      <c r="U70" s="19">
        <f ca="1">IF('Stock Price'!$I$11="OK",H70/INDEX(H$5:H$1258,'Stock Price'!$I$9)-1,"")</f>
        <v>-0.2594645373414749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86.400599999999997</v>
      </c>
      <c r="C71" s="18">
        <v>112.73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-0.37634906886097874</v>
      </c>
      <c r="P71" s="19">
        <f ca="1">IF('Stock Price'!$I$11="OK",C71/INDEX(C$5:C$1258,'Stock Price'!$I$9)-1,"")</f>
        <v>-0.38289311618995481</v>
      </c>
      <c r="Q71" s="19">
        <f ca="1">IF('Stock Price'!$I$11="OK",D71/INDEX(D$5:D$1258,'Stock Price'!$I$9)-1,"")</f>
        <v>0.10442272818859566</v>
      </c>
      <c r="R71" s="19">
        <f ca="1">IF('Stock Price'!$I$11="OK",E71/INDEX(E$5:E$1258,'Stock Price'!$I$9)-1,"")</f>
        <v>6.4139941690961599E-3</v>
      </c>
      <c r="S71" s="19">
        <f ca="1">IF('Stock Price'!$I$11="OK",F71/INDEX(F$5:F$1258,'Stock Price'!$I$9)-1,"")</f>
        <v>4.0638606676342448E-2</v>
      </c>
      <c r="T71" s="19">
        <f ca="1">IF('Stock Price'!$I$11="OK",G71/INDEX(G$5:G$1258,'Stock Price'!$I$9)-1,"")</f>
        <v>0.2839473684210525</v>
      </c>
      <c r="U71" s="19">
        <f ca="1">IF('Stock Price'!$I$11="OK",H71/INDEX(H$5:H$1258,'Stock Price'!$I$9)-1,"")</f>
        <v>-0.2456552372005637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87.145600000000002</v>
      </c>
      <c r="C72" s="18">
        <v>115.02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-0.37097156056012703</v>
      </c>
      <c r="P72" s="19">
        <f ca="1">IF('Stock Price'!$I$11="OK",C72/INDEX(C$5:C$1258,'Stock Price'!$I$9)-1,"")</f>
        <v>-0.37035719173395376</v>
      </c>
      <c r="Q72" s="19">
        <f ca="1">IF('Stock Price'!$I$11="OK",D72/INDEX(D$5:D$1258,'Stock Price'!$I$9)-1,"")</f>
        <v>0.12935724360265954</v>
      </c>
      <c r="R72" s="19">
        <f ca="1">IF('Stock Price'!$I$11="OK",E72/INDEX(E$5:E$1258,'Stock Price'!$I$9)-1,"")</f>
        <v>-1.5160349854227428E-2</v>
      </c>
      <c r="S72" s="19">
        <f ca="1">IF('Stock Price'!$I$11="OK",F72/INDEX(F$5:F$1258,'Stock Price'!$I$9)-1,"")</f>
        <v>6.7800124403898154E-2</v>
      </c>
      <c r="T72" s="19">
        <f ca="1">IF('Stock Price'!$I$11="OK",G72/INDEX(G$5:G$1258,'Stock Price'!$I$9)-1,"")</f>
        <v>0.31684210526315781</v>
      </c>
      <c r="U72" s="19">
        <f ca="1">IF('Stock Price'!$I$11="OK",H72/INDEX(H$5:H$1258,'Stock Price'!$I$9)-1,"")</f>
        <v>-0.22620948802254581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86.942400000000006</v>
      </c>
      <c r="C73" s="18">
        <v>115.51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-0.37243828497184917</v>
      </c>
      <c r="P73" s="19">
        <f ca="1">IF('Stock Price'!$I$11="OK",C73/INDEX(C$5:C$1258,'Stock Price'!$I$9)-1,"")</f>
        <v>-0.36767483235253873</v>
      </c>
      <c r="Q73" s="19">
        <f ca="1">IF('Stock Price'!$I$11="OK",D73/INDEX(D$5:D$1258,'Stock Price'!$I$9)-1,"")</f>
        <v>0.1343945194438847</v>
      </c>
      <c r="R73" s="19">
        <f ca="1">IF('Stock Price'!$I$11="OK",E73/INDEX(E$5:E$1258,'Stock Price'!$I$9)-1,"")</f>
        <v>-8.5519922254616576E-3</v>
      </c>
      <c r="S73" s="19">
        <f ca="1">IF('Stock Price'!$I$11="OK",F73/INDEX(F$5:F$1258,'Stock Price'!$I$9)-1,"")</f>
        <v>6.5934065934065922E-2</v>
      </c>
      <c r="T73" s="19">
        <f ca="1">IF('Stock Price'!$I$11="OK",G73/INDEX(G$5:G$1258,'Stock Price'!$I$9)-1,"")</f>
        <v>0.34999999999999987</v>
      </c>
      <c r="U73" s="19">
        <f ca="1">IF('Stock Price'!$I$11="OK",H73/INDEX(H$5:H$1258,'Stock Price'!$I$9)-1,"")</f>
        <v>-0.23278534523250349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86.864999999999995</v>
      </c>
      <c r="C74" s="18">
        <v>115.32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-0.37299696838458207</v>
      </c>
      <c r="P74" s="19">
        <f ca="1">IF('Stock Price'!$I$11="OK",C74/INDEX(C$5:C$1258,'Stock Price'!$I$9)-1,"")</f>
        <v>-0.36871493088818952</v>
      </c>
      <c r="Q74" s="19">
        <f ca="1">IF('Stock Price'!$I$11="OK",D74/INDEX(D$5:D$1258,'Stock Price'!$I$9)-1,"")</f>
        <v>0.13943179528510963</v>
      </c>
      <c r="R74" s="19">
        <f ca="1">IF('Stock Price'!$I$11="OK",E74/INDEX(E$5:E$1258,'Stock Price'!$I$9)-1,"")</f>
        <v>-2.6239067055393583E-2</v>
      </c>
      <c r="S74" s="19">
        <f ca="1">IF('Stock Price'!$I$11="OK",F74/INDEX(F$5:F$1258,'Stock Price'!$I$9)-1,"")</f>
        <v>6.8007464233879267E-2</v>
      </c>
      <c r="T74" s="19">
        <f ca="1">IF('Stock Price'!$I$11="OK",G74/INDEX(G$5:G$1258,'Stock Price'!$I$9)-1,"")</f>
        <v>0.34578947368421065</v>
      </c>
      <c r="U74" s="19">
        <f ca="1">IF('Stock Price'!$I$11="OK",H74/INDEX(H$5:H$1258,'Stock Price'!$I$9)-1,"")</f>
        <v>-0.23720056364490372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87.668000000000006</v>
      </c>
      <c r="C75" s="18">
        <v>117.2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-0.36720080843077807</v>
      </c>
      <c r="P75" s="19">
        <f ca="1">IF('Stock Price'!$I$11="OK",C75/INDEX(C$5:C$1258,'Stock Price'!$I$9)-1,"")</f>
        <v>-0.35842342958806628</v>
      </c>
      <c r="Q75" s="19">
        <f ca="1">IF('Stock Price'!$I$11="OK",D75/INDEX(D$5:D$1258,'Stock Price'!$I$9)-1,"")</f>
        <v>0.13489824702800735</v>
      </c>
      <c r="R75" s="19">
        <f ca="1">IF('Stock Price'!$I$11="OK",E75/INDEX(E$5:E$1258,'Stock Price'!$I$9)-1,"")</f>
        <v>-3.8289601554907793E-2</v>
      </c>
      <c r="S75" s="19">
        <f ca="1">IF('Stock Price'!$I$11="OK",F75/INDEX(F$5:F$1258,'Stock Price'!$I$9)-1,"")</f>
        <v>5.1834957495334955E-2</v>
      </c>
      <c r="T75" s="19">
        <f ca="1">IF('Stock Price'!$I$11="OK",G75/INDEX(G$5:G$1258,'Stock Price'!$I$9)-1,"")</f>
        <v>0.34368421052631581</v>
      </c>
      <c r="U75" s="19">
        <f ca="1">IF('Stock Price'!$I$11="OK",H75/INDEX(H$5:H$1258,'Stock Price'!$I$9)-1,"")</f>
        <v>-0.23607327383748244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87.600300000000004</v>
      </c>
      <c r="C76" s="18">
        <v>118.1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-0.36768947596362056</v>
      </c>
      <c r="P76" s="19">
        <f ca="1">IF('Stock Price'!$I$11="OK",C76/INDEX(C$5:C$1258,'Stock Price'!$I$9)-1,"")</f>
        <v>-0.35349664705077333</v>
      </c>
      <c r="Q76" s="19">
        <f ca="1">IF('Stock Price'!$I$11="OK",D76/INDEX(D$5:D$1258,'Stock Price'!$I$9)-1,"")</f>
        <v>0.14522466250251864</v>
      </c>
      <c r="R76" s="19">
        <f ca="1">IF('Stock Price'!$I$11="OK",E76/INDEX(E$5:E$1258,'Stock Price'!$I$9)-1,"")</f>
        <v>-2.2351797862002032E-2</v>
      </c>
      <c r="S76" s="19">
        <f ca="1">IF('Stock Price'!$I$11="OK",F76/INDEX(F$5:F$1258,'Stock Price'!$I$9)-1,"")</f>
        <v>7.6715737093095537E-2</v>
      </c>
      <c r="T76" s="19">
        <f ca="1">IF('Stock Price'!$I$11="OK",G76/INDEX(G$5:G$1258,'Stock Price'!$I$9)-1,"")</f>
        <v>0.38394736842105281</v>
      </c>
      <c r="U76" s="19">
        <f ca="1">IF('Stock Price'!$I$11="OK",H76/INDEX(H$5:H$1258,'Stock Price'!$I$9)-1,"")</f>
        <v>-0.23550962893377181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86.623199999999997</v>
      </c>
      <c r="C77" s="18">
        <v>119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-0.374742312689476</v>
      </c>
      <c r="P77" s="19">
        <f ca="1">IF('Stock Price'!$I$11="OK",C77/INDEX(C$5:C$1258,'Stock Price'!$I$9)-1,"")</f>
        <v>-0.34856986451348027</v>
      </c>
      <c r="Q77" s="19">
        <f ca="1">IF('Stock Price'!$I$11="OK",D77/INDEX(D$5:D$1258,'Stock Price'!$I$9)-1,"")</f>
        <v>0.17922627443078776</v>
      </c>
      <c r="R77" s="19">
        <f ca="1">IF('Stock Price'!$I$11="OK",E77/INDEX(E$5:E$1258,'Stock Price'!$I$9)-1,"")</f>
        <v>-2.7599611273080638E-2</v>
      </c>
      <c r="S77" s="19">
        <f ca="1">IF('Stock Price'!$I$11="OK",F77/INDEX(F$5:F$1258,'Stock Price'!$I$9)-1,"")</f>
        <v>8.1691893012647787E-2</v>
      </c>
      <c r="T77" s="19">
        <f ca="1">IF('Stock Price'!$I$11="OK",G77/INDEX(G$5:G$1258,'Stock Price'!$I$9)-1,"")</f>
        <v>0.37000000000000011</v>
      </c>
      <c r="U77" s="19">
        <f ca="1">IF('Stock Price'!$I$11="OK",H77/INDEX(H$5:H$1258,'Stock Price'!$I$9)-1,"")</f>
        <v>-0.23400657585720996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85.955600000000004</v>
      </c>
      <c r="C78" s="18">
        <v>119.67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-0.37956113757759491</v>
      </c>
      <c r="P78" s="19">
        <f ca="1">IF('Stock Price'!$I$11="OK",C78/INDEX(C$5:C$1258,'Stock Price'!$I$9)-1,"")</f>
        <v>-0.34490214862460655</v>
      </c>
      <c r="Q78" s="19">
        <f ca="1">IF('Stock Price'!$I$11="OK",D78/INDEX(D$5:D$1258,'Stock Price'!$I$9)-1,"")</f>
        <v>0.150765665927866</v>
      </c>
      <c r="R78" s="19">
        <f ca="1">IF('Stock Price'!$I$11="OK",E78/INDEX(E$5:E$1258,'Stock Price'!$I$9)-1,"")</f>
        <v>-2.7793974732750248E-2</v>
      </c>
      <c r="S78" s="19">
        <f ca="1">IF('Stock Price'!$I$11="OK",F78/INDEX(F$5:F$1258,'Stock Price'!$I$9)-1,"")</f>
        <v>7.9825834542815777E-2</v>
      </c>
      <c r="T78" s="19">
        <f ca="1">IF('Stock Price'!$I$11="OK",G78/INDEX(G$5:G$1258,'Stock Price'!$I$9)-1,"")</f>
        <v>0.37157894736842101</v>
      </c>
      <c r="U78" s="19">
        <f ca="1">IF('Stock Price'!$I$11="OK",H78/INDEX(H$5:H$1258,'Stock Price'!$I$9)-1,"")</f>
        <v>-0.23635509628933771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85.317099999999996</v>
      </c>
      <c r="C79" s="18">
        <v>121.21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-0.38416991482604301</v>
      </c>
      <c r="P79" s="19">
        <f ca="1">IF('Stock Price'!$I$11="OK",C79/INDEX(C$5:C$1258,'Stock Price'!$I$9)-1,"")</f>
        <v>-0.33647187628301634</v>
      </c>
      <c r="Q79" s="19">
        <f ca="1">IF('Stock Price'!$I$11="OK",D79/INDEX(D$5:D$1258,'Stock Price'!$I$9)-1,"")</f>
        <v>0.13036469877090462</v>
      </c>
      <c r="R79" s="19">
        <f ca="1">IF('Stock Price'!$I$11="OK",E79/INDEX(E$5:E$1258,'Stock Price'!$I$9)-1,"")</f>
        <v>-3.9844509232264458E-2</v>
      </c>
      <c r="S79" s="19">
        <f ca="1">IF('Stock Price'!$I$11="OK",F79/INDEX(F$5:F$1258,'Stock Price'!$I$9)-1,"")</f>
        <v>8.0033174372797111E-2</v>
      </c>
      <c r="T79" s="19">
        <f ca="1">IF('Stock Price'!$I$11="OK",G79/INDEX(G$5:G$1258,'Stock Price'!$I$9)-1,"")</f>
        <v>0.38684210526315788</v>
      </c>
      <c r="U79" s="19">
        <f ca="1">IF('Stock Price'!$I$11="OK",H79/INDEX(H$5:H$1258,'Stock Price'!$I$9)-1,"")</f>
        <v>-0.24142790042273365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84.194900000000004</v>
      </c>
      <c r="C80" s="18">
        <v>120.82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-0.39227010249747363</v>
      </c>
      <c r="P80" s="19">
        <f ca="1">IF('Stock Price'!$I$11="OK",C80/INDEX(C$5:C$1258,'Stock Price'!$I$9)-1,"")</f>
        <v>-0.33860681538251003</v>
      </c>
      <c r="Q80" s="19">
        <f ca="1">IF('Stock Price'!$I$11="OK",D80/INDEX(D$5:D$1258,'Stock Price'!$I$9)-1,"")</f>
        <v>0.1359057021962522</v>
      </c>
      <c r="R80" s="19">
        <f ca="1">IF('Stock Price'!$I$11="OK",E80/INDEX(E$5:E$1258,'Stock Price'!$I$9)-1,"")</f>
        <v>-4.5286686103012785E-2</v>
      </c>
      <c r="S80" s="19">
        <f ca="1">IF('Stock Price'!$I$11="OK",F80/INDEX(F$5:F$1258,'Stock Price'!$I$9)-1,"")</f>
        <v>6.2409288824383236E-2</v>
      </c>
      <c r="T80" s="19">
        <f ca="1">IF('Stock Price'!$I$11="OK",G80/INDEX(G$5:G$1258,'Stock Price'!$I$9)-1,"")</f>
        <v>0.35842105263157897</v>
      </c>
      <c r="U80" s="19">
        <f ca="1">IF('Stock Price'!$I$11="OK",H80/INDEX(H$5:H$1258,'Stock Price'!$I$9)-1,"")</f>
        <v>-0.24866134335368717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82.356800000000007</v>
      </c>
      <c r="C81" s="18">
        <v>112.36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-0.40553775083008514</v>
      </c>
      <c r="P81" s="19">
        <f ca="1">IF('Stock Price'!$I$11="OK",C81/INDEX(C$5:C$1258,'Stock Price'!$I$9)-1,"")</f>
        <v>-0.38491857123306428</v>
      </c>
      <c r="Q81" s="19">
        <f ca="1">IF('Stock Price'!$I$11="OK",D81/INDEX(D$5:D$1258,'Stock Price'!$I$9)-1,"")</f>
        <v>0.11777150916784196</v>
      </c>
      <c r="R81" s="19">
        <f ca="1">IF('Stock Price'!$I$11="OK",E81/INDEX(E$5:E$1258,'Stock Price'!$I$9)-1,"")</f>
        <v>-7.0942662779397536E-2</v>
      </c>
      <c r="S81" s="19">
        <f ca="1">IF('Stock Price'!$I$11="OK",F81/INDEX(F$5:F$1258,'Stock Price'!$I$9)-1,"")</f>
        <v>5.4115695625129634E-2</v>
      </c>
      <c r="T81" s="19">
        <f ca="1">IF('Stock Price'!$I$11="OK",G81/INDEX(G$5:G$1258,'Stock Price'!$I$9)-1,"")</f>
        <v>0.31578947368421062</v>
      </c>
      <c r="U81" s="19">
        <f ca="1">IF('Stock Price'!$I$11="OK",H81/INDEX(H$5:H$1258,'Stock Price'!$I$9)-1,"")</f>
        <v>-0.2594645373414749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81.786000000000001</v>
      </c>
      <c r="C82" s="18">
        <v>113.35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-0.40965786054569076</v>
      </c>
      <c r="P82" s="19">
        <f ca="1">IF('Stock Price'!$I$11="OK",C82/INDEX(C$5:C$1258,'Stock Price'!$I$9)-1,"")</f>
        <v>-0.37949911044204199</v>
      </c>
      <c r="Q82" s="19">
        <f ca="1">IF('Stock Price'!$I$11="OK",D82/INDEX(D$5:D$1258,'Stock Price'!$I$9)-1,"")</f>
        <v>0.11751964537578075</v>
      </c>
      <c r="R82" s="19">
        <f ca="1">IF('Stock Price'!$I$11="OK",E82/INDEX(E$5:E$1258,'Stock Price'!$I$9)-1,"")</f>
        <v>-8.3576287657920356E-2</v>
      </c>
      <c r="S82" s="19">
        <f ca="1">IF('Stock Price'!$I$11="OK",F82/INDEX(F$5:F$1258,'Stock Price'!$I$9)-1,"")</f>
        <v>6.5726726104084587E-2</v>
      </c>
      <c r="T82" s="19">
        <f ca="1">IF('Stock Price'!$I$11="OK",G82/INDEX(G$5:G$1258,'Stock Price'!$I$9)-1,"")</f>
        <v>0.33736842105263154</v>
      </c>
      <c r="U82" s="19">
        <f ca="1">IF('Stock Price'!$I$11="OK",H82/INDEX(H$5:H$1258,'Stock Price'!$I$9)-1,"")</f>
        <v>-0.25354626585251294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81.495800000000003</v>
      </c>
      <c r="C83" s="18">
        <v>116.8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-0.41175256243684133</v>
      </c>
      <c r="P83" s="19">
        <f ca="1">IF('Stock Price'!$I$11="OK",C83/INDEX(C$5:C$1258,'Stock Price'!$I$9)-1,"")</f>
        <v>-0.36061311071575208</v>
      </c>
      <c r="Q83" s="19">
        <f ca="1">IF('Stock Price'!$I$11="OK",D83/INDEX(D$5:D$1258,'Stock Price'!$I$9)-1,"")</f>
        <v>0.11197864195043317</v>
      </c>
      <c r="R83" s="19">
        <f ca="1">IF('Stock Price'!$I$11="OK",E83/INDEX(E$5:E$1258,'Stock Price'!$I$9)-1,"")</f>
        <v>-8.6491739552964075E-2</v>
      </c>
      <c r="S83" s="19">
        <f ca="1">IF('Stock Price'!$I$11="OK",F83/INDEX(F$5:F$1258,'Stock Price'!$I$9)-1,"")</f>
        <v>6.4068007464233911E-2</v>
      </c>
      <c r="T83" s="19">
        <f ca="1">IF('Stock Price'!$I$11="OK",G83/INDEX(G$5:G$1258,'Stock Price'!$I$9)-1,"")</f>
        <v>0.35657894736842088</v>
      </c>
      <c r="U83" s="19">
        <f ca="1">IF('Stock Price'!$I$11="OK",H83/INDEX(H$5:H$1258,'Stock Price'!$I$9)-1,"")</f>
        <v>-0.25655237200563641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82.366500000000002</v>
      </c>
      <c r="C84" s="18">
        <v>120.5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-0.40546773495019484</v>
      </c>
      <c r="P84" s="19">
        <f ca="1">IF('Stock Price'!$I$11="OK",C84/INDEX(C$5:C$1258,'Stock Price'!$I$9)-1,"")</f>
        <v>-0.34035856028465861</v>
      </c>
      <c r="Q84" s="19">
        <f ca="1">IF('Stock Price'!$I$11="OK",D84/INDEX(D$5:D$1258,'Stock Price'!$I$9)-1,"")</f>
        <v>0.15202498488817229</v>
      </c>
      <c r="R84" s="19">
        <f ca="1">IF('Stock Price'!$I$11="OK",E84/INDEX(E$5:E$1258,'Stock Price'!$I$9)-1,"")</f>
        <v>-7.2886297376093312E-2</v>
      </c>
      <c r="S84" s="19">
        <f ca="1">IF('Stock Price'!$I$11="OK",F84/INDEX(F$5:F$1258,'Stock Price'!$I$9)-1,"")</f>
        <v>9.5998341281360311E-2</v>
      </c>
      <c r="T84" s="19">
        <f ca="1">IF('Stock Price'!$I$11="OK",G84/INDEX(G$5:G$1258,'Stock Price'!$I$9)-1,"")</f>
        <v>0.38368421052631585</v>
      </c>
      <c r="U84" s="19">
        <f ca="1">IF('Stock Price'!$I$11="OK",H84/INDEX(H$5:H$1258,'Stock Price'!$I$9)-1,"")</f>
        <v>-0.24302489431658059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83.111400000000003</v>
      </c>
      <c r="C85" s="18">
        <v>116.25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-0.40009094846253779</v>
      </c>
      <c r="P85" s="19">
        <f ca="1">IF('Stock Price'!$I$11="OK",C85/INDEX(C$5:C$1258,'Stock Price'!$I$9)-1,"")</f>
        <v>-0.36362392226632001</v>
      </c>
      <c r="Q85" s="19">
        <f ca="1">IF('Stock Price'!$I$11="OK",D85/INDEX(D$5:D$1258,'Stock Price'!$I$9)-1,"")</f>
        <v>0.13968365907717106</v>
      </c>
      <c r="R85" s="19">
        <f ca="1">IF('Stock Price'!$I$11="OK",E85/INDEX(E$5:E$1258,'Stock Price'!$I$9)-1,"")</f>
        <v>-6.1030126336248824E-2</v>
      </c>
      <c r="S85" s="19">
        <f ca="1">IF('Stock Price'!$I$11="OK",F85/INDEX(F$5:F$1258,'Stock Price'!$I$9)-1,"")</f>
        <v>9.3510263321584297E-2</v>
      </c>
      <c r="T85" s="19">
        <f ca="1">IF('Stock Price'!$I$11="OK",G85/INDEX(G$5:G$1258,'Stock Price'!$I$9)-1,"")</f>
        <v>0.39026315789473687</v>
      </c>
      <c r="U85" s="19">
        <f ca="1">IF('Stock Price'!$I$11="OK",H85/INDEX(H$5:H$1258,'Stock Price'!$I$9)-1,"")</f>
        <v>-0.24001878816345701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84.078800000000001</v>
      </c>
      <c r="C86" s="18">
        <v>117.02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-0.39310812761657277</v>
      </c>
      <c r="P86" s="19">
        <f ca="1">IF('Stock Price'!$I$11="OK",C86/INDEX(C$5:C$1258,'Stock Price'!$I$9)-1,"")</f>
        <v>-0.35940878609552485</v>
      </c>
      <c r="Q86" s="19">
        <f ca="1">IF('Stock Price'!$I$11="OK",D86/INDEX(D$5:D$1258,'Stock Price'!$I$9)-1,"")</f>
        <v>0.12885351601853712</v>
      </c>
      <c r="R86" s="19">
        <f ca="1">IF('Stock Price'!$I$11="OK",E86/INDEX(E$5:E$1258,'Stock Price'!$I$9)-1,"")</f>
        <v>-5.5587949465500497E-2</v>
      </c>
      <c r="S86" s="19">
        <f ca="1">IF('Stock Price'!$I$11="OK",F86/INDEX(F$5:F$1258,'Stock Price'!$I$9)-1,"")</f>
        <v>7.8167115902965101E-2</v>
      </c>
      <c r="T86" s="19">
        <f ca="1">IF('Stock Price'!$I$11="OK",G86/INDEX(G$5:G$1258,'Stock Price'!$I$9)-1,"")</f>
        <v>0.4168421052631579</v>
      </c>
      <c r="U86" s="19">
        <f ca="1">IF('Stock Price'!$I$11="OK",H86/INDEX(H$5:H$1258,'Stock Price'!$I$9)-1,"")</f>
        <v>-0.2345702207609206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85.307500000000005</v>
      </c>
      <c r="C87" s="18">
        <v>116.5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-0.38423920889273844</v>
      </c>
      <c r="P87" s="19">
        <f ca="1">IF('Stock Price'!$I$11="OK",C87/INDEX(C$5:C$1258,'Stock Price'!$I$9)-1,"")</f>
        <v>-0.36225537156151644</v>
      </c>
      <c r="Q87" s="19">
        <f ca="1">IF('Stock Price'!$I$11="OK",D87/INDEX(D$5:D$1258,'Stock Price'!$I$9)-1,"")</f>
        <v>0.13817247632480334</v>
      </c>
      <c r="R87" s="19">
        <f ca="1">IF('Stock Price'!$I$11="OK",E87/INDEX(E$5:E$1258,'Stock Price'!$I$9)-1,"")</f>
        <v>-4.7619047619047672E-2</v>
      </c>
      <c r="S87" s="19">
        <f ca="1">IF('Stock Price'!$I$11="OK",F87/INDEX(F$5:F$1258,'Stock Price'!$I$9)-1,"")</f>
        <v>7.0495542193655503E-2</v>
      </c>
      <c r="T87" s="19">
        <f ca="1">IF('Stock Price'!$I$11="OK",G87/INDEX(G$5:G$1258,'Stock Price'!$I$9)-1,"")</f>
        <v>0.42526315789473679</v>
      </c>
      <c r="U87" s="19">
        <f ca="1">IF('Stock Price'!$I$11="OK",H87/INDEX(H$5:H$1258,'Stock Price'!$I$9)-1,"")</f>
        <v>-0.23043682480037575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83.111400000000003</v>
      </c>
      <c r="C88" s="18">
        <v>117.68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-0.40009094846253779</v>
      </c>
      <c r="P88" s="19">
        <f ca="1">IF('Stock Price'!$I$11="OK",C88/INDEX(C$5:C$1258,'Stock Price'!$I$9)-1,"")</f>
        <v>-0.35579581223484336</v>
      </c>
      <c r="Q88" s="19">
        <f ca="1">IF('Stock Price'!$I$11="OK",D88/INDEX(D$5:D$1258,'Stock Price'!$I$9)-1,"")</f>
        <v>0.15101752971992743</v>
      </c>
      <c r="R88" s="19">
        <f ca="1">IF('Stock Price'!$I$11="OK",E88/INDEX(E$5:E$1258,'Stock Price'!$I$9)-1,"")</f>
        <v>-5.2089407191447945E-2</v>
      </c>
      <c r="S88" s="19">
        <f ca="1">IF('Stock Price'!$I$11="OK",F88/INDEX(F$5:F$1258,'Stock Price'!$I$9)-1,"")</f>
        <v>8.9363466721957385E-2</v>
      </c>
      <c r="T88" s="19">
        <f ca="1">IF('Stock Price'!$I$11="OK",G88/INDEX(G$5:G$1258,'Stock Price'!$I$9)-1,"")</f>
        <v>0.41394736842105262</v>
      </c>
      <c r="U88" s="19">
        <f ca="1">IF('Stock Price'!$I$11="OK",H88/INDEX(H$5:H$1258,'Stock Price'!$I$9)-1,"")</f>
        <v>-0.22959135744480974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83.604799999999997</v>
      </c>
      <c r="C89" s="18">
        <v>116.92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-0.39652952215966508</v>
      </c>
      <c r="P89" s="19">
        <f ca="1">IF('Stock Price'!$I$11="OK",C89/INDEX(C$5:C$1258,'Stock Price'!$I$9)-1,"")</f>
        <v>-0.3599562063774463</v>
      </c>
      <c r="Q89" s="19">
        <f ca="1">IF('Stock Price'!$I$11="OK",D89/INDEX(D$5:D$1258,'Stock Price'!$I$9)-1,"")</f>
        <v>0.13137215393914969</v>
      </c>
      <c r="R89" s="19">
        <f ca="1">IF('Stock Price'!$I$11="OK",E89/INDEX(E$5:E$1258,'Stock Price'!$I$9)-1,"")</f>
        <v>-8.4353741496598689E-2</v>
      </c>
      <c r="S89" s="19">
        <f ca="1">IF('Stock Price'!$I$11="OK",F89/INDEX(F$5:F$1258,'Stock Price'!$I$9)-1,"")</f>
        <v>8.7704748082106709E-2</v>
      </c>
      <c r="T89" s="19">
        <f ca="1">IF('Stock Price'!$I$11="OK",G89/INDEX(G$5:G$1258,'Stock Price'!$I$9)-1,"")</f>
        <v>0.39368421052631586</v>
      </c>
      <c r="U89" s="19">
        <f ca="1">IF('Stock Price'!$I$11="OK",H89/INDEX(H$5:H$1258,'Stock Price'!$I$9)-1,"")</f>
        <v>-0.25777360263034288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83.469399999999993</v>
      </c>
      <c r="C90" s="18">
        <v>110.53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-0.39750685722535006</v>
      </c>
      <c r="P90" s="19">
        <f ca="1">IF('Stock Price'!$I$11="OK",C90/INDEX(C$5:C$1258,'Stock Price'!$I$9)-1,"")</f>
        <v>-0.39493636239222663</v>
      </c>
      <c r="Q90" s="19">
        <f ca="1">IF('Stock Price'!$I$11="OK",D90/INDEX(D$5:D$1258,'Stock Price'!$I$9)-1,"")</f>
        <v>0.12834978843441469</v>
      </c>
      <c r="R90" s="19">
        <f ca="1">IF('Stock Price'!$I$11="OK",E90/INDEX(E$5:E$1258,'Stock Price'!$I$9)-1,"")</f>
        <v>-9.2322643343051514E-2</v>
      </c>
      <c r="S90" s="19">
        <f ca="1">IF('Stock Price'!$I$11="OK",F90/INDEX(F$5:F$1258,'Stock Price'!$I$9)-1,"")</f>
        <v>7.9825834542815777E-2</v>
      </c>
      <c r="T90" s="19">
        <f ca="1">IF('Stock Price'!$I$11="OK",G90/INDEX(G$5:G$1258,'Stock Price'!$I$9)-1,"")</f>
        <v>0.38473684210526304</v>
      </c>
      <c r="U90" s="19">
        <f ca="1">IF('Stock Price'!$I$11="OK",H90/INDEX(H$5:H$1258,'Stock Price'!$I$9)-1,"")</f>
        <v>-0.26200093940817282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84.369100000000003</v>
      </c>
      <c r="C91" s="18">
        <v>111.5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-0.39101270391222742</v>
      </c>
      <c r="P91" s="19">
        <f ca="1">IF('Stock Price'!$I$11="OK",C91/INDEX(C$5:C$1258,'Stock Price'!$I$9)-1,"")</f>
        <v>-0.38962638565758867</v>
      </c>
      <c r="Q91" s="19">
        <f ca="1">IF('Stock Price'!$I$11="OK",D91/INDEX(D$5:D$1258,'Stock Price'!$I$9)-1,"")</f>
        <v>0.13313520048357841</v>
      </c>
      <c r="R91" s="19">
        <f ca="1">IF('Stock Price'!$I$11="OK",E91/INDEX(E$5:E$1258,'Stock Price'!$I$9)-1,"")</f>
        <v>-9.1545189504373181E-2</v>
      </c>
      <c r="S91" s="19">
        <f ca="1">IF('Stock Price'!$I$11="OK",F91/INDEX(F$5:F$1258,'Stock Price'!$I$9)-1,"")</f>
        <v>9.9937798051005666E-2</v>
      </c>
      <c r="T91" s="19">
        <f ca="1">IF('Stock Price'!$I$11="OK",G91/INDEX(G$5:G$1258,'Stock Price'!$I$9)-1,"")</f>
        <v>0.39710526315789485</v>
      </c>
      <c r="U91" s="19">
        <f ca="1">IF('Stock Price'!$I$11="OK",H91/INDEX(H$5:H$1258,'Stock Price'!$I$9)-1,"")</f>
        <v>-0.27120713950211373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84.311000000000007</v>
      </c>
      <c r="C92" s="18">
        <v>112.87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-0.39143207737837438</v>
      </c>
      <c r="P92" s="19">
        <f ca="1">IF('Stock Price'!$I$11="OK",C92/INDEX(C$5:C$1258,'Stock Price'!$I$9)-1,"")</f>
        <v>-0.3821267277952648</v>
      </c>
      <c r="Q92" s="19">
        <f ca="1">IF('Stock Price'!$I$11="OK",D92/INDEX(D$5:D$1258,'Stock Price'!$I$9)-1,"")</f>
        <v>0.1389280677009872</v>
      </c>
      <c r="R92" s="19">
        <f ca="1">IF('Stock Price'!$I$11="OK",E92/INDEX(E$5:E$1258,'Stock Price'!$I$9)-1,"")</f>
        <v>-8.5325558794946521E-2</v>
      </c>
      <c r="S92" s="19">
        <f ca="1">IF('Stock Price'!$I$11="OK",F92/INDEX(F$5:F$1258,'Stock Price'!$I$9)-1,"")</f>
        <v>0.11154882852996062</v>
      </c>
      <c r="T92" s="19">
        <f ca="1">IF('Stock Price'!$I$11="OK",G92/INDEX(G$5:G$1258,'Stock Price'!$I$9)-1,"")</f>
        <v>0.38921052631578945</v>
      </c>
      <c r="U92" s="19">
        <f ca="1">IF('Stock Price'!$I$11="OK",H92/INDEX(H$5:H$1258,'Stock Price'!$I$9)-1,"")</f>
        <v>-0.27750117426021614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84.359399999999994</v>
      </c>
      <c r="C93" s="18">
        <v>114.52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-0.39108271979211784</v>
      </c>
      <c r="P93" s="19">
        <f ca="1">IF('Stock Price'!$I$11="OK",C93/INDEX(C$5:C$1258,'Stock Price'!$I$9)-1,"")</f>
        <v>-0.37309429314356102</v>
      </c>
      <c r="Q93" s="19">
        <f ca="1">IF('Stock Price'!$I$11="OK",D93/INDEX(D$5:D$1258,'Stock Price'!$I$9)-1,"")</f>
        <v>0.11474914366310696</v>
      </c>
      <c r="R93" s="19">
        <f ca="1">IF('Stock Price'!$I$11="OK",E93/INDEX(E$5:E$1258,'Stock Price'!$I$9)-1,"")</f>
        <v>-6.3362487852283822E-2</v>
      </c>
      <c r="S93" s="19">
        <f ca="1">IF('Stock Price'!$I$11="OK",F93/INDEX(F$5:F$1258,'Stock Price'!$I$9)-1,"")</f>
        <v>0.11237818784988596</v>
      </c>
      <c r="T93" s="19">
        <f ca="1">IF('Stock Price'!$I$11="OK",G93/INDEX(G$5:G$1258,'Stock Price'!$I$9)-1,"")</f>
        <v>0.40263157894736845</v>
      </c>
      <c r="U93" s="19">
        <f ca="1">IF('Stock Price'!$I$11="OK",H93/INDEX(H$5:H$1258,'Stock Price'!$I$9)-1,"")</f>
        <v>-0.28107092531705025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83.034000000000006</v>
      </c>
      <c r="C94" s="18">
        <v>115.751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-0.40064963187527058</v>
      </c>
      <c r="P94" s="19">
        <f ca="1">IF('Stock Price'!$I$11="OK",C94/INDEX(C$5:C$1258,'Stock Price'!$I$9)-1,"")</f>
        <v>-0.366355549473108</v>
      </c>
      <c r="Q94" s="19">
        <f ca="1">IF('Stock Price'!$I$11="OK",D94/INDEX(D$5:D$1258,'Stock Price'!$I$9)-1,"")</f>
        <v>0.11928269192020946</v>
      </c>
      <c r="R94" s="19">
        <f ca="1">IF('Stock Price'!$I$11="OK",E94/INDEX(E$5:E$1258,'Stock Price'!$I$9)-1,"")</f>
        <v>-7.3275024295432534E-2</v>
      </c>
      <c r="S94" s="19">
        <f ca="1">IF('Stock Price'!$I$11="OK",F94/INDEX(F$5:F$1258,'Stock Price'!$I$9)-1,"")</f>
        <v>9.7449720091229652E-2</v>
      </c>
      <c r="T94" s="19">
        <f ca="1">IF('Stock Price'!$I$11="OK",G94/INDEX(G$5:G$1258,'Stock Price'!$I$9)-1,"")</f>
        <v>0.43657894736842118</v>
      </c>
      <c r="U94" s="19">
        <f ca="1">IF('Stock Price'!$I$11="OK",H94/INDEX(H$5:H$1258,'Stock Price'!$I$9)-1,"")</f>
        <v>-0.28078910286519487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82.782499999999999</v>
      </c>
      <c r="C95" s="18">
        <v>114.15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-0.40246499206005482</v>
      </c>
      <c r="P95" s="19">
        <f ca="1">IF('Stock Price'!$I$11="OK",C95/INDEX(C$5:C$1258,'Stock Price'!$I$9)-1,"")</f>
        <v>-0.37511974818667038</v>
      </c>
      <c r="Q95" s="19">
        <f ca="1">IF('Stock Price'!$I$11="OK",D95/INDEX(D$5:D$1258,'Stock Price'!$I$9)-1,"")</f>
        <v>0.11575659883135203</v>
      </c>
      <c r="R95" s="19">
        <f ca="1">IF('Stock Price'!$I$11="OK",E95/INDEX(E$5:E$1258,'Stock Price'!$I$9)-1,"")</f>
        <v>-9.1933916423712403E-2</v>
      </c>
      <c r="S95" s="19">
        <f ca="1">IF('Stock Price'!$I$11="OK",F95/INDEX(F$5:F$1258,'Stock Price'!$I$9)-1,"")</f>
        <v>9.3510263321584297E-2</v>
      </c>
      <c r="T95" s="19">
        <f ca="1">IF('Stock Price'!$I$11="OK",G95/INDEX(G$5:G$1258,'Stock Price'!$I$9)-1,"")</f>
        <v>0.42421052631578937</v>
      </c>
      <c r="U95" s="19">
        <f ca="1">IF('Stock Price'!$I$11="OK",H95/INDEX(H$5:H$1258,'Stock Price'!$I$9)-1,"")</f>
        <v>-0.28003757632691406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82.898600000000002</v>
      </c>
      <c r="C96" s="18">
        <v>111.36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-0.40162696694095568</v>
      </c>
      <c r="P96" s="19">
        <f ca="1">IF('Stock Price'!$I$11="OK",C96/INDEX(C$5:C$1258,'Stock Price'!$I$9)-1,"")</f>
        <v>-0.39039277405227868</v>
      </c>
      <c r="Q96" s="19">
        <f ca="1">IF('Stock Price'!$I$11="OK",D96/INDEX(D$5:D$1258,'Stock Price'!$I$9)-1,"")</f>
        <v>7.9740076566592766E-2</v>
      </c>
      <c r="R96" s="19">
        <f ca="1">IF('Stock Price'!$I$11="OK",E96/INDEX(E$5:E$1258,'Stock Price'!$I$9)-1,"")</f>
        <v>-0.101457725947522</v>
      </c>
      <c r="S96" s="19">
        <f ca="1">IF('Stock Price'!$I$11="OK",F96/INDEX(F$5:F$1258,'Stock Price'!$I$9)-1,"")</f>
        <v>8.3350611652498463E-2</v>
      </c>
      <c r="T96" s="19">
        <f ca="1">IF('Stock Price'!$I$11="OK",G96/INDEX(G$5:G$1258,'Stock Price'!$I$9)-1,"")</f>
        <v>0.38868421052631597</v>
      </c>
      <c r="U96" s="19">
        <f ca="1">IF('Stock Price'!$I$11="OK",H96/INDEX(H$5:H$1258,'Stock Price'!$I$9)-1,"")</f>
        <v>-0.28163457022076099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83.604799999999997</v>
      </c>
      <c r="C97" s="18">
        <v>117.12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-0.39652952215966508</v>
      </c>
      <c r="P97" s="19">
        <f ca="1">IF('Stock Price'!$I$11="OK",C97/INDEX(C$5:C$1258,'Stock Price'!$I$9)-1,"")</f>
        <v>-0.35886136581360339</v>
      </c>
      <c r="Q97" s="19">
        <f ca="1">IF('Stock Price'!$I$11="OK",D97/INDEX(D$5:D$1258,'Stock Price'!$I$9)-1,"")</f>
        <v>9.8629860971186645E-2</v>
      </c>
      <c r="R97" s="19">
        <f ca="1">IF('Stock Price'!$I$11="OK",E97/INDEX(E$5:E$1258,'Stock Price'!$I$9)-1,"")</f>
        <v>-8.804664723032074E-2</v>
      </c>
      <c r="S97" s="19">
        <f ca="1">IF('Stock Price'!$I$11="OK",F97/INDEX(F$5:F$1258,'Stock Price'!$I$9)-1,"")</f>
        <v>9.9315778561061663E-2</v>
      </c>
      <c r="T97" s="19">
        <f ca="1">IF('Stock Price'!$I$11="OK",G97/INDEX(G$5:G$1258,'Stock Price'!$I$9)-1,"")</f>
        <v>0.4184210526315788</v>
      </c>
      <c r="U97" s="19">
        <f ca="1">IF('Stock Price'!$I$11="OK",H97/INDEX(H$5:H$1258,'Stock Price'!$I$9)-1,"")</f>
        <v>-0.26904650070455616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85.075299999999999</v>
      </c>
      <c r="C98" s="18">
        <v>120.87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-0.38591525913093694</v>
      </c>
      <c r="P98" s="19">
        <f ca="1">IF('Stock Price'!$I$11="OK",C98/INDEX(C$5:C$1258,'Stock Price'!$I$9)-1,"")</f>
        <v>-0.33833310524154925</v>
      </c>
      <c r="Q98" s="19">
        <f ca="1">IF('Stock Price'!$I$11="OK",D98/INDEX(D$5:D$1258,'Stock Price'!$I$9)-1,"")</f>
        <v>9.2836993753777852E-2</v>
      </c>
      <c r="R98" s="19">
        <f ca="1">IF('Stock Price'!$I$11="OK",E98/INDEX(E$5:E$1258,'Stock Price'!$I$9)-1,"")</f>
        <v>-7.541302235179792E-2</v>
      </c>
      <c r="S98" s="19">
        <f ca="1">IF('Stock Price'!$I$11="OK",F98/INDEX(F$5:F$1258,'Stock Price'!$I$9)-1,"")</f>
        <v>0.10989010989010994</v>
      </c>
      <c r="T98" s="19">
        <f ca="1">IF('Stock Price'!$I$11="OK",G98/INDEX(G$5:G$1258,'Stock Price'!$I$9)-1,"")</f>
        <v>0.42289473684210521</v>
      </c>
      <c r="U98" s="19">
        <f ca="1">IF('Stock Price'!$I$11="OK",H98/INDEX(H$5:H$1258,'Stock Price'!$I$9)-1,"")</f>
        <v>-0.27458900892437765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83.837000000000003</v>
      </c>
      <c r="C99" s="18">
        <v>122.4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-0.39485347192146669</v>
      </c>
      <c r="P99" s="19">
        <f ca="1">IF('Stock Price'!$I$11="OK",C99/INDEX(C$5:C$1258,'Stock Price'!$I$9)-1,"")</f>
        <v>-0.32995757492815114</v>
      </c>
      <c r="Q99" s="19">
        <f ca="1">IF('Stock Price'!$I$11="OK",D99/INDEX(D$5:D$1258,'Stock Price'!$I$9)-1,"")</f>
        <v>9.1073947209349138E-2</v>
      </c>
      <c r="R99" s="19">
        <f ca="1">IF('Stock Price'!$I$11="OK",E99/INDEX(E$5:E$1258,'Stock Price'!$I$9)-1,"")</f>
        <v>-9.2905733722060235E-2</v>
      </c>
      <c r="S99" s="19">
        <f ca="1">IF('Stock Price'!$I$11="OK",F99/INDEX(F$5:F$1258,'Stock Price'!$I$9)-1,"")</f>
        <v>9.6205681111341423E-2</v>
      </c>
      <c r="T99" s="19">
        <f ca="1">IF('Stock Price'!$I$11="OK",G99/INDEX(G$5:G$1258,'Stock Price'!$I$9)-1,"")</f>
        <v>0.42315789473684196</v>
      </c>
      <c r="U99" s="19">
        <f ca="1">IF('Stock Price'!$I$11="OK",H99/INDEX(H$5:H$1258,'Stock Price'!$I$9)-1,"")</f>
        <v>-0.28266791921089718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83.575800000000001</v>
      </c>
      <c r="C100" s="18">
        <v>117.98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-0.39673884798614112</v>
      </c>
      <c r="P100" s="19">
        <f ca="1">IF('Stock Price'!$I$11="OK",C100/INDEX(C$5:C$1258,'Stock Price'!$I$9)-1,"")</f>
        <v>-0.354153551389079</v>
      </c>
      <c r="Q100" s="19">
        <f ca="1">IF('Stock Price'!$I$11="OK",D100/INDEX(D$5:D$1258,'Stock Price'!$I$9)-1,"")</f>
        <v>8.4021761031634057E-2</v>
      </c>
      <c r="R100" s="19">
        <f ca="1">IF('Stock Price'!$I$11="OK",E100/INDEX(E$5:E$1258,'Stock Price'!$I$9)-1,"")</f>
        <v>-9.9319727891156395E-2</v>
      </c>
      <c r="S100" s="19">
        <f ca="1">IF('Stock Price'!$I$11="OK",F100/INDEX(F$5:F$1258,'Stock Price'!$I$9)-1,"")</f>
        <v>8.8534107402032047E-2</v>
      </c>
      <c r="T100" s="19">
        <f ca="1">IF('Stock Price'!$I$11="OK",G100/INDEX(G$5:G$1258,'Stock Price'!$I$9)-1,"")</f>
        <v>0.42105263157894735</v>
      </c>
      <c r="U100" s="19">
        <f ca="1">IF('Stock Price'!$I$11="OK",H100/INDEX(H$5:H$1258,'Stock Price'!$I$9)-1,"")</f>
        <v>-0.28257397839361198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83.034000000000006</v>
      </c>
      <c r="C101" s="18">
        <v>120.3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-0.40064963187527058</v>
      </c>
      <c r="P101" s="19">
        <f ca="1">IF('Stock Price'!$I$11="OK",C101/INDEX(C$5:C$1258,'Stock Price'!$I$9)-1,"")</f>
        <v>-0.34145340084850151</v>
      </c>
      <c r="Q101" s="19">
        <f ca="1">IF('Stock Price'!$I$11="OK",D101/INDEX(D$5:D$1258,'Stock Price'!$I$9)-1,"")</f>
        <v>7.5206528309490039E-2</v>
      </c>
      <c r="R101" s="19">
        <f ca="1">IF('Stock Price'!$I$11="OK",E101/INDEX(E$5:E$1258,'Stock Price'!$I$9)-1,"")</f>
        <v>-9.2905733722060235E-2</v>
      </c>
      <c r="S101" s="19">
        <f ca="1">IF('Stock Price'!$I$11="OK",F101/INDEX(F$5:F$1258,'Stock Price'!$I$9)-1,"")</f>
        <v>7.9825834542815777E-2</v>
      </c>
      <c r="T101" s="19">
        <f ca="1">IF('Stock Price'!$I$11="OK",G101/INDEX(G$5:G$1258,'Stock Price'!$I$9)-1,"")</f>
        <v>0.37921052631578944</v>
      </c>
      <c r="U101" s="19">
        <f ca="1">IF('Stock Price'!$I$11="OK",H101/INDEX(H$5:H$1258,'Stock Price'!$I$9)-1,"")</f>
        <v>-0.28651949271958665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83.701499999999996</v>
      </c>
      <c r="C102" s="18">
        <v>120.97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-0.39583152880034644</v>
      </c>
      <c r="P102" s="19">
        <f ca="1">IF('Stock Price'!$I$11="OK",C102/INDEX(C$5:C$1258,'Stock Price'!$I$9)-1,"")</f>
        <v>-0.3377856849596278</v>
      </c>
      <c r="Q102" s="19">
        <f ca="1">IF('Stock Price'!$I$11="OK",D102/INDEX(D$5:D$1258,'Stock Price'!$I$9)-1,"")</f>
        <v>8.6036671368123985E-2</v>
      </c>
      <c r="R102" s="19">
        <f ca="1">IF('Stock Price'!$I$11="OK",E102/INDEX(E$5:E$1258,'Stock Price'!$I$9)-1,"")</f>
        <v>-9.6015549076773676E-2</v>
      </c>
      <c r="S102" s="19">
        <f ca="1">IF('Stock Price'!$I$11="OK",F102/INDEX(F$5:F$1258,'Stock Price'!$I$9)-1,"")</f>
        <v>8.8948787061994716E-2</v>
      </c>
      <c r="T102" s="19">
        <f ca="1">IF('Stock Price'!$I$11="OK",G102/INDEX(G$5:G$1258,'Stock Price'!$I$9)-1,"")</f>
        <v>0.39342105263157912</v>
      </c>
      <c r="U102" s="19">
        <f ca="1">IF('Stock Price'!$I$11="OK",H102/INDEX(H$5:H$1258,'Stock Price'!$I$9)-1,"")</f>
        <v>-0.28755284170972284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82.888900000000007</v>
      </c>
      <c r="C103" s="18">
        <v>115.95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-0.40169698282084587</v>
      </c>
      <c r="P103" s="19">
        <f ca="1">IF('Stock Price'!$I$11="OK",C103/INDEX(C$5:C$1258,'Stock Price'!$I$9)-1,"")</f>
        <v>-0.36526618311208436</v>
      </c>
      <c r="Q103" s="19">
        <f ca="1">IF('Stock Price'!$I$11="OK",D103/INDEX(D$5:D$1258,'Stock Price'!$I$9)-1,"")</f>
        <v>3.7426959500302059E-2</v>
      </c>
      <c r="R103" s="19">
        <f ca="1">IF('Stock Price'!$I$11="OK",E103/INDEX(E$5:E$1258,'Stock Price'!$I$9)-1,"")</f>
        <v>-9.7764820213799841E-2</v>
      </c>
      <c r="S103" s="19">
        <f ca="1">IF('Stock Price'!$I$11="OK",F103/INDEX(F$5:F$1258,'Stock Price'!$I$9)-1,"")</f>
        <v>6.2201948994401901E-2</v>
      </c>
      <c r="T103" s="19">
        <f ca="1">IF('Stock Price'!$I$11="OK",G103/INDEX(G$5:G$1258,'Stock Price'!$I$9)-1,"")</f>
        <v>0.3315789473684212</v>
      </c>
      <c r="U103" s="19">
        <f ca="1">IF('Stock Price'!$I$11="OK",H103/INDEX(H$5:H$1258,'Stock Price'!$I$9)-1,"")</f>
        <v>-0.30944105213715356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84.775400000000005</v>
      </c>
      <c r="C104" s="18">
        <v>121.27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-0.38807997690197771</v>
      </c>
      <c r="P104" s="19">
        <f ca="1">IF('Stock Price'!$I$11="OK",C104/INDEX(C$5:C$1258,'Stock Price'!$I$9)-1,"")</f>
        <v>-0.33614342411386344</v>
      </c>
      <c r="Q104" s="19">
        <f ca="1">IF('Stock Price'!$I$11="OK",D104/INDEX(D$5:D$1258,'Stock Price'!$I$9)-1,"")</f>
        <v>7.4954664517429048E-2</v>
      </c>
      <c r="R104" s="19">
        <f ca="1">IF('Stock Price'!$I$11="OK",E104/INDEX(E$5:E$1258,'Stock Price'!$I$9)-1,"")</f>
        <v>-7.4246841593780366E-2</v>
      </c>
      <c r="S104" s="19">
        <f ca="1">IF('Stock Price'!$I$11="OK",F104/INDEX(F$5:F$1258,'Stock Price'!$I$9)-1,"")</f>
        <v>9.9937798051005666E-2</v>
      </c>
      <c r="T104" s="19">
        <f ca="1">IF('Stock Price'!$I$11="OK",G104/INDEX(G$5:G$1258,'Stock Price'!$I$9)-1,"")</f>
        <v>0.39157894736842103</v>
      </c>
      <c r="U104" s="19">
        <f ca="1">IF('Stock Price'!$I$11="OK",H104/INDEX(H$5:H$1258,'Stock Price'!$I$9)-1,"")</f>
        <v>-0.28304368248003764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84.610900000000001</v>
      </c>
      <c r="C105" s="18">
        <v>117.23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-0.38926735960733361</v>
      </c>
      <c r="P105" s="19">
        <f ca="1">IF('Stock Price'!$I$11="OK",C105/INDEX(C$5:C$1258,'Stock Price'!$I$9)-1,"")</f>
        <v>-0.35825920350348983</v>
      </c>
      <c r="Q105" s="19">
        <f ca="1">IF('Stock Price'!$I$11="OK",D105/INDEX(D$5:D$1258,'Stock Price'!$I$9)-1,"")</f>
        <v>5.4301833568406233E-2</v>
      </c>
      <c r="R105" s="19">
        <f ca="1">IF('Stock Price'!$I$11="OK",E105/INDEX(E$5:E$1258,'Stock Price'!$I$9)-1,"")</f>
        <v>-8.2021379980563802E-2</v>
      </c>
      <c r="S105" s="19">
        <f ca="1">IF('Stock Price'!$I$11="OK",F105/INDEX(F$5:F$1258,'Stock Price'!$I$9)-1,"")</f>
        <v>8.7497408252125375E-2</v>
      </c>
      <c r="T105" s="19">
        <f ca="1">IF('Stock Price'!$I$11="OK",G105/INDEX(G$5:G$1258,'Stock Price'!$I$9)-1,"")</f>
        <v>0.35552631578947369</v>
      </c>
      <c r="U105" s="19">
        <f ca="1">IF('Stock Price'!$I$11="OK",H105/INDEX(H$5:H$1258,'Stock Price'!$I$9)-1,"")</f>
        <v>-0.2806012212306247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84.281999999999996</v>
      </c>
      <c r="C106" s="18">
        <v>122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-0.39164140320485052</v>
      </c>
      <c r="P106" s="19">
        <f ca="1">IF('Stock Price'!$I$11="OK",C106/INDEX(C$5:C$1258,'Stock Price'!$I$9)-1,"")</f>
        <v>-0.33214725605583695</v>
      </c>
      <c r="Q106" s="19">
        <f ca="1">IF('Stock Price'!$I$11="OK",D106/INDEX(D$5:D$1258,'Stock Price'!$I$9)-1,"")</f>
        <v>4.649405601450729E-2</v>
      </c>
      <c r="R106" s="19">
        <f ca="1">IF('Stock Price'!$I$11="OK",E106/INDEX(E$5:E$1258,'Stock Price'!$I$9)-1,"")</f>
        <v>-7.852283770651125E-2</v>
      </c>
      <c r="S106" s="19">
        <f ca="1">IF('Stock Price'!$I$11="OK",F106/INDEX(F$5:F$1258,'Stock Price'!$I$9)-1,"")</f>
        <v>5.8677171884719215E-2</v>
      </c>
      <c r="T106" s="19">
        <f ca="1">IF('Stock Price'!$I$11="OK",G106/INDEX(G$5:G$1258,'Stock Price'!$I$9)-1,"")</f>
        <v>0.36631578947368415</v>
      </c>
      <c r="U106" s="19">
        <f ca="1">IF('Stock Price'!$I$11="OK",H106/INDEX(H$5:H$1258,'Stock Price'!$I$9)-1,"")</f>
        <v>-0.28285580084546735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84.823700000000002</v>
      </c>
      <c r="C107" s="18">
        <v>124.92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-0.38773134112891583</v>
      </c>
      <c r="P107" s="19">
        <f ca="1">IF('Stock Price'!$I$11="OK",C107/INDEX(C$5:C$1258,'Stock Price'!$I$9)-1,"")</f>
        <v>-0.31616258382373075</v>
      </c>
      <c r="Q107" s="19">
        <f ca="1">IF('Stock Price'!$I$11="OK",D107/INDEX(D$5:D$1258,'Stock Price'!$I$9)-1,"")</f>
        <v>5.8583518033447524E-2</v>
      </c>
      <c r="R107" s="19">
        <f ca="1">IF('Stock Price'!$I$11="OK",E107/INDEX(E$5:E$1258,'Stock Price'!$I$9)-1,"")</f>
        <v>-8.6103012633624854E-2</v>
      </c>
      <c r="S107" s="19">
        <f ca="1">IF('Stock Price'!$I$11="OK",F107/INDEX(F$5:F$1258,'Stock Price'!$I$9)-1,"")</f>
        <v>5.8677171884719215E-2</v>
      </c>
      <c r="T107" s="19">
        <f ca="1">IF('Stock Price'!$I$11="OK",G107/INDEX(G$5:G$1258,'Stock Price'!$I$9)-1,"")</f>
        <v>0.42105263157894735</v>
      </c>
      <c r="U107" s="19">
        <f ca="1">IF('Stock Price'!$I$11="OK",H107/INDEX(H$5:H$1258,'Stock Price'!$I$9)-1,"")</f>
        <v>-0.27975575387505869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83.3339</v>
      </c>
      <c r="C108" s="18">
        <v>118.35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-0.39848491410422981</v>
      </c>
      <c r="P108" s="19">
        <f ca="1">IF('Stock Price'!$I$11="OK",C108/INDEX(C$5:C$1258,'Stock Price'!$I$9)-1,"")</f>
        <v>-0.35212809634596964</v>
      </c>
      <c r="Q108" s="19">
        <f ca="1">IF('Stock Price'!$I$11="OK",D108/INDEX(D$5:D$1258,'Stock Price'!$I$9)-1,"")</f>
        <v>4.3975418093894714E-2</v>
      </c>
      <c r="R108" s="19">
        <f ca="1">IF('Stock Price'!$I$11="OK",E108/INDEX(E$5:E$1258,'Stock Price'!$I$9)-1,"")</f>
        <v>-9.9514091350826117E-2</v>
      </c>
      <c r="S108" s="19">
        <f ca="1">IF('Stock Price'!$I$11="OK",F108/INDEX(F$5:F$1258,'Stock Price'!$I$9)-1,"")</f>
        <v>4.0431266846361336E-2</v>
      </c>
      <c r="T108" s="19">
        <f ca="1">IF('Stock Price'!$I$11="OK",G108/INDEX(G$5:G$1258,'Stock Price'!$I$9)-1,"")</f>
        <v>0.41052631578947363</v>
      </c>
      <c r="U108" s="19">
        <f ca="1">IF('Stock Price'!$I$11="OK",H108/INDEX(H$5:H$1258,'Stock Price'!$I$9)-1,"")</f>
        <v>-0.27524659464537338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81.979500000000002</v>
      </c>
      <c r="C109" s="18">
        <v>113.2401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-0.40826115201385882</v>
      </c>
      <c r="P109" s="19">
        <f ca="1">IF('Stock Price'!$I$11="OK",C109/INDEX(C$5:C$1258,'Stock Price'!$I$9)-1,"")</f>
        <v>-0.38010072533187356</v>
      </c>
      <c r="Q109" s="19">
        <f ca="1">IF('Stock Price'!$I$11="OK",D109/INDEX(D$5:D$1258,'Stock Price'!$I$9)-1,"")</f>
        <v>1.1988716502115526E-2</v>
      </c>
      <c r="R109" s="19">
        <f ca="1">IF('Stock Price'!$I$11="OK",E109/INDEX(E$5:E$1258,'Stock Price'!$I$9)-1,"")</f>
        <v>-0.10515063168124394</v>
      </c>
      <c r="S109" s="19">
        <f ca="1">IF('Stock Price'!$I$11="OK",F109/INDEX(F$5:F$1258,'Stock Price'!$I$9)-1,"")</f>
        <v>5.1834957495335843E-3</v>
      </c>
      <c r="T109" s="19">
        <f ca="1">IF('Stock Price'!$I$11="OK",G109/INDEX(G$5:G$1258,'Stock Price'!$I$9)-1,"")</f>
        <v>0.3465789473684211</v>
      </c>
      <c r="U109" s="19">
        <f ca="1">IF('Stock Price'!$I$11="OK",H109/INDEX(H$5:H$1258,'Stock Price'!$I$9)-1,"")</f>
        <v>-0.26885861906998598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80.818600000000004</v>
      </c>
      <c r="C110" s="18">
        <v>114.27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-0.41664068139165578</v>
      </c>
      <c r="P110" s="19">
        <f ca="1">IF('Stock Price'!$I$11="OK",C110/INDEX(C$5:C$1258,'Stock Price'!$I$9)-1,"")</f>
        <v>-0.37446284384836459</v>
      </c>
      <c r="Q110" s="19">
        <f ca="1">IF('Stock Price'!$I$11="OK",D110/INDEX(D$5:D$1258,'Stock Price'!$I$9)-1,"")</f>
        <v>-6.1454765262946021E-3</v>
      </c>
      <c r="R110" s="19">
        <f ca="1">IF('Stock Price'!$I$11="OK",E110/INDEX(E$5:E$1258,'Stock Price'!$I$9)-1,"")</f>
        <v>-0.11933916423712343</v>
      </c>
      <c r="S110" s="19">
        <f ca="1">IF('Stock Price'!$I$11="OK",F110/INDEX(F$5:F$1258,'Stock Price'!$I$9)-1,"")</f>
        <v>7.4642338793282637E-3</v>
      </c>
      <c r="T110" s="19">
        <f ca="1">IF('Stock Price'!$I$11="OK",G110/INDEX(G$5:G$1258,'Stock Price'!$I$9)-1,"")</f>
        <v>0.33368421052631581</v>
      </c>
      <c r="U110" s="19">
        <f ca="1">IF('Stock Price'!$I$11="OK",H110/INDEX(H$5:H$1258,'Stock Price'!$I$9)-1,"")</f>
        <v>-0.26979802724283697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77.500299999999996</v>
      </c>
      <c r="C111" s="18">
        <v>112.83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-0.44059260863288585</v>
      </c>
      <c r="P111" s="19">
        <f ca="1">IF('Stock Price'!$I$11="OK",C111/INDEX(C$5:C$1258,'Stock Price'!$I$9)-1,"")</f>
        <v>-0.38234569590803347</v>
      </c>
      <c r="Q111" s="19">
        <f ca="1">IF('Stock Price'!$I$11="OK",D111/INDEX(D$5:D$1258,'Stock Price'!$I$9)-1,"")</f>
        <v>6.9514406608905954E-3</v>
      </c>
      <c r="R111" s="19">
        <f ca="1">IF('Stock Price'!$I$11="OK",E111/INDEX(E$5:E$1258,'Stock Price'!$I$9)-1,"")</f>
        <v>-9.9902818270165228E-2</v>
      </c>
      <c r="S111" s="19">
        <f ca="1">IF('Stock Price'!$I$11="OK",F111/INDEX(F$5:F$1258,'Stock Price'!$I$9)-1,"")</f>
        <v>4.0845946506324005E-2</v>
      </c>
      <c r="T111" s="19">
        <f ca="1">IF('Stock Price'!$I$11="OK",G111/INDEX(G$5:G$1258,'Stock Price'!$I$9)-1,"")</f>
        <v>0.3292105263157894</v>
      </c>
      <c r="U111" s="19">
        <f ca="1">IF('Stock Price'!$I$11="OK",H111/INDEX(H$5:H$1258,'Stock Price'!$I$9)-1,"")</f>
        <v>-0.27712541099107557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79.4739</v>
      </c>
      <c r="C112" s="18">
        <v>119.3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-0.42634690342139447</v>
      </c>
      <c r="P112" s="19">
        <f ca="1">IF('Stock Price'!$I$11="OK",C112/INDEX(C$5:C$1258,'Stock Price'!$I$9)-1,"")</f>
        <v>-0.34692760366771591</v>
      </c>
      <c r="Q112" s="19">
        <f ca="1">IF('Stock Price'!$I$11="OK",D112/INDEX(D$5:D$1258,'Stock Price'!$I$9)-1,"")</f>
        <v>4.1204916381220924E-2</v>
      </c>
      <c r="R112" s="19">
        <f ca="1">IF('Stock Price'!$I$11="OK",E112/INDEX(E$5:E$1258,'Stock Price'!$I$9)-1,"")</f>
        <v>-6.7638483965014706E-2</v>
      </c>
      <c r="S112" s="19">
        <f ca="1">IF('Stock Price'!$I$11="OK",F112/INDEX(F$5:F$1258,'Stock Price'!$I$9)-1,"")</f>
        <v>7.6612067178104981E-2</v>
      </c>
      <c r="T112" s="19">
        <f ca="1">IF('Stock Price'!$I$11="OK",G112/INDEX(G$5:G$1258,'Stock Price'!$I$9)-1,"")</f>
        <v>0.41500000000000004</v>
      </c>
      <c r="U112" s="19">
        <f ca="1">IF('Stock Price'!$I$11="OK",H112/INDEX(H$5:H$1258,'Stock Price'!$I$9)-1,"")</f>
        <v>-0.26923438233912633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80.267200000000003</v>
      </c>
      <c r="C113" s="18">
        <v>122.42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-0.42062075934748078</v>
      </c>
      <c r="P113" s="19">
        <f ca="1">IF('Stock Price'!$I$11="OK",C113/INDEX(C$5:C$1258,'Stock Price'!$I$9)-1,"")</f>
        <v>-0.32984809087176681</v>
      </c>
      <c r="Q113" s="19">
        <f ca="1">IF('Stock Price'!$I$11="OK",D113/INDEX(D$5:D$1258,'Stock Price'!$I$9)-1,"")</f>
        <v>2.8359862986097051E-2</v>
      </c>
      <c r="R113" s="19">
        <f ca="1">IF('Stock Price'!$I$11="OK",E113/INDEX(E$5:E$1258,'Stock Price'!$I$9)-1,"")</f>
        <v>-8.7269193391642408E-2</v>
      </c>
      <c r="S113" s="19">
        <f ca="1">IF('Stock Price'!$I$11="OK",F113/INDEX(F$5:F$1258,'Stock Price'!$I$9)-1,"")</f>
        <v>6.5726726104084587E-2</v>
      </c>
      <c r="T113" s="19">
        <f ca="1">IF('Stock Price'!$I$11="OK",G113/INDEX(G$5:G$1258,'Stock Price'!$I$9)-1,"")</f>
        <v>0.41500000000000004</v>
      </c>
      <c r="U113" s="19">
        <f ca="1">IF('Stock Price'!$I$11="OK",H113/INDEX(H$5:H$1258,'Stock Price'!$I$9)-1,"")</f>
        <v>-0.26829497416627524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79.686700000000002</v>
      </c>
      <c r="C114" s="18">
        <v>119.85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-0.4248108849429767</v>
      </c>
      <c r="P114" s="19">
        <f ca="1">IF('Stock Price'!$I$11="OK",C114/INDEX(C$5:C$1258,'Stock Price'!$I$9)-1,"")</f>
        <v>-0.34391679211714798</v>
      </c>
      <c r="Q114" s="19">
        <f ca="1">IF('Stock Price'!$I$11="OK",D114/INDEX(D$5:D$1258,'Stock Price'!$I$9)-1,"")</f>
        <v>2.1559540600443183E-2</v>
      </c>
      <c r="R114" s="19">
        <f ca="1">IF('Stock Price'!$I$11="OK",E114/INDEX(E$5:E$1258,'Stock Price'!$I$9)-1,"")</f>
        <v>-9.7764820213799841E-2</v>
      </c>
      <c r="S114" s="19">
        <f ca="1">IF('Stock Price'!$I$11="OK",F114/INDEX(F$5:F$1258,'Stock Price'!$I$9)-1,"")</f>
        <v>5.1420277835372286E-2</v>
      </c>
      <c r="T114" s="19">
        <f ca="1">IF('Stock Price'!$I$11="OK",G114/INDEX(G$5:G$1258,'Stock Price'!$I$9)-1,"")</f>
        <v>0.45710526315789468</v>
      </c>
      <c r="U114" s="19">
        <f ca="1">IF('Stock Price'!$I$11="OK",H114/INDEX(H$5:H$1258,'Stock Price'!$I$9)-1,"")</f>
        <v>-0.26481916392672611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81.331299999999999</v>
      </c>
      <c r="C115" s="18">
        <v>120.73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-0.41293994514219723</v>
      </c>
      <c r="P115" s="19">
        <f ca="1">IF('Stock Price'!$I$11="OK",C115/INDEX(C$5:C$1258,'Stock Price'!$I$9)-1,"")</f>
        <v>-0.33909949363623926</v>
      </c>
      <c r="Q115" s="19">
        <f ca="1">IF('Stock Price'!$I$11="OK",D115/INDEX(D$5:D$1258,'Stock Price'!$I$9)-1,"")</f>
        <v>2.6848680233729549E-2</v>
      </c>
      <c r="R115" s="19">
        <f ca="1">IF('Stock Price'!$I$11="OK",E115/INDEX(E$5:E$1258,'Stock Price'!$I$9)-1,"")</f>
        <v>-8.1049562682215748E-2</v>
      </c>
      <c r="S115" s="19">
        <f ca="1">IF('Stock Price'!$I$11="OK",F115/INDEX(F$5:F$1258,'Stock Price'!$I$9)-1,"")</f>
        <v>4.3541364296081353E-2</v>
      </c>
      <c r="T115" s="19">
        <f ca="1">IF('Stock Price'!$I$11="OK",G115/INDEX(G$5:G$1258,'Stock Price'!$I$9)-1,"")</f>
        <v>0.4676315789473684</v>
      </c>
      <c r="U115" s="19">
        <f ca="1">IF('Stock Price'!$I$11="OK",H115/INDEX(H$5:H$1258,'Stock Price'!$I$9)-1,"")</f>
        <v>-0.26932832315641142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81.969800000000006</v>
      </c>
      <c r="C116" s="18">
        <v>121.32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-0.40833116789374901</v>
      </c>
      <c r="P116" s="19">
        <f ca="1">IF('Stock Price'!$I$11="OK",C116/INDEX(C$5:C$1258,'Stock Price'!$I$9)-1,"")</f>
        <v>-0.33586971397290277</v>
      </c>
      <c r="Q116" s="19">
        <f ca="1">IF('Stock Price'!$I$11="OK",D116/INDEX(D$5:D$1258,'Stock Price'!$I$9)-1,"")</f>
        <v>5.0272012895426155E-2</v>
      </c>
      <c r="R116" s="19">
        <f ca="1">IF('Stock Price'!$I$11="OK",E116/INDEX(E$5:E$1258,'Stock Price'!$I$9)-1,"")</f>
        <v>-6.9970845481049593E-2</v>
      </c>
      <c r="S116" s="19">
        <f ca="1">IF('Stock Price'!$I$11="OK",F116/INDEX(F$5:F$1258,'Stock Price'!$I$9)-1,"")</f>
        <v>7.4642338793282192E-2</v>
      </c>
      <c r="T116" s="19">
        <f ca="1">IF('Stock Price'!$I$11="OK",G116/INDEX(G$5:G$1258,'Stock Price'!$I$9)-1,"")</f>
        <v>0.47210526315789458</v>
      </c>
      <c r="U116" s="19">
        <f ca="1">IF('Stock Price'!$I$11="OK",H116/INDEX(H$5:H$1258,'Stock Price'!$I$9)-1,"")</f>
        <v>-0.26124941286989201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81.882800000000003</v>
      </c>
      <c r="C117" s="18">
        <v>121.33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-0.40895914537317735</v>
      </c>
      <c r="P117" s="19">
        <f ca="1">IF('Stock Price'!$I$11="OK",C117/INDEX(C$5:C$1258,'Stock Price'!$I$9)-1,"")</f>
        <v>-0.33581497194471055</v>
      </c>
      <c r="Q117" s="19">
        <f ca="1">IF('Stock Price'!$I$11="OK",D117/INDEX(D$5:D$1258,'Stock Price'!$I$9)-1,"")</f>
        <v>6.0346564577876238E-2</v>
      </c>
      <c r="R117" s="19">
        <f ca="1">IF('Stock Price'!$I$11="OK",E117/INDEX(E$5:E$1258,'Stock Price'!$I$9)-1,"")</f>
        <v>-6.5889212827988319E-2</v>
      </c>
      <c r="S117" s="19">
        <f ca="1">IF('Stock Price'!$I$11="OK",F117/INDEX(F$5:F$1258,'Stock Price'!$I$9)-1,"")</f>
        <v>7.6093717603151534E-2</v>
      </c>
      <c r="T117" s="19">
        <f ca="1">IF('Stock Price'!$I$11="OK",G117/INDEX(G$5:G$1258,'Stock Price'!$I$9)-1,"")</f>
        <v>0.49947368421052629</v>
      </c>
      <c r="U117" s="19">
        <f ca="1">IF('Stock Price'!$I$11="OK",H117/INDEX(H$5:H$1258,'Stock Price'!$I$9)-1,"")</f>
        <v>-0.26613433536871767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83.624099999999999</v>
      </c>
      <c r="C118" s="18">
        <v>124.08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-0.39639021221307924</v>
      </c>
      <c r="P118" s="19">
        <f ca="1">IF('Stock Price'!$I$11="OK",C118/INDEX(C$5:C$1258,'Stock Price'!$I$9)-1,"")</f>
        <v>-0.32076091419187081</v>
      </c>
      <c r="Q118" s="19">
        <f ca="1">IF('Stock Price'!$I$11="OK",D118/INDEX(D$5:D$1258,'Stock Price'!$I$9)-1,"")</f>
        <v>8.427362482369527E-2</v>
      </c>
      <c r="R118" s="19">
        <f ca="1">IF('Stock Price'!$I$11="OK",E118/INDEX(E$5:E$1258,'Stock Price'!$I$9)-1,"")</f>
        <v>-6.7249757045675373E-2</v>
      </c>
      <c r="S118" s="19">
        <f ca="1">IF('Stock Price'!$I$11="OK",F118/INDEX(F$5:F$1258,'Stock Price'!$I$9)-1,"")</f>
        <v>9.0607505701845392E-2</v>
      </c>
      <c r="T118" s="19">
        <f ca="1">IF('Stock Price'!$I$11="OK",G118/INDEX(G$5:G$1258,'Stock Price'!$I$9)-1,"")</f>
        <v>0.52236842105263159</v>
      </c>
      <c r="U118" s="19">
        <f ca="1">IF('Stock Price'!$I$11="OK",H118/INDEX(H$5:H$1258,'Stock Price'!$I$9)-1,"")</f>
        <v>-0.25843118835133871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83.962699999999998</v>
      </c>
      <c r="C119" s="18">
        <v>127.92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-0.39394615273567202</v>
      </c>
      <c r="P119" s="19">
        <f ca="1">IF('Stock Price'!$I$11="OK",C119/INDEX(C$5:C$1258,'Stock Price'!$I$9)-1,"")</f>
        <v>-0.29973997536608732</v>
      </c>
      <c r="Q119" s="19">
        <f ca="1">IF('Stock Price'!$I$11="OK",D119/INDEX(D$5:D$1258,'Stock Price'!$I$9)-1,"")</f>
        <v>8.3518033447511408E-2</v>
      </c>
      <c r="R119" s="19">
        <f ca="1">IF('Stock Price'!$I$11="OK",E119/INDEX(E$5:E$1258,'Stock Price'!$I$9)-1,"")</f>
        <v>-4.4703595724003953E-2</v>
      </c>
      <c r="S119" s="19">
        <f ca="1">IF('Stock Price'!$I$11="OK",F119/INDEX(F$5:F$1258,'Stock Price'!$I$9)-1,"")</f>
        <v>8.0033174372797111E-2</v>
      </c>
      <c r="T119" s="19">
        <f ca="1">IF('Stock Price'!$I$11="OK",G119/INDEX(G$5:G$1258,'Stock Price'!$I$9)-1,"")</f>
        <v>0.52657894736842104</v>
      </c>
      <c r="U119" s="19">
        <f ca="1">IF('Stock Price'!$I$11="OK",H119/INDEX(H$5:H$1258,'Stock Price'!$I$9)-1,"")</f>
        <v>-0.25683419445749178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83.275899999999993</v>
      </c>
      <c r="C120" s="18">
        <v>121.79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-0.39890356575718211</v>
      </c>
      <c r="P120" s="19">
        <f ca="1">IF('Stock Price'!$I$11="OK",C120/INDEX(C$5:C$1258,'Stock Price'!$I$9)-1,"")</f>
        <v>-0.33329683864787196</v>
      </c>
      <c r="Q120" s="19">
        <f ca="1">IF('Stock Price'!$I$11="OK",D120/INDEX(D$5:D$1258,'Stock Price'!$I$9)-1,"")</f>
        <v>7.8984485190408904E-2</v>
      </c>
      <c r="R120" s="19">
        <f ca="1">IF('Stock Price'!$I$11="OK",E120/INDEX(E$5:E$1258,'Stock Price'!$I$9)-1,"")</f>
        <v>-4.9173955296404337E-2</v>
      </c>
      <c r="S120" s="19">
        <f ca="1">IF('Stock Price'!$I$11="OK",F120/INDEX(F$5:F$1258,'Stock Price'!$I$9)-1,"")</f>
        <v>5.6396433754924535E-2</v>
      </c>
      <c r="T120" s="19">
        <f ca="1">IF('Stock Price'!$I$11="OK",G120/INDEX(G$5:G$1258,'Stock Price'!$I$9)-1,"")</f>
        <v>0.54368421052631577</v>
      </c>
      <c r="U120" s="19">
        <f ca="1">IF('Stock Price'!$I$11="OK",H120/INDEX(H$5:H$1258,'Stock Price'!$I$9)-1,"")</f>
        <v>-0.25730389854391733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83.111400000000003</v>
      </c>
      <c r="C121" s="18">
        <v>127.92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-0.40009094846253779</v>
      </c>
      <c r="P121" s="19">
        <f ca="1">IF('Stock Price'!$I$11="OK",C121/INDEX(C$5:C$1258,'Stock Price'!$I$9)-1,"")</f>
        <v>-0.29973997536608732</v>
      </c>
      <c r="Q121" s="19">
        <f ca="1">IF('Stock Price'!$I$11="OK",D121/INDEX(D$5:D$1258,'Stock Price'!$I$9)-1,"")</f>
        <v>8.8807173080797774E-2</v>
      </c>
      <c r="R121" s="19">
        <f ca="1">IF('Stock Price'!$I$11="OK",E121/INDEX(E$5:E$1258,'Stock Price'!$I$9)-1,"")</f>
        <v>-4.6064139941691007E-2</v>
      </c>
      <c r="S121" s="19">
        <f ca="1">IF('Stock Price'!$I$11="OK",F121/INDEX(F$5:F$1258,'Stock Price'!$I$9)-1,"")</f>
        <v>7.2154260833506179E-2</v>
      </c>
      <c r="T121" s="19">
        <f ca="1">IF('Stock Price'!$I$11="OK",G121/INDEX(G$5:G$1258,'Stock Price'!$I$9)-1,"")</f>
        <v>0.55710526315789477</v>
      </c>
      <c r="U121" s="19">
        <f ca="1">IF('Stock Price'!$I$11="OK",H121/INDEX(H$5:H$1258,'Stock Price'!$I$9)-1,"")</f>
        <v>-0.25504931892907468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82.763099999999994</v>
      </c>
      <c r="C122" s="18">
        <v>129.77000000000001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-0.40260502381983543</v>
      </c>
      <c r="P122" s="19">
        <f ca="1">IF('Stock Price'!$I$11="OK",C122/INDEX(C$5:C$1258,'Stock Price'!$I$9)-1,"")</f>
        <v>-0.28961270015054053</v>
      </c>
      <c r="Q122" s="19">
        <f ca="1">IF('Stock Price'!$I$11="OK",D122/INDEX(D$5:D$1258,'Stock Price'!$I$9)-1,"")</f>
        <v>8.0747531734837841E-2</v>
      </c>
      <c r="R122" s="19">
        <f ca="1">IF('Stock Price'!$I$11="OK",E122/INDEX(E$5:E$1258,'Stock Price'!$I$9)-1,"")</f>
        <v>-4.5675413022351785E-2</v>
      </c>
      <c r="S122" s="19">
        <f ca="1">IF('Stock Price'!$I$11="OK",F122/INDEX(F$5:F$1258,'Stock Price'!$I$9)-1,"")</f>
        <v>6.9666182873730165E-2</v>
      </c>
      <c r="T122" s="19">
        <f ca="1">IF('Stock Price'!$I$11="OK",G122/INDEX(G$5:G$1258,'Stock Price'!$I$9)-1,"")</f>
        <v>0.56394736842105253</v>
      </c>
      <c r="U122" s="19">
        <f ca="1">IF('Stock Price'!$I$11="OK",H122/INDEX(H$5:H$1258,'Stock Price'!$I$9)-1,"")</f>
        <v>-0.25100986378581491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83.817599999999999</v>
      </c>
      <c r="C123" s="18">
        <v>133.91999999999999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-0.3949935036812473</v>
      </c>
      <c r="P123" s="19">
        <f ca="1">IF('Stock Price'!$I$11="OK",C123/INDEX(C$5:C$1258,'Stock Price'!$I$9)-1,"")</f>
        <v>-0.26689475845080068</v>
      </c>
      <c r="Q123" s="19">
        <f ca="1">IF('Stock Price'!$I$11="OK",D123/INDEX(D$5:D$1258,'Stock Price'!$I$9)-1,"")</f>
        <v>9.0570219625226711E-2</v>
      </c>
      <c r="R123" s="19">
        <f ca="1">IF('Stock Price'!$I$11="OK",E123/INDEX(E$5:E$1258,'Stock Price'!$I$9)-1,"")</f>
        <v>-2.6239067055393583E-2</v>
      </c>
      <c r="S123" s="19">
        <f ca="1">IF('Stock Price'!$I$11="OK",F123/INDEX(F$5:F$1258,'Stock Price'!$I$9)-1,"")</f>
        <v>6.1372589674476563E-2</v>
      </c>
      <c r="T123" s="19">
        <f ca="1">IF('Stock Price'!$I$11="OK",G123/INDEX(G$5:G$1258,'Stock Price'!$I$9)-1,"")</f>
        <v>0.56657894736842107</v>
      </c>
      <c r="U123" s="19">
        <f ca="1">IF('Stock Price'!$I$11="OK",H123/INDEX(H$5:H$1258,'Stock Price'!$I$9)-1,"")</f>
        <v>-0.24462188821042752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84.030500000000004</v>
      </c>
      <c r="C124" s="18">
        <v>134.61000000000001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-0.39345676338963476</v>
      </c>
      <c r="P124" s="19">
        <f ca="1">IF('Stock Price'!$I$11="OK",C124/INDEX(C$5:C$1258,'Stock Price'!$I$9)-1,"")</f>
        <v>-0.26311755850554264</v>
      </c>
      <c r="Q124" s="19">
        <f ca="1">IF('Stock Price'!$I$11="OK",D124/INDEX(D$5:D$1258,'Stock Price'!$I$9)-1,"")</f>
        <v>9.0066492041104063E-2</v>
      </c>
      <c r="R124" s="19">
        <f ca="1">IF('Stock Price'!$I$11="OK",E124/INDEX(E$5:E$1258,'Stock Price'!$I$9)-1,"")</f>
        <v>-1.8270165208940758E-2</v>
      </c>
      <c r="S124" s="19">
        <f ca="1">IF('Stock Price'!$I$11="OK",F124/INDEX(F$5:F$1258,'Stock Price'!$I$9)-1,"")</f>
        <v>6.8422143893842158E-2</v>
      </c>
      <c r="T124" s="19">
        <f ca="1">IF('Stock Price'!$I$11="OK",G124/INDEX(G$5:G$1258,'Stock Price'!$I$9)-1,"")</f>
        <v>0.59526315789473672</v>
      </c>
      <c r="U124" s="19">
        <f ca="1">IF('Stock Price'!$I$11="OK",H124/INDEX(H$5:H$1258,'Stock Price'!$I$9)-1,"")</f>
        <v>-0.23588539220291216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84.156199999999998</v>
      </c>
      <c r="C125" s="18">
        <v>133.43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-0.39254944420383997</v>
      </c>
      <c r="P125" s="19">
        <f ca="1">IF('Stock Price'!$I$11="OK",C125/INDEX(C$5:C$1258,'Stock Price'!$I$9)-1,"")</f>
        <v>-0.26957711783221572</v>
      </c>
      <c r="Q125" s="19">
        <f ca="1">IF('Stock Price'!$I$11="OK",D125/INDEX(D$5:D$1258,'Stock Price'!$I$9)-1,"")</f>
        <v>9.2333266169655426E-2</v>
      </c>
      <c r="R125" s="19">
        <f ca="1">IF('Stock Price'!$I$11="OK",E125/INDEX(E$5:E$1258,'Stock Price'!$I$9)-1,"")</f>
        <v>-2.6044703595724084E-2</v>
      </c>
      <c r="S125" s="19">
        <f ca="1">IF('Stock Price'!$I$11="OK",F125/INDEX(F$5:F$1258,'Stock Price'!$I$9)-1,"")</f>
        <v>7.4642338793282192E-2</v>
      </c>
      <c r="T125" s="19">
        <f ca="1">IF('Stock Price'!$I$11="OK",G125/INDEX(G$5:G$1258,'Stock Price'!$I$9)-1,"")</f>
        <v>0.60289473684210515</v>
      </c>
      <c r="U125" s="19">
        <f ca="1">IF('Stock Price'!$I$11="OK",H125/INDEX(H$5:H$1258,'Stock Price'!$I$9)-1,"")</f>
        <v>-0.23710662282761863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84.659300000000002</v>
      </c>
      <c r="C126" s="18">
        <v>136.11000000000001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-0.38891800202107685</v>
      </c>
      <c r="P126" s="19">
        <f ca="1">IF('Stock Price'!$I$11="OK",C126/INDEX(C$5:C$1258,'Stock Price'!$I$9)-1,"")</f>
        <v>-0.25490625427672098</v>
      </c>
      <c r="Q126" s="19">
        <f ca="1">IF('Stock Price'!$I$11="OK",D126/INDEX(D$5:D$1258,'Stock Price'!$I$9)-1,"")</f>
        <v>9.0318355833165276E-2</v>
      </c>
      <c r="R126" s="19">
        <f ca="1">IF('Stock Price'!$I$11="OK",E126/INDEX(E$5:E$1258,'Stock Price'!$I$9)-1,"")</f>
        <v>-2.5267249757045751E-2</v>
      </c>
      <c r="S126" s="19">
        <f ca="1">IF('Stock Price'!$I$11="OK",F126/INDEX(F$5:F$1258,'Stock Price'!$I$9)-1,"")</f>
        <v>6.6141405764047478E-2</v>
      </c>
      <c r="T126" s="19">
        <f ca="1">IF('Stock Price'!$I$11="OK",G126/INDEX(G$5:G$1258,'Stock Price'!$I$9)-1,"")</f>
        <v>0.63078947368421057</v>
      </c>
      <c r="U126" s="19">
        <f ca="1">IF('Stock Price'!$I$11="OK",H126/INDEX(H$5:H$1258,'Stock Price'!$I$9)-1,"")</f>
        <v>-0.2337247534053547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85.0946</v>
      </c>
      <c r="C127" s="18">
        <v>131.46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-0.3857759491843511</v>
      </c>
      <c r="P127" s="19">
        <f ca="1">IF('Stock Price'!$I$11="OK",C127/INDEX(C$5:C$1258,'Stock Price'!$I$9)-1,"")</f>
        <v>-0.28036129738606819</v>
      </c>
      <c r="Q127" s="19">
        <f ca="1">IF('Stock Price'!$I$11="OK",D127/INDEX(D$5:D$1258,'Stock Price'!$I$9)-1,"")</f>
        <v>0.10064477130767679</v>
      </c>
      <c r="R127" s="19">
        <f ca="1">IF('Stock Price'!$I$11="OK",E127/INDEX(E$5:E$1258,'Stock Price'!$I$9)-1,"")</f>
        <v>-2.7016520894071916E-2</v>
      </c>
      <c r="S127" s="19">
        <f ca="1">IF('Stock Price'!$I$11="OK",F127/INDEX(F$5:F$1258,'Stock Price'!$I$9)-1,"")</f>
        <v>6.9873522703711499E-2</v>
      </c>
      <c r="T127" s="19">
        <f ca="1">IF('Stock Price'!$I$11="OK",G127/INDEX(G$5:G$1258,'Stock Price'!$I$9)-1,"")</f>
        <v>0.62815789473684203</v>
      </c>
      <c r="U127" s="19">
        <f ca="1">IF('Stock Price'!$I$11="OK",H127/INDEX(H$5:H$1258,'Stock Price'!$I$9)-1,"")</f>
        <v>-0.22592766557069044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84.891499999999994</v>
      </c>
      <c r="C128" s="18">
        <v>134.63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-0.38724195178287857</v>
      </c>
      <c r="P128" s="19">
        <f ca="1">IF('Stock Price'!$I$11="OK",C128/INDEX(C$5:C$1258,'Stock Price'!$I$9)-1,"")</f>
        <v>-0.26300807444915841</v>
      </c>
      <c r="Q128" s="19">
        <f ca="1">IF('Stock Price'!$I$11="OK",D128/INDEX(D$5:D$1258,'Stock Price'!$I$9)-1,"")</f>
        <v>9.7118678218819365E-2</v>
      </c>
      <c r="R128" s="19">
        <f ca="1">IF('Stock Price'!$I$11="OK",E128/INDEX(E$5:E$1258,'Stock Price'!$I$9)-1,"")</f>
        <v>-3.9650145772594847E-2</v>
      </c>
      <c r="S128" s="19">
        <f ca="1">IF('Stock Price'!$I$11="OK",F128/INDEX(F$5:F$1258,'Stock Price'!$I$9)-1,"")</f>
        <v>6.4482687124196802E-2</v>
      </c>
      <c r="T128" s="19">
        <f ca="1">IF('Stock Price'!$I$11="OK",G128/INDEX(G$5:G$1258,'Stock Price'!$I$9)-1,"")</f>
        <v>0.63421052631578956</v>
      </c>
      <c r="U128" s="19">
        <f ca="1">IF('Stock Price'!$I$11="OK",H128/INDEX(H$5:H$1258,'Stock Price'!$I$9)-1,"")</f>
        <v>-0.22921559417566939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84.833399999999997</v>
      </c>
      <c r="C129" s="18">
        <v>133.25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-0.38766132524902552</v>
      </c>
      <c r="P129" s="19">
        <f ca="1">IF('Stock Price'!$I$11="OK",C129/INDEX(C$5:C$1258,'Stock Price'!$I$9)-1,"")</f>
        <v>-0.27056247433967429</v>
      </c>
      <c r="Q129" s="19">
        <f ca="1">IF('Stock Price'!$I$11="OK",D129/INDEX(D$5:D$1258,'Stock Price'!$I$9)-1,"")</f>
        <v>0.10543018335684051</v>
      </c>
      <c r="R129" s="19">
        <f ca="1">IF('Stock Price'!$I$11="OK",E129/INDEX(E$5:E$1258,'Stock Price'!$I$9)-1,"")</f>
        <v>-1.8658892128279869E-2</v>
      </c>
      <c r="S129" s="19">
        <f ca="1">IF('Stock Price'!$I$11="OK",F129/INDEX(F$5:F$1258,'Stock Price'!$I$9)-1,"")</f>
        <v>8.2313912502591791E-2</v>
      </c>
      <c r="T129" s="19">
        <f ca="1">IF('Stock Price'!$I$11="OK",G129/INDEX(G$5:G$1258,'Stock Price'!$I$9)-1,"")</f>
        <v>0.65842105263157902</v>
      </c>
      <c r="U129" s="19">
        <f ca="1">IF('Stock Price'!$I$11="OK",H129/INDEX(H$5:H$1258,'Stock Price'!$I$9)-1,"")</f>
        <v>-0.21540629403475819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84.485100000000003</v>
      </c>
      <c r="C130" s="18">
        <v>136.27000000000001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-0.39017540060632305</v>
      </c>
      <c r="P130" s="19">
        <f ca="1">IF('Stock Price'!$I$11="OK",C130/INDEX(C$5:C$1258,'Stock Price'!$I$9)-1,"")</f>
        <v>-0.25403038182564663</v>
      </c>
      <c r="Q130" s="19">
        <f ca="1">IF('Stock Price'!$I$11="OK",D130/INDEX(D$5:D$1258,'Stock Price'!$I$9)-1,"")</f>
        <v>0.10190409026798308</v>
      </c>
      <c r="R130" s="19">
        <f ca="1">IF('Stock Price'!$I$11="OK",E130/INDEX(E$5:E$1258,'Stock Price'!$I$9)-1,"")</f>
        <v>3.10981535471333E-3</v>
      </c>
      <c r="S130" s="19">
        <f ca="1">IF('Stock Price'!$I$11="OK",F130/INDEX(F$5:F$1258,'Stock Price'!$I$9)-1,"")</f>
        <v>8.957080655193872E-2</v>
      </c>
      <c r="T130" s="19">
        <f ca="1">IF('Stock Price'!$I$11="OK",G130/INDEX(G$5:G$1258,'Stock Price'!$I$9)-1,"")</f>
        <v>0.71236842105263132</v>
      </c>
      <c r="U130" s="19">
        <f ca="1">IF('Stock Price'!$I$11="OK",H130/INDEX(H$5:H$1258,'Stock Price'!$I$9)-1,"")</f>
        <v>-0.21568811648661346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85.297799999999995</v>
      </c>
      <c r="C131" s="18">
        <v>133.61000000000001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-0.38430922477262885</v>
      </c>
      <c r="P131" s="19">
        <f ca="1">IF('Stock Price'!$I$11="OK",C131/INDEX(C$5:C$1258,'Stock Price'!$I$9)-1,"")</f>
        <v>-0.26859176132475704</v>
      </c>
      <c r="Q131" s="19">
        <f ca="1">IF('Stock Price'!$I$11="OK",D131/INDEX(D$5:D$1258,'Stock Price'!$I$9)-1,"")</f>
        <v>0.12255692121700568</v>
      </c>
      <c r="R131" s="19">
        <f ca="1">IF('Stock Price'!$I$11="OK",E131/INDEX(E$5:E$1258,'Stock Price'!$I$9)-1,"")</f>
        <v>5.8309037900874383E-3</v>
      </c>
      <c r="S131" s="19">
        <f ca="1">IF('Stock Price'!$I$11="OK",F131/INDEX(F$5:F$1258,'Stock Price'!$I$9)-1,"")</f>
        <v>9.6827700601285649E-2</v>
      </c>
      <c r="T131" s="19">
        <f ca="1">IF('Stock Price'!$I$11="OK",G131/INDEX(G$5:G$1258,'Stock Price'!$I$9)-1,"")</f>
        <v>0.7121052631578948</v>
      </c>
      <c r="U131" s="19">
        <f ca="1">IF('Stock Price'!$I$11="OK",H131/INDEX(H$5:H$1258,'Stock Price'!$I$9)-1,"")</f>
        <v>-0.21352747768905589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87.697000000000003</v>
      </c>
      <c r="C132" s="18">
        <v>137.62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-0.36699148260430192</v>
      </c>
      <c r="P132" s="19">
        <f ca="1">IF('Stock Price'!$I$11="OK",C132/INDEX(C$5:C$1258,'Stock Price'!$I$9)-1,"")</f>
        <v>-0.2466402080197071</v>
      </c>
      <c r="Q132" s="19">
        <f ca="1">IF('Stock Price'!$I$11="OK",D132/INDEX(D$5:D$1258,'Stock Price'!$I$9)-1,"")</f>
        <v>0.15152125730404986</v>
      </c>
      <c r="R132" s="19">
        <f ca="1">IF('Stock Price'!$I$11="OK",E132/INDEX(E$5:E$1258,'Stock Price'!$I$9)-1,"")</f>
        <v>2.2934888241010754E-2</v>
      </c>
      <c r="S132" s="19">
        <f ca="1">IF('Stock Price'!$I$11="OK",F132/INDEX(F$5:F$1258,'Stock Price'!$I$9)-1,"")</f>
        <v>0.12253783951897157</v>
      </c>
      <c r="T132" s="19">
        <f ca="1">IF('Stock Price'!$I$11="OK",G132/INDEX(G$5:G$1258,'Stock Price'!$I$9)-1,"")</f>
        <v>0.71842105263157885</v>
      </c>
      <c r="U132" s="19">
        <f ca="1">IF('Stock Price'!$I$11="OK",H132/INDEX(H$5:H$1258,'Stock Price'!$I$9)-1,"")</f>
        <v>-0.20178487552841717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88.422600000000003</v>
      </c>
      <c r="C133" s="18">
        <v>139.88999999999999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-0.36175400606323083</v>
      </c>
      <c r="P133" s="19">
        <f ca="1">IF('Stock Price'!$I$11="OK",C133/INDEX(C$5:C$1258,'Stock Price'!$I$9)-1,"")</f>
        <v>-0.2342137676200905</v>
      </c>
      <c r="Q133" s="19">
        <f ca="1">IF('Stock Price'!$I$11="OK",D133/INDEX(D$5:D$1258,'Stock Price'!$I$9)-1,"")</f>
        <v>0.16436631069917396</v>
      </c>
      <c r="R133" s="19">
        <f ca="1">IF('Stock Price'!$I$11="OK",E133/INDEX(E$5:E$1258,'Stock Price'!$I$9)-1,"")</f>
        <v>3.479105928085513E-2</v>
      </c>
      <c r="S133" s="19">
        <f ca="1">IF('Stock Price'!$I$11="OK",F133/INDEX(F$5:F$1258,'Stock Price'!$I$9)-1,"")</f>
        <v>0.15115073605639662</v>
      </c>
      <c r="T133" s="19">
        <f ca="1">IF('Stock Price'!$I$11="OK",G133/INDEX(G$5:G$1258,'Stock Price'!$I$9)-1,"")</f>
        <v>0.72368421052631571</v>
      </c>
      <c r="U133" s="19">
        <f ca="1">IF('Stock Price'!$I$11="OK",H133/INDEX(H$5:H$1258,'Stock Price'!$I$9)-1,"")</f>
        <v>-0.18459370596524194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89.709199999999996</v>
      </c>
      <c r="C134" s="18">
        <v>140.91999999999999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-0.35246715749963908</v>
      </c>
      <c r="P134" s="19">
        <f ca="1">IF('Stock Price'!$I$11="OK",C134/INDEX(C$5:C$1258,'Stock Price'!$I$9)-1,"")</f>
        <v>-0.22857533871629954</v>
      </c>
      <c r="Q134" s="19">
        <f ca="1">IF('Stock Price'!$I$11="OK",D134/INDEX(D$5:D$1258,'Stock Price'!$I$9)-1,"")</f>
        <v>0.17469272617368525</v>
      </c>
      <c r="R134" s="19">
        <f ca="1">IF('Stock Price'!$I$11="OK",E134/INDEX(E$5:E$1258,'Stock Price'!$I$9)-1,"")</f>
        <v>3.8678328474246682E-2</v>
      </c>
      <c r="S134" s="19">
        <f ca="1">IF('Stock Price'!$I$11="OK",F134/INDEX(F$5:F$1258,'Stock Price'!$I$9)-1,"")</f>
        <v>0.1766535351441012</v>
      </c>
      <c r="T134" s="19">
        <f ca="1">IF('Stock Price'!$I$11="OK",G134/INDEX(G$5:G$1258,'Stock Price'!$I$9)-1,"")</f>
        <v>0.75894736842105281</v>
      </c>
      <c r="U134" s="19">
        <f ca="1">IF('Stock Price'!$I$11="OK",H134/INDEX(H$5:H$1258,'Stock Price'!$I$9)-1,"")</f>
        <v>-0.17632691404415213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90.695999999999998</v>
      </c>
      <c r="C135" s="18">
        <v>137.94999999999999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-0.34534430489389345</v>
      </c>
      <c r="P135" s="19">
        <f ca="1">IF('Stock Price'!$I$11="OK",C135/INDEX(C$5:C$1258,'Stock Price'!$I$9)-1,"")</f>
        <v>-0.24483372108936652</v>
      </c>
      <c r="Q135" s="19">
        <f ca="1">IF('Stock Price'!$I$11="OK",D135/INDEX(D$5:D$1258,'Stock Price'!$I$9)-1,"")</f>
        <v>0.17066290550070518</v>
      </c>
      <c r="R135" s="19">
        <f ca="1">IF('Stock Price'!$I$11="OK",E135/INDEX(E$5:E$1258,'Stock Price'!$I$9)-1,"")</f>
        <v>3.498542274052463E-2</v>
      </c>
      <c r="S135" s="19">
        <f ca="1">IF('Stock Price'!$I$11="OK",F135/INDEX(F$5:F$1258,'Stock Price'!$I$9)-1,"")</f>
        <v>0.1913746630727764</v>
      </c>
      <c r="T135" s="19">
        <f ca="1">IF('Stock Price'!$I$11="OK",G135/INDEX(G$5:G$1258,'Stock Price'!$I$9)-1,"")</f>
        <v>0.7823684210526316</v>
      </c>
      <c r="U135" s="19">
        <f ca="1">IF('Stock Price'!$I$11="OK",H135/INDEX(H$5:H$1258,'Stock Price'!$I$9)-1,"")</f>
        <v>-0.18619069985908887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89.651200000000003</v>
      </c>
      <c r="C136" s="18">
        <v>138.41999999999999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-0.35288580915259127</v>
      </c>
      <c r="P136" s="19">
        <f ca="1">IF('Stock Price'!$I$11="OK",C136/INDEX(C$5:C$1258,'Stock Price'!$I$9)-1,"")</f>
        <v>-0.24226084576433571</v>
      </c>
      <c r="Q136" s="19">
        <f ca="1">IF('Stock Price'!$I$11="OK",D136/INDEX(D$5:D$1258,'Stock Price'!$I$9)-1,"")</f>
        <v>0.17192222446101146</v>
      </c>
      <c r="R136" s="19">
        <f ca="1">IF('Stock Price'!$I$11="OK",E136/INDEX(E$5:E$1258,'Stock Price'!$I$9)-1,"")</f>
        <v>1.1661807580174877E-2</v>
      </c>
      <c r="S136" s="19">
        <f ca="1">IF('Stock Price'!$I$11="OK",F136/INDEX(F$5:F$1258,'Stock Price'!$I$9)-1,"")</f>
        <v>0.15529753265602331</v>
      </c>
      <c r="T136" s="19">
        <f ca="1">IF('Stock Price'!$I$11="OK",G136/INDEX(G$5:G$1258,'Stock Price'!$I$9)-1,"")</f>
        <v>0.77421052631578946</v>
      </c>
      <c r="U136" s="19">
        <f ca="1">IF('Stock Price'!$I$11="OK",H136/INDEX(H$5:H$1258,'Stock Price'!$I$9)-1,"")</f>
        <v>-0.19558478158759984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89.912400000000005</v>
      </c>
      <c r="C137" s="18">
        <v>134.72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-0.35100043308791673</v>
      </c>
      <c r="P137" s="19">
        <f ca="1">IF('Stock Price'!$I$11="OK",C137/INDEX(C$5:C$1258,'Stock Price'!$I$9)-1,"")</f>
        <v>-0.26251539619542907</v>
      </c>
      <c r="Q137" s="19">
        <f ca="1">IF('Stock Price'!$I$11="OK",D137/INDEX(D$5:D$1258,'Stock Price'!$I$9)-1,"")</f>
        <v>0.17998186580697162</v>
      </c>
      <c r="R137" s="19">
        <f ca="1">IF('Stock Price'!$I$11="OK",E137/INDEX(E$5:E$1258,'Stock Price'!$I$9)-1,"")</f>
        <v>1.574344023323615E-2</v>
      </c>
      <c r="S137" s="19">
        <f ca="1">IF('Stock Price'!$I$11="OK",F137/INDEX(F$5:F$1258,'Stock Price'!$I$9)-1,"")</f>
        <v>0.17561683599419453</v>
      </c>
      <c r="T137" s="19">
        <f ca="1">IF('Stock Price'!$I$11="OK",G137/INDEX(G$5:G$1258,'Stock Price'!$I$9)-1,"")</f>
        <v>0.77684210526315778</v>
      </c>
      <c r="U137" s="19">
        <f ca="1">IF('Stock Price'!$I$11="OK",H137/INDEX(H$5:H$1258,'Stock Price'!$I$9)-1,"")</f>
        <v>-0.19088774072334436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89.506100000000004</v>
      </c>
      <c r="C138" s="18">
        <v>134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-0.35393316009816655</v>
      </c>
      <c r="P138" s="19">
        <f ca="1">IF('Stock Price'!$I$11="OK",C138/INDEX(C$5:C$1258,'Stock Price'!$I$9)-1,"")</f>
        <v>-0.26645682222526346</v>
      </c>
      <c r="Q138" s="19">
        <f ca="1">IF('Stock Price'!$I$11="OK",D138/INDEX(D$5:D$1258,'Stock Price'!$I$9)-1,"")</f>
        <v>0.1666330848277251</v>
      </c>
      <c r="R138" s="19">
        <f ca="1">IF('Stock Price'!$I$11="OK",E138/INDEX(E$5:E$1258,'Stock Price'!$I$9)-1,"")</f>
        <v>3.4985422740525518E-3</v>
      </c>
      <c r="S138" s="19">
        <f ca="1">IF('Stock Price'!$I$11="OK",F138/INDEX(F$5:F$1258,'Stock Price'!$I$9)-1,"")</f>
        <v>0.15591955214596731</v>
      </c>
      <c r="T138" s="19">
        <f ca="1">IF('Stock Price'!$I$11="OK",G138/INDEX(G$5:G$1258,'Stock Price'!$I$9)-1,"")</f>
        <v>0.77105263157894721</v>
      </c>
      <c r="U138" s="19">
        <f ca="1">IF('Stock Price'!$I$11="OK",H138/INDEX(H$5:H$1258,'Stock Price'!$I$9)-1,"")</f>
        <v>-0.18356035697510575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89.254499999999993</v>
      </c>
      <c r="C139" s="18">
        <v>141.57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-0.35574924209614556</v>
      </c>
      <c r="P139" s="19">
        <f ca="1">IF('Stock Price'!$I$11="OK",C139/INDEX(C$5:C$1258,'Stock Price'!$I$9)-1,"")</f>
        <v>-0.22501710688381016</v>
      </c>
      <c r="Q139" s="19">
        <f ca="1">IF('Stock Price'!$I$11="OK",D139/INDEX(D$5:D$1258,'Stock Price'!$I$9)-1,"")</f>
        <v>0.16361071932299009</v>
      </c>
      <c r="R139" s="19">
        <f ca="1">IF('Stock Price'!$I$11="OK",E139/INDEX(E$5:E$1258,'Stock Price'!$I$9)-1,"")</f>
        <v>-1.7492711370262759E-3</v>
      </c>
      <c r="S139" s="19">
        <f ca="1">IF('Stock Price'!$I$11="OK",F139/INDEX(F$5:F$1258,'Stock Price'!$I$9)-1,"")</f>
        <v>0.14430852166701236</v>
      </c>
      <c r="T139" s="19">
        <f ca="1">IF('Stock Price'!$I$11="OK",G139/INDEX(G$5:G$1258,'Stock Price'!$I$9)-1,"")</f>
        <v>0.77105263157894721</v>
      </c>
      <c r="U139" s="19">
        <f ca="1">IF('Stock Price'!$I$11="OK",H139/INDEX(H$5:H$1258,'Stock Price'!$I$9)-1,"")</f>
        <v>-0.19145138562705499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88.616</v>
      </c>
      <c r="C140" s="18">
        <v>135.08000000000001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-0.36035801934459355</v>
      </c>
      <c r="P140" s="19">
        <f ca="1">IF('Stock Price'!$I$11="OK",C140/INDEX(C$5:C$1258,'Stock Price'!$I$9)-1,"")</f>
        <v>-0.26054468318051183</v>
      </c>
      <c r="Q140" s="19">
        <f ca="1">IF('Stock Price'!$I$11="OK",D140/INDEX(D$5:D$1258,'Stock Price'!$I$9)-1,"")</f>
        <v>0.15580294176909115</v>
      </c>
      <c r="R140" s="19">
        <f ca="1">IF('Stock Price'!$I$11="OK",E140/INDEX(E$5:E$1258,'Stock Price'!$I$9)-1,"")</f>
        <v>-3.459669582118563E-2</v>
      </c>
      <c r="S140" s="19">
        <f ca="1">IF('Stock Price'!$I$11="OK",F140/INDEX(F$5:F$1258,'Stock Price'!$I$9)-1,"")</f>
        <v>0.14451586149699369</v>
      </c>
      <c r="T140" s="19">
        <f ca="1">IF('Stock Price'!$I$11="OK",G140/INDEX(G$5:G$1258,'Stock Price'!$I$9)-1,"")</f>
        <v>0.74789473684210539</v>
      </c>
      <c r="U140" s="19">
        <f ca="1">IF('Stock Price'!$I$11="OK",H140/INDEX(H$5:H$1258,'Stock Price'!$I$9)-1,"")</f>
        <v>-0.194081728511038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88.267799999999994</v>
      </c>
      <c r="C141" s="18">
        <v>136.83000000000001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-0.36287137288869642</v>
      </c>
      <c r="P141" s="19">
        <f ca="1">IF('Stock Price'!$I$11="OK",C141/INDEX(C$5:C$1258,'Stock Price'!$I$9)-1,"")</f>
        <v>-0.25096482824688648</v>
      </c>
      <c r="Q141" s="19">
        <f ca="1">IF('Stock Price'!$I$11="OK",D141/INDEX(D$5:D$1258,'Stock Price'!$I$9)-1,"")</f>
        <v>0.15454362280878486</v>
      </c>
      <c r="R141" s="19">
        <f ca="1">IF('Stock Price'!$I$11="OK",E141/INDEX(E$5:E$1258,'Stock Price'!$I$9)-1,"")</f>
        <v>-4.4703595724003953E-2</v>
      </c>
      <c r="S141" s="19">
        <f ca="1">IF('Stock Price'!$I$11="OK",F141/INDEX(F$5:F$1258,'Stock Price'!$I$9)-1,"")</f>
        <v>0.15799295044578066</v>
      </c>
      <c r="T141" s="19">
        <f ca="1">IF('Stock Price'!$I$11="OK",G141/INDEX(G$5:G$1258,'Stock Price'!$I$9)-1,"")</f>
        <v>0.71236842105263132</v>
      </c>
      <c r="U141" s="19">
        <f ca="1">IF('Stock Price'!$I$11="OK",H141/INDEX(H$5:H$1258,'Stock Price'!$I$9)-1,"")</f>
        <v>-0.18778769375293569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87.019800000000004</v>
      </c>
      <c r="C142" s="18">
        <v>135.38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-0.37187960155911648</v>
      </c>
      <c r="P142" s="19">
        <f ca="1">IF('Stock Price'!$I$11="OK",C142/INDEX(C$5:C$1258,'Stock Price'!$I$9)-1,"")</f>
        <v>-0.25890242233474758</v>
      </c>
      <c r="Q142" s="19">
        <f ca="1">IF('Stock Price'!$I$11="OK",D142/INDEX(D$5:D$1258,'Stock Price'!$I$9)-1,"")</f>
        <v>0.150765665927866</v>
      </c>
      <c r="R142" s="19">
        <f ca="1">IF('Stock Price'!$I$11="OK",E142/INDEX(E$5:E$1258,'Stock Price'!$I$9)-1,"")</f>
        <v>-7.7356656948493807E-2</v>
      </c>
      <c r="S142" s="19">
        <f ca="1">IF('Stock Price'!$I$11="OK",F142/INDEX(F$5:F$1258,'Stock Price'!$I$9)-1,"")</f>
        <v>0.1451378809869377</v>
      </c>
      <c r="T142" s="19">
        <f ca="1">IF('Stock Price'!$I$11="OK",G142/INDEX(G$5:G$1258,'Stock Price'!$I$9)-1,"")</f>
        <v>0.74473684210526314</v>
      </c>
      <c r="U142" s="19">
        <f ca="1">IF('Stock Price'!$I$11="OK",H142/INDEX(H$5:H$1258,'Stock Price'!$I$9)-1,"")</f>
        <v>-0.18994833255049315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86.303899999999999</v>
      </c>
      <c r="C143" s="18">
        <v>134.66999999999999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-0.37704706222029738</v>
      </c>
      <c r="P143" s="19">
        <f ca="1">IF('Stock Price'!$I$11="OK",C143/INDEX(C$5:C$1258,'Stock Price'!$I$9)-1,"")</f>
        <v>-0.26278910633638985</v>
      </c>
      <c r="Q143" s="19">
        <f ca="1">IF('Stock Price'!$I$11="OK",D143/INDEX(D$5:D$1258,'Stock Price'!$I$9)-1,"")</f>
        <v>0.13011283497884341</v>
      </c>
      <c r="R143" s="19">
        <f ca="1">IF('Stock Price'!$I$11="OK",E143/INDEX(E$5:E$1258,'Stock Price'!$I$9)-1,"")</f>
        <v>-6.9387755102040871E-2</v>
      </c>
      <c r="S143" s="19">
        <f ca="1">IF('Stock Price'!$I$11="OK",F143/INDEX(F$5:F$1258,'Stock Price'!$I$9)-1,"")</f>
        <v>0.12461123781878514</v>
      </c>
      <c r="T143" s="19">
        <f ca="1">IF('Stock Price'!$I$11="OK",G143/INDEX(G$5:G$1258,'Stock Price'!$I$9)-1,"")</f>
        <v>0.74157894736842134</v>
      </c>
      <c r="U143" s="19">
        <f ca="1">IF('Stock Price'!$I$11="OK",H143/INDEX(H$5:H$1258,'Stock Price'!$I$9)-1,"")</f>
        <v>-0.20535462658525128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87.493799999999993</v>
      </c>
      <c r="C144" s="18">
        <v>129.33000000000001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-0.36845820701602428</v>
      </c>
      <c r="P144" s="19">
        <f ca="1">IF('Stock Price'!$I$11="OK",C144/INDEX(C$5:C$1258,'Stock Price'!$I$9)-1,"")</f>
        <v>-0.29202134939099489</v>
      </c>
      <c r="Q144" s="19">
        <f ca="1">IF('Stock Price'!$I$11="OK",D144/INDEX(D$5:D$1258,'Stock Price'!$I$9)-1,"")</f>
        <v>0.13691315736449727</v>
      </c>
      <c r="R144" s="19">
        <f ca="1">IF('Stock Price'!$I$11="OK",E144/INDEX(E$5:E$1258,'Stock Price'!$I$9)-1,"")</f>
        <v>-6.5500485908649209E-2</v>
      </c>
      <c r="S144" s="19">
        <f ca="1">IF('Stock Price'!$I$11="OK",F144/INDEX(F$5:F$1258,'Stock Price'!$I$9)-1,"")</f>
        <v>0.13083143271822517</v>
      </c>
      <c r="T144" s="19">
        <f ca="1">IF('Stock Price'!$I$11="OK",G144/INDEX(G$5:G$1258,'Stock Price'!$I$9)-1,"")</f>
        <v>0.69552631578947377</v>
      </c>
      <c r="U144" s="19">
        <f ca="1">IF('Stock Price'!$I$11="OK",H144/INDEX(H$5:H$1258,'Stock Price'!$I$9)-1,"")</f>
        <v>-0.19736965711601695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86.061999999999998</v>
      </c>
      <c r="C145" s="18">
        <v>129.46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-0.37879312833838596</v>
      </c>
      <c r="P145" s="19">
        <f ca="1">IF('Stock Price'!$I$11="OK",C145/INDEX(C$5:C$1258,'Stock Price'!$I$9)-1,"")</f>
        <v>-0.2913097030244971</v>
      </c>
      <c r="Q145" s="19">
        <f ca="1">IF('Stock Price'!$I$11="OK",D145/INDEX(D$5:D$1258,'Stock Price'!$I$9)-1,"")</f>
        <v>0.11802337295990317</v>
      </c>
      <c r="R145" s="19">
        <f ca="1">IF('Stock Price'!$I$11="OK",E145/INDEX(E$5:E$1258,'Stock Price'!$I$9)-1,"")</f>
        <v>-0.10106899902818278</v>
      </c>
      <c r="S145" s="19">
        <f ca="1">IF('Stock Price'!$I$11="OK",F145/INDEX(F$5:F$1258,'Stock Price'!$I$9)-1,"")</f>
        <v>0.11776902342940088</v>
      </c>
      <c r="T145" s="19">
        <f ca="1">IF('Stock Price'!$I$11="OK",G145/INDEX(G$5:G$1258,'Stock Price'!$I$9)-1,"")</f>
        <v>0.68421052631578938</v>
      </c>
      <c r="U145" s="19">
        <f ca="1">IF('Stock Price'!$I$11="OK",H145/INDEX(H$5:H$1258,'Stock Price'!$I$9)-1,"")</f>
        <v>-0.20638797557538746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86.497399999999999</v>
      </c>
      <c r="C146" s="18">
        <v>129.33000000000001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-0.37565035368846544</v>
      </c>
      <c r="P146" s="19">
        <f ca="1">IF('Stock Price'!$I$11="OK",C146/INDEX(C$5:C$1258,'Stock Price'!$I$9)-1,"")</f>
        <v>-0.29202134939099489</v>
      </c>
      <c r="Q146" s="19">
        <f ca="1">IF('Stock Price'!$I$11="OK",D146/INDEX(D$5:D$1258,'Stock Price'!$I$9)-1,"")</f>
        <v>0.14446907112633478</v>
      </c>
      <c r="R146" s="19">
        <f ca="1">IF('Stock Price'!$I$11="OK",E146/INDEX(E$5:E$1258,'Stock Price'!$I$9)-1,"")</f>
        <v>-8.6491739552964075E-2</v>
      </c>
      <c r="S146" s="19">
        <f ca="1">IF('Stock Price'!$I$11="OK",F146/INDEX(F$5:F$1258,'Stock Price'!$I$9)-1,"")</f>
        <v>0.12668463611859848</v>
      </c>
      <c r="T146" s="19">
        <f ca="1">IF('Stock Price'!$I$11="OK",G146/INDEX(G$5:G$1258,'Stock Price'!$I$9)-1,"")</f>
        <v>0.65000000000000013</v>
      </c>
      <c r="U146" s="19">
        <f ca="1">IF('Stock Price'!$I$11="OK",H146/INDEX(H$5:H$1258,'Stock Price'!$I$9)-1,"")</f>
        <v>-0.2070455612963833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87.281000000000006</v>
      </c>
      <c r="C147" s="18">
        <v>129.83000000000001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-0.36999422549444194</v>
      </c>
      <c r="P147" s="19">
        <f ca="1">IF('Stock Price'!$I$11="OK",C147/INDEX(C$5:C$1258,'Stock Price'!$I$9)-1,"")</f>
        <v>-0.28928424798138763</v>
      </c>
      <c r="Q147" s="19">
        <f ca="1">IF('Stock Price'!$I$11="OK",D147/INDEX(D$5:D$1258,'Stock Price'!$I$9)-1,"")</f>
        <v>0.15202498488817229</v>
      </c>
      <c r="R147" s="19">
        <f ca="1">IF('Stock Price'!$I$11="OK",E147/INDEX(E$5:E$1258,'Stock Price'!$I$9)-1,"")</f>
        <v>-9.4655004859086622E-2</v>
      </c>
      <c r="S147" s="19">
        <f ca="1">IF('Stock Price'!$I$11="OK",F147/INDEX(F$5:F$1258,'Stock Price'!$I$9)-1,"")</f>
        <v>0.12813601492846782</v>
      </c>
      <c r="T147" s="19">
        <f ca="1">IF('Stock Price'!$I$11="OK",G147/INDEX(G$5:G$1258,'Stock Price'!$I$9)-1,"")</f>
        <v>0.63131578947368427</v>
      </c>
      <c r="U147" s="19">
        <f ca="1">IF('Stock Price'!$I$11="OK",H147/INDEX(H$5:H$1258,'Stock Price'!$I$9)-1,"")</f>
        <v>-0.16787224048849225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85.162300000000002</v>
      </c>
      <c r="C148" s="18">
        <v>132.33000000000001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-0.3852872816515085</v>
      </c>
      <c r="P148" s="19">
        <f ca="1">IF('Stock Price'!$I$11="OK",C148/INDEX(C$5:C$1258,'Stock Price'!$I$9)-1,"")</f>
        <v>-0.27559874093335157</v>
      </c>
      <c r="Q148" s="19">
        <f ca="1">IF('Stock Price'!$I$11="OK",D148/INDEX(D$5:D$1258,'Stock Price'!$I$9)-1,"")</f>
        <v>0.1404392504533547</v>
      </c>
      <c r="R148" s="19">
        <f ca="1">IF('Stock Price'!$I$11="OK",E148/INDEX(E$5:E$1258,'Stock Price'!$I$9)-1,"")</f>
        <v>-0.10242954324586984</v>
      </c>
      <c r="S148" s="19">
        <f ca="1">IF('Stock Price'!$I$11="OK",F148/INDEX(F$5:F$1258,'Stock Price'!$I$9)-1,"")</f>
        <v>8.3350611652498463E-2</v>
      </c>
      <c r="T148" s="19">
        <f ca="1">IF('Stock Price'!$I$11="OK",G148/INDEX(G$5:G$1258,'Stock Price'!$I$9)-1,"")</f>
        <v>0.65526315789473677</v>
      </c>
      <c r="U148" s="19">
        <f ca="1">IF('Stock Price'!$I$11="OK",H148/INDEX(H$5:H$1258,'Stock Price'!$I$9)-1,"")</f>
        <v>-0.16683889149835607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84.794700000000006</v>
      </c>
      <c r="C149" s="18">
        <v>130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-0.38794066695539187</v>
      </c>
      <c r="P149" s="19">
        <f ca="1">IF('Stock Price'!$I$11="OK",C149/INDEX(C$5:C$1258,'Stock Price'!$I$9)-1,"")</f>
        <v>-0.28835363350212129</v>
      </c>
      <c r="Q149" s="19">
        <f ca="1">IF('Stock Price'!$I$11="OK",D149/INDEX(D$5:D$1258,'Stock Price'!$I$9)-1,"")</f>
        <v>0.12633487809792454</v>
      </c>
      <c r="R149" s="19">
        <f ca="1">IF('Stock Price'!$I$11="OK",E149/INDEX(E$5:E$1258,'Stock Price'!$I$9)-1,"")</f>
        <v>-0.11564625850340138</v>
      </c>
      <c r="S149" s="19">
        <f ca="1">IF('Stock Price'!$I$11="OK",F149/INDEX(F$5:F$1258,'Stock Price'!$I$9)-1,"")</f>
        <v>0.100145137880987</v>
      </c>
      <c r="T149" s="19">
        <f ca="1">IF('Stock Price'!$I$11="OK",G149/INDEX(G$5:G$1258,'Stock Price'!$I$9)-1,"")</f>
        <v>0.58368421052631581</v>
      </c>
      <c r="U149" s="19">
        <f ca="1">IF('Stock Price'!$I$11="OK",H149/INDEX(H$5:H$1258,'Stock Price'!$I$9)-1,"")</f>
        <v>-0.1766087364960075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84.630300000000005</v>
      </c>
      <c r="C150" s="18">
        <v>130.08000000000001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-0.389127327847553</v>
      </c>
      <c r="P150" s="19">
        <f ca="1">IF('Stock Price'!$I$11="OK",C150/INDEX(C$5:C$1258,'Stock Price'!$I$9)-1,"")</f>
        <v>-0.28791569727658406</v>
      </c>
      <c r="Q150" s="19">
        <f ca="1">IF('Stock Price'!$I$11="OK",D150/INDEX(D$5:D$1258,'Stock Price'!$I$9)-1,"")</f>
        <v>0.13640942978037462</v>
      </c>
      <c r="R150" s="19">
        <f ca="1">IF('Stock Price'!$I$11="OK",E150/INDEX(E$5:E$1258,'Stock Price'!$I$9)-1,"")</f>
        <v>-0.12283770651117587</v>
      </c>
      <c r="S150" s="19">
        <f ca="1">IF('Stock Price'!$I$11="OK",F150/INDEX(F$5:F$1258,'Stock Price'!$I$9)-1,"")</f>
        <v>0.10760937176031526</v>
      </c>
      <c r="T150" s="19">
        <f ca="1">IF('Stock Price'!$I$11="OK",G150/INDEX(G$5:G$1258,'Stock Price'!$I$9)-1,"")</f>
        <v>0.60894736842105268</v>
      </c>
      <c r="U150" s="19">
        <f ca="1">IF('Stock Price'!$I$11="OK",H150/INDEX(H$5:H$1258,'Stock Price'!$I$9)-1,"")</f>
        <v>-0.18177548144668865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85.394499999999994</v>
      </c>
      <c r="C151" s="18">
        <v>129.25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-0.38361123141331022</v>
      </c>
      <c r="P151" s="19">
        <f ca="1">IF('Stock Price'!$I$11="OK",C151/INDEX(C$5:C$1258,'Stock Price'!$I$9)-1,"")</f>
        <v>-0.29245928561653212</v>
      </c>
      <c r="Q151" s="19">
        <f ca="1">IF('Stock Price'!$I$11="OK",D151/INDEX(D$5:D$1258,'Stock Price'!$I$9)-1,"")</f>
        <v>0.1374168849486197</v>
      </c>
      <c r="R151" s="19">
        <f ca="1">IF('Stock Price'!$I$11="OK",E151/INDEX(E$5:E$1258,'Stock Price'!$I$9)-1,"")</f>
        <v>-0.12517006802721098</v>
      </c>
      <c r="S151" s="19">
        <f ca="1">IF('Stock Price'!$I$11="OK",F151/INDEX(F$5:F$1258,'Stock Price'!$I$9)-1,"")</f>
        <v>8.8326767572050713E-2</v>
      </c>
      <c r="T151" s="19">
        <f ca="1">IF('Stock Price'!$I$11="OK",G151/INDEX(G$5:G$1258,'Stock Price'!$I$9)-1,"")</f>
        <v>0.60789473684210527</v>
      </c>
      <c r="U151" s="19">
        <f ca="1">IF('Stock Price'!$I$11="OK",H151/INDEX(H$5:H$1258,'Stock Price'!$I$9)-1,"")</f>
        <v>-0.168435885392203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83.401600000000002</v>
      </c>
      <c r="C152" s="18">
        <v>127.6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-0.39799624657138732</v>
      </c>
      <c r="P152" s="19">
        <f ca="1">IF('Stock Price'!$I$11="OK",C152/INDEX(C$5:C$1258,'Stock Price'!$I$9)-1,"")</f>
        <v>-0.30149172026823601</v>
      </c>
      <c r="Q152" s="19">
        <f ca="1">IF('Stock Price'!$I$11="OK",D152/INDEX(D$5:D$1258,'Stock Price'!$I$9)-1,"")</f>
        <v>0.11802337295990317</v>
      </c>
      <c r="R152" s="19">
        <f ca="1">IF('Stock Price'!$I$11="OK",E152/INDEX(E$5:E$1258,'Stock Price'!$I$9)-1,"")</f>
        <v>-0.14965986394557829</v>
      </c>
      <c r="S152" s="19">
        <f ca="1">IF('Stock Price'!$I$11="OK",F152/INDEX(F$5:F$1258,'Stock Price'!$I$9)-1,"")</f>
        <v>6.7385444743935263E-2</v>
      </c>
      <c r="T152" s="19">
        <f ca="1">IF('Stock Price'!$I$11="OK",G152/INDEX(G$5:G$1258,'Stock Price'!$I$9)-1,"")</f>
        <v>0.59315789473684211</v>
      </c>
      <c r="U152" s="19">
        <f ca="1">IF('Stock Price'!$I$11="OK",H152/INDEX(H$5:H$1258,'Stock Price'!$I$9)-1,"")</f>
        <v>-0.17322686707374346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83.024299999999997</v>
      </c>
      <c r="C153" s="18">
        <v>125.58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-0.400719647755161</v>
      </c>
      <c r="P153" s="19">
        <f ca="1">IF('Stock Price'!$I$11="OK",C153/INDEX(C$5:C$1258,'Stock Price'!$I$9)-1,"")</f>
        <v>-0.31254960996304915</v>
      </c>
      <c r="Q153" s="19">
        <f ca="1">IF('Stock Price'!$I$11="OK",D153/INDEX(D$5:D$1258,'Stock Price'!$I$9)-1,"")</f>
        <v>0.11046745919806567</v>
      </c>
      <c r="R153" s="19">
        <f ca="1">IF('Stock Price'!$I$11="OK",E153/INDEX(E$5:E$1258,'Stock Price'!$I$9)-1,"")</f>
        <v>-0.14596695821185623</v>
      </c>
      <c r="S153" s="19">
        <f ca="1">IF('Stock Price'!$I$11="OK",F153/INDEX(F$5:F$1258,'Stock Price'!$I$9)-1,"")</f>
        <v>6.5726726104084587E-2</v>
      </c>
      <c r="T153" s="19">
        <f ca="1">IF('Stock Price'!$I$11="OK",G153/INDEX(G$5:G$1258,'Stock Price'!$I$9)-1,"")</f>
        <v>0.57526315789473692</v>
      </c>
      <c r="U153" s="19">
        <f ca="1">IF('Stock Price'!$I$11="OK",H153/INDEX(H$5:H$1258,'Stock Price'!$I$9)-1,"")</f>
        <v>-0.16965711601690936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80.760599999999997</v>
      </c>
      <c r="C154" s="18">
        <v>121.53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-0.41705933304460807</v>
      </c>
      <c r="P154" s="19">
        <f ca="1">IF('Stock Price'!$I$11="OK",C154/INDEX(C$5:C$1258,'Stock Price'!$I$9)-1,"")</f>
        <v>-0.33472013138086765</v>
      </c>
      <c r="Q154" s="19">
        <f ca="1">IF('Stock Price'!$I$11="OK",D154/INDEX(D$5:D$1258,'Stock Price'!$I$9)-1,"")</f>
        <v>8.704412653636906E-2</v>
      </c>
      <c r="R154" s="19">
        <f ca="1">IF('Stock Price'!$I$11="OK",E154/INDEX(E$5:E$1258,'Stock Price'!$I$9)-1,"")</f>
        <v>-0.15257531584062201</v>
      </c>
      <c r="S154" s="19">
        <f ca="1">IF('Stock Price'!$I$11="OK",F154/INDEX(F$5:F$1258,'Stock Price'!$I$9)-1,"")</f>
        <v>5.577441426498031E-2</v>
      </c>
      <c r="T154" s="19">
        <f ca="1">IF('Stock Price'!$I$11="OK",G154/INDEX(G$5:G$1258,'Stock Price'!$I$9)-1,"")</f>
        <v>0.54526315789473689</v>
      </c>
      <c r="U154" s="19">
        <f ca="1">IF('Stock Price'!$I$11="OK",H154/INDEX(H$5:H$1258,'Stock Price'!$I$9)-1,"")</f>
        <v>-0.17670267731329259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81.640900000000002</v>
      </c>
      <c r="C155" s="18">
        <v>123.75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-0.41070521149126604</v>
      </c>
      <c r="P155" s="19">
        <f ca="1">IF('Stock Price'!$I$11="OK",C155/INDEX(C$5:C$1258,'Stock Price'!$I$9)-1,"")</f>
        <v>-0.32256740112221161</v>
      </c>
      <c r="Q155" s="19">
        <f ca="1">IF('Stock Price'!$I$11="OK",D155/INDEX(D$5:D$1258,'Stock Price'!$I$9)-1,"")</f>
        <v>9.3592585129961714E-2</v>
      </c>
      <c r="R155" s="19">
        <f ca="1">IF('Stock Price'!$I$11="OK",E155/INDEX(E$5:E$1258,'Stock Price'!$I$9)-1,"")</f>
        <v>-0.13275024295432469</v>
      </c>
      <c r="S155" s="19">
        <f ca="1">IF('Stock Price'!$I$11="OK",F155/INDEX(F$5:F$1258,'Stock Price'!$I$9)-1,"")</f>
        <v>8.1691893012647787E-2</v>
      </c>
      <c r="T155" s="19">
        <f ca="1">IF('Stock Price'!$I$11="OK",G155/INDEX(G$5:G$1258,'Stock Price'!$I$9)-1,"")</f>
        <v>0.62868421052631573</v>
      </c>
      <c r="U155" s="19">
        <f ca="1">IF('Stock Price'!$I$11="OK",H155/INDEX(H$5:H$1258,'Stock Price'!$I$9)-1,"")</f>
        <v>-0.17510568341944577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81.302300000000002</v>
      </c>
      <c r="C156" s="18">
        <v>122.7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-0.41314927096867327</v>
      </c>
      <c r="P156" s="19">
        <f ca="1">IF('Stock Price'!$I$11="OK",C156/INDEX(C$5:C$1258,'Stock Price'!$I$9)-1,"")</f>
        <v>-0.32831531408238679</v>
      </c>
      <c r="Q156" s="19">
        <f ca="1">IF('Stock Price'!$I$11="OK",D156/INDEX(D$5:D$1258,'Stock Price'!$I$9)-1,"")</f>
        <v>7.1176707636510184E-2</v>
      </c>
      <c r="R156" s="19">
        <f ca="1">IF('Stock Price'!$I$11="OK",E156/INDEX(E$5:E$1258,'Stock Price'!$I$9)-1,"")</f>
        <v>-0.21166180758017494</v>
      </c>
      <c r="S156" s="19">
        <f ca="1">IF('Stock Price'!$I$11="OK",F156/INDEX(F$5:F$1258,'Stock Price'!$I$9)-1,"")</f>
        <v>5.162761766535362E-2</v>
      </c>
      <c r="T156" s="19">
        <f ca="1">IF('Stock Price'!$I$11="OK",G156/INDEX(G$5:G$1258,'Stock Price'!$I$9)-1,"")</f>
        <v>0.52736842105263149</v>
      </c>
      <c r="U156" s="19">
        <f ca="1">IF('Stock Price'!$I$11="OK",H156/INDEX(H$5:H$1258,'Stock Price'!$I$9)-1,"")</f>
        <v>-0.16214185063410058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82.598699999999994</v>
      </c>
      <c r="C157" s="18">
        <v>120.72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-0.40379168471199656</v>
      </c>
      <c r="P157" s="19">
        <f ca="1">IF('Stock Price'!$I$11="OK",C157/INDEX(C$5:C$1258,'Stock Price'!$I$9)-1,"")</f>
        <v>-0.33915423566443137</v>
      </c>
      <c r="Q157" s="19">
        <f ca="1">IF('Stock Price'!$I$11="OK",D157/INDEX(D$5:D$1258,'Stock Price'!$I$9)-1,"")</f>
        <v>6.9665524884142682E-2</v>
      </c>
      <c r="R157" s="19">
        <f ca="1">IF('Stock Price'!$I$11="OK",E157/INDEX(E$5:E$1258,'Stock Price'!$I$9)-1,"")</f>
        <v>-0.23148688046647237</v>
      </c>
      <c r="S157" s="19">
        <f ca="1">IF('Stock Price'!$I$11="OK",F157/INDEX(F$5:F$1258,'Stock Price'!$I$9)-1,"")</f>
        <v>6.1994609164420567E-2</v>
      </c>
      <c r="T157" s="19">
        <f ca="1">IF('Stock Price'!$I$11="OK",G157/INDEX(G$5:G$1258,'Stock Price'!$I$9)-1,"")</f>
        <v>0.58947368421052637</v>
      </c>
      <c r="U157" s="19">
        <f ca="1">IF('Stock Price'!$I$11="OK",H157/INDEX(H$5:H$1258,'Stock Price'!$I$9)-1,"")</f>
        <v>-0.14673555659934245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83.024299999999997</v>
      </c>
      <c r="C158" s="18">
        <v>125.82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-0.400719647755161</v>
      </c>
      <c r="P158" s="19">
        <f ca="1">IF('Stock Price'!$I$11="OK",C158/INDEX(C$5:C$1258,'Stock Price'!$I$9)-1,"")</f>
        <v>-0.3112358012864378</v>
      </c>
      <c r="Q158" s="19">
        <f ca="1">IF('Stock Price'!$I$11="OK",D158/INDEX(D$5:D$1258,'Stock Price'!$I$9)-1,"")</f>
        <v>9.1073947209349138E-2</v>
      </c>
      <c r="R158" s="19">
        <f ca="1">IF('Stock Price'!$I$11="OK",E158/INDEX(E$5:E$1258,'Stock Price'!$I$9)-1,"")</f>
        <v>-0.22740524781341109</v>
      </c>
      <c r="S158" s="19">
        <f ca="1">IF('Stock Price'!$I$11="OK",F158/INDEX(F$5:F$1258,'Stock Price'!$I$9)-1,"")</f>
        <v>7.8789135392909104E-2</v>
      </c>
      <c r="T158" s="19">
        <f ca="1">IF('Stock Price'!$I$11="OK",G158/INDEX(G$5:G$1258,'Stock Price'!$I$9)-1,"")</f>
        <v>0.6194736842105264</v>
      </c>
      <c r="U158" s="19">
        <f ca="1">IF('Stock Price'!$I$11="OK",H158/INDEX(H$5:H$1258,'Stock Price'!$I$9)-1,"")</f>
        <v>-0.15068107092531713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84.9495</v>
      </c>
      <c r="C159" s="18">
        <v>126.58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-0.38682330012992638</v>
      </c>
      <c r="P159" s="19">
        <f ca="1">IF('Stock Price'!$I$11="OK",C159/INDEX(C$5:C$1258,'Stock Price'!$I$9)-1,"")</f>
        <v>-0.30707540714383474</v>
      </c>
      <c r="Q159" s="19">
        <f ca="1">IF('Stock Price'!$I$11="OK",D159/INDEX(D$5:D$1258,'Stock Price'!$I$9)-1,"")</f>
        <v>0.11751964537578075</v>
      </c>
      <c r="R159" s="19">
        <f ca="1">IF('Stock Price'!$I$11="OK",E159/INDEX(E$5:E$1258,'Stock Price'!$I$9)-1,"")</f>
        <v>-0.2202137998056366</v>
      </c>
      <c r="S159" s="19">
        <f ca="1">IF('Stock Price'!$I$11="OK",F159/INDEX(F$5:F$1258,'Stock Price'!$I$9)-1,"")</f>
        <v>8.9778146381920054E-2</v>
      </c>
      <c r="T159" s="19">
        <f ca="1">IF('Stock Price'!$I$11="OK",G159/INDEX(G$5:G$1258,'Stock Price'!$I$9)-1,"")</f>
        <v>0.66342105263157891</v>
      </c>
      <c r="U159" s="19">
        <f ca="1">IF('Stock Price'!$I$11="OK",H159/INDEX(H$5:H$1258,'Stock Price'!$I$9)-1,"")</f>
        <v>-0.13273837482386108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85.055899999999994</v>
      </c>
      <c r="C160" s="18">
        <v>129.22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-0.38605529089071744</v>
      </c>
      <c r="P160" s="19">
        <f ca="1">IF('Stock Price'!$I$11="OK",C160/INDEX(C$5:C$1258,'Stock Price'!$I$9)-1,"")</f>
        <v>-0.29262351170110856</v>
      </c>
      <c r="Q160" s="19">
        <f ca="1">IF('Stock Price'!$I$11="OK",D160/INDEX(D$5:D$1258,'Stock Price'!$I$9)-1,"")</f>
        <v>0.12608301430586333</v>
      </c>
      <c r="R160" s="19">
        <f ca="1">IF('Stock Price'!$I$11="OK",E160/INDEX(E$5:E$1258,'Stock Price'!$I$9)-1,"")</f>
        <v>-0.21535471331389711</v>
      </c>
      <c r="S160" s="19">
        <f ca="1">IF('Stock Price'!$I$11="OK",F160/INDEX(F$5:F$1258,'Stock Price'!$I$9)-1,"")</f>
        <v>9.6827700601285649E-2</v>
      </c>
      <c r="T160" s="19">
        <f ca="1">IF('Stock Price'!$I$11="OK",G160/INDEX(G$5:G$1258,'Stock Price'!$I$9)-1,"")</f>
        <v>0.68736842105263163</v>
      </c>
      <c r="U160" s="19">
        <f ca="1">IF('Stock Price'!$I$11="OK",H160/INDEX(H$5:H$1258,'Stock Price'!$I$9)-1,"")</f>
        <v>-0.12635039924847347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84.823700000000002</v>
      </c>
      <c r="C161" s="18">
        <v>125.49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-0.38773134112891583</v>
      </c>
      <c r="P161" s="19">
        <f ca="1">IF('Stock Price'!$I$11="OK",C161/INDEX(C$5:C$1258,'Stock Price'!$I$9)-1,"")</f>
        <v>-0.31304228821677849</v>
      </c>
      <c r="Q161" s="19">
        <f ca="1">IF('Stock Price'!$I$11="OK",D161/INDEX(D$5:D$1258,'Stock Price'!$I$9)-1,"")</f>
        <v>9.888172476324808E-2</v>
      </c>
      <c r="R161" s="19">
        <f ca="1">IF('Stock Price'!$I$11="OK",E161/INDEX(E$5:E$1258,'Stock Price'!$I$9)-1,"")</f>
        <v>-0.21593780369290572</v>
      </c>
      <c r="S161" s="19">
        <f ca="1">IF('Stock Price'!$I$11="OK",F161/INDEX(F$5:F$1258,'Stock Price'!$I$9)-1,"")</f>
        <v>8.6253369272237368E-2</v>
      </c>
      <c r="T161" s="19">
        <f ca="1">IF('Stock Price'!$I$11="OK",G161/INDEX(G$5:G$1258,'Stock Price'!$I$9)-1,"")</f>
        <v>0.67894736842105252</v>
      </c>
      <c r="U161" s="19">
        <f ca="1">IF('Stock Price'!$I$11="OK",H161/INDEX(H$5:H$1258,'Stock Price'!$I$9)-1,"")</f>
        <v>-0.13480507280413345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85.762100000000004</v>
      </c>
      <c r="C162" s="18">
        <v>125.9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-0.38095784610942685</v>
      </c>
      <c r="P162" s="19">
        <f ca="1">IF('Stock Price'!$I$11="OK",C162/INDEX(C$5:C$1258,'Stock Price'!$I$9)-1,"")</f>
        <v>-0.31079786506090057</v>
      </c>
      <c r="Q162" s="19">
        <f ca="1">IF('Stock Price'!$I$11="OK",D162/INDEX(D$5:D$1258,'Stock Price'!$I$9)-1,"")</f>
        <v>9.7118678218819365E-2</v>
      </c>
      <c r="R162" s="19">
        <f ca="1">IF('Stock Price'!$I$11="OK",E162/INDEX(E$5:E$1258,'Stock Price'!$I$9)-1,"")</f>
        <v>-0.2081632653061225</v>
      </c>
      <c r="S162" s="19">
        <f ca="1">IF('Stock Price'!$I$11="OK",F162/INDEX(F$5:F$1258,'Stock Price'!$I$9)-1,"")</f>
        <v>0.100145137880987</v>
      </c>
      <c r="T162" s="19">
        <f ca="1">IF('Stock Price'!$I$11="OK",G162/INDEX(G$5:G$1258,'Stock Price'!$I$9)-1,"")</f>
        <v>0.6684210526315788</v>
      </c>
      <c r="U162" s="19">
        <f ca="1">IF('Stock Price'!$I$11="OK",H162/INDEX(H$5:H$1258,'Stock Price'!$I$9)-1,"")</f>
        <v>-0.13489901362141854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86.507099999999994</v>
      </c>
      <c r="C163" s="18">
        <v>127.06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-0.37558033780857514</v>
      </c>
      <c r="P163" s="19">
        <f ca="1">IF('Stock Price'!$I$11="OK",C163/INDEX(C$5:C$1258,'Stock Price'!$I$9)-1,"")</f>
        <v>-0.30444778979061182</v>
      </c>
      <c r="Q163" s="19">
        <f ca="1">IF('Stock Price'!$I$11="OK",D163/INDEX(D$5:D$1258,'Stock Price'!$I$9)-1,"")</f>
        <v>0.12129760225669939</v>
      </c>
      <c r="R163" s="19">
        <f ca="1">IF('Stock Price'!$I$11="OK",E163/INDEX(E$5:E$1258,'Stock Price'!$I$9)-1,"")</f>
        <v>-0.20097181729834801</v>
      </c>
      <c r="S163" s="19">
        <f ca="1">IF('Stock Price'!$I$11="OK",F163/INDEX(F$5:F$1258,'Stock Price'!$I$9)-1,"")</f>
        <v>0.12792867509848649</v>
      </c>
      <c r="T163" s="19">
        <f ca="1">IF('Stock Price'!$I$11="OK",G163/INDEX(G$5:G$1258,'Stock Price'!$I$9)-1,"")</f>
        <v>0.67736842105263162</v>
      </c>
      <c r="U163" s="19">
        <f ca="1">IF('Stock Price'!$I$11="OK",H163/INDEX(H$5:H$1258,'Stock Price'!$I$9)-1,"")</f>
        <v>-0.12118365429779243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87.754999999999995</v>
      </c>
      <c r="C164" s="18">
        <v>131.08000000000001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-0.36657283095134974</v>
      </c>
      <c r="P164" s="19">
        <f ca="1">IF('Stock Price'!$I$11="OK",C164/INDEX(C$5:C$1258,'Stock Price'!$I$9)-1,"")</f>
        <v>-0.28244149445736966</v>
      </c>
      <c r="Q164" s="19">
        <f ca="1">IF('Stock Price'!$I$11="OK",D164/INDEX(D$5:D$1258,'Stock Price'!$I$9)-1,"")</f>
        <v>0.1270904694741084</v>
      </c>
      <c r="R164" s="19">
        <f ca="1">IF('Stock Price'!$I$11="OK",E164/INDEX(E$5:E$1258,'Stock Price'!$I$9)-1,"")</f>
        <v>-0.1863945578231293</v>
      </c>
      <c r="S164" s="19">
        <f ca="1">IF('Stock Price'!$I$11="OK",F164/INDEX(F$5:F$1258,'Stock Price'!$I$9)-1,"")</f>
        <v>0.14928467758656438</v>
      </c>
      <c r="T164" s="19">
        <f ca="1">IF('Stock Price'!$I$11="OK",G164/INDEX(G$5:G$1258,'Stock Price'!$I$9)-1,"")</f>
        <v>0.69657894736842096</v>
      </c>
      <c r="U164" s="19">
        <f ca="1">IF('Stock Price'!$I$11="OK",H164/INDEX(H$5:H$1258,'Stock Price'!$I$9)-1,"")</f>
        <v>-0.11855331141380931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88.935299999999998</v>
      </c>
      <c r="C165" s="18">
        <v>132.46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-0.35805326981377217</v>
      </c>
      <c r="P165" s="19">
        <f ca="1">IF('Stock Price'!$I$11="OK",C165/INDEX(C$5:C$1258,'Stock Price'!$I$9)-1,"")</f>
        <v>-0.27488709456685367</v>
      </c>
      <c r="Q165" s="19">
        <f ca="1">IF('Stock Price'!$I$11="OK",D165/INDEX(D$5:D$1258,'Stock Price'!$I$9)-1,"")</f>
        <v>0.13338706427563962</v>
      </c>
      <c r="R165" s="19">
        <f ca="1">IF('Stock Price'!$I$11="OK",E165/INDEX(E$5:E$1258,'Stock Price'!$I$9)-1,"")</f>
        <v>-0.15976676384839661</v>
      </c>
      <c r="S165" s="19">
        <f ca="1">IF('Stock Price'!$I$11="OK",F165/INDEX(F$5:F$1258,'Stock Price'!$I$9)-1,"")</f>
        <v>0.1671159029649596</v>
      </c>
      <c r="T165" s="19">
        <f ca="1">IF('Stock Price'!$I$11="OK",G165/INDEX(G$5:G$1258,'Stock Price'!$I$9)-1,"")</f>
        <v>0.66552631578947374</v>
      </c>
      <c r="U165" s="19">
        <f ca="1">IF('Stock Price'!$I$11="OK",H165/INDEX(H$5:H$1258,'Stock Price'!$I$9)-1,"")</f>
        <v>-0.11094410521371534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88.2774</v>
      </c>
      <c r="C166" s="18">
        <v>134.13999999999999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-0.36280207882200088</v>
      </c>
      <c r="P166" s="19">
        <f ca="1">IF('Stock Price'!$I$11="OK",C166/INDEX(C$5:C$1258,'Stock Price'!$I$9)-1,"")</f>
        <v>-0.26569043383057356</v>
      </c>
      <c r="Q166" s="19">
        <f ca="1">IF('Stock Price'!$I$11="OK",D166/INDEX(D$5:D$1258,'Stock Price'!$I$9)-1,"")</f>
        <v>0.13263147289945598</v>
      </c>
      <c r="R166" s="19">
        <f ca="1">IF('Stock Price'!$I$11="OK",E166/INDEX(E$5:E$1258,'Stock Price'!$I$9)-1,"")</f>
        <v>-0.16443148688046649</v>
      </c>
      <c r="S166" s="19">
        <f ca="1">IF('Stock Price'!$I$11="OK",F166/INDEX(F$5:F$1258,'Stock Price'!$I$9)-1,"")</f>
        <v>0.15799295044578066</v>
      </c>
      <c r="T166" s="19">
        <f ca="1">IF('Stock Price'!$I$11="OK",G166/INDEX(G$5:G$1258,'Stock Price'!$I$9)-1,"")</f>
        <v>0.67842105263157904</v>
      </c>
      <c r="U166" s="19">
        <f ca="1">IF('Stock Price'!$I$11="OK",H166/INDEX(H$5:H$1258,'Stock Price'!$I$9)-1,"")</f>
        <v>-0.11930483795209024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88.287099999999995</v>
      </c>
      <c r="C167" s="18">
        <v>134.12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-0.36273206294211058</v>
      </c>
      <c r="P167" s="19">
        <f ca="1">IF('Stock Price'!$I$11="OK",C167/INDEX(C$5:C$1258,'Stock Price'!$I$9)-1,"")</f>
        <v>-0.26579991788695778</v>
      </c>
      <c r="Q167" s="19">
        <f ca="1">IF('Stock Price'!$I$11="OK",D167/INDEX(D$5:D$1258,'Stock Price'!$I$9)-1,"")</f>
        <v>0.11877896433608703</v>
      </c>
      <c r="R167" s="19">
        <f ca="1">IF('Stock Price'!$I$11="OK",E167/INDEX(E$5:E$1258,'Stock Price'!$I$9)-1,"")</f>
        <v>-0.15782312925170072</v>
      </c>
      <c r="S167" s="19">
        <f ca="1">IF('Stock Price'!$I$11="OK",F167/INDEX(F$5:F$1258,'Stock Price'!$I$9)-1,"")</f>
        <v>0.15073605639643373</v>
      </c>
      <c r="T167" s="19">
        <f ca="1">IF('Stock Price'!$I$11="OK",G167/INDEX(G$5:G$1258,'Stock Price'!$I$9)-1,"")</f>
        <v>0.73421052631578965</v>
      </c>
      <c r="U167" s="19">
        <f ca="1">IF('Stock Price'!$I$11="OK",H167/INDEX(H$5:H$1258,'Stock Price'!$I$9)-1,"")</f>
        <v>-0.13283231564114606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88.480599999999995</v>
      </c>
      <c r="C168" s="18">
        <v>130.75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-0.36133535441027864</v>
      </c>
      <c r="P168" s="19">
        <f ca="1">IF('Stock Price'!$I$11="OK",C168/INDEX(C$5:C$1258,'Stock Price'!$I$9)-1,"")</f>
        <v>-0.28424798138771046</v>
      </c>
      <c r="Q168" s="19">
        <f ca="1">IF('Stock Price'!$I$11="OK",D168/INDEX(D$5:D$1258,'Stock Price'!$I$9)-1,"")</f>
        <v>0.10971186782188203</v>
      </c>
      <c r="R168" s="19">
        <f ca="1">IF('Stock Price'!$I$11="OK",E168/INDEX(E$5:E$1258,'Stock Price'!$I$9)-1,"")</f>
        <v>-0.16307094266277944</v>
      </c>
      <c r="S168" s="19">
        <f ca="1">IF('Stock Price'!$I$11="OK",F168/INDEX(F$5:F$1258,'Stock Price'!$I$9)-1,"")</f>
        <v>0.14347916234708702</v>
      </c>
      <c r="T168" s="19">
        <f ca="1">IF('Stock Price'!$I$11="OK",G168/INDEX(G$5:G$1258,'Stock Price'!$I$9)-1,"")</f>
        <v>0.75210526315789461</v>
      </c>
      <c r="U168" s="19">
        <f ca="1">IF('Stock Price'!$I$11="OK",H168/INDEX(H$5:H$1258,'Stock Price'!$I$9)-1,"")</f>
        <v>-0.12559887271019265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87.977500000000006</v>
      </c>
      <c r="C169" s="18">
        <v>129.26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-0.36496679659304165</v>
      </c>
      <c r="P169" s="19">
        <f ca="1">IF('Stock Price'!$I$11="OK",C169/INDEX(C$5:C$1258,'Stock Price'!$I$9)-1,"")</f>
        <v>-0.29240454358834</v>
      </c>
      <c r="Q169" s="19">
        <f ca="1">IF('Stock Price'!$I$11="OK",D169/INDEX(D$5:D$1258,'Stock Price'!$I$9)-1,"")</f>
        <v>0.10568204714890173</v>
      </c>
      <c r="R169" s="19">
        <f ca="1">IF('Stock Price'!$I$11="OK",E169/INDEX(E$5:E$1258,'Stock Price'!$I$9)-1,"")</f>
        <v>-0.17317784256559776</v>
      </c>
      <c r="S169" s="19">
        <f ca="1">IF('Stock Price'!$I$11="OK",F169/INDEX(F$5:F$1258,'Stock Price'!$I$9)-1,"")</f>
        <v>0.10408459465063236</v>
      </c>
      <c r="T169" s="19">
        <f ca="1">IF('Stock Price'!$I$11="OK",G169/INDEX(G$5:G$1258,'Stock Price'!$I$9)-1,"")</f>
        <v>0.75210526315789461</v>
      </c>
      <c r="U169" s="19">
        <f ca="1">IF('Stock Price'!$I$11="OK",H169/INDEX(H$5:H$1258,'Stock Price'!$I$9)-1,"")</f>
        <v>-0.13546265852512918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86.719899999999996</v>
      </c>
      <c r="C170" s="18">
        <v>132.13999999999999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-0.37404431933015736</v>
      </c>
      <c r="P170" s="19">
        <f ca="1">IF('Stock Price'!$I$11="OK",C170/INDEX(C$5:C$1258,'Stock Price'!$I$9)-1,"")</f>
        <v>-0.27663883946900247</v>
      </c>
      <c r="Q170" s="19">
        <f ca="1">IF('Stock Price'!$I$11="OK",D170/INDEX(D$5:D$1258,'Stock Price'!$I$9)-1,"")</f>
        <v>8.4021761031634057E-2</v>
      </c>
      <c r="R170" s="19">
        <f ca="1">IF('Stock Price'!$I$11="OK",E170/INDEX(E$5:E$1258,'Stock Price'!$I$9)-1,"")</f>
        <v>-0.18833819241982519</v>
      </c>
      <c r="S170" s="19">
        <f ca="1">IF('Stock Price'!$I$11="OK",F170/INDEX(F$5:F$1258,'Stock Price'!$I$9)-1,"")</f>
        <v>0.10325523533070702</v>
      </c>
      <c r="T170" s="19">
        <f ca="1">IF('Stock Price'!$I$11="OK",G170/INDEX(G$5:G$1258,'Stock Price'!$I$9)-1,"")</f>
        <v>0.75631578947368405</v>
      </c>
      <c r="U170" s="19">
        <f ca="1">IF('Stock Price'!$I$11="OK",H170/INDEX(H$5:H$1258,'Stock Price'!$I$9)-1,"")</f>
        <v>-0.14382339126350396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86.864999999999995</v>
      </c>
      <c r="C171" s="18">
        <v>128.72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-0.37299696838458207</v>
      </c>
      <c r="P171" s="19">
        <f ca="1">IF('Stock Price'!$I$11="OK",C171/INDEX(C$5:C$1258,'Stock Price'!$I$9)-1,"")</f>
        <v>-0.29536061311071582</v>
      </c>
      <c r="Q171" s="19">
        <f ca="1">IF('Stock Price'!$I$11="OK",D171/INDEX(D$5:D$1258,'Stock Price'!$I$9)-1,"")</f>
        <v>9.2836993753777852E-2</v>
      </c>
      <c r="R171" s="19">
        <f ca="1">IF('Stock Price'!$I$11="OK",E171/INDEX(E$5:E$1258,'Stock Price'!$I$9)-1,"")</f>
        <v>-0.17881438289601559</v>
      </c>
      <c r="S171" s="19">
        <f ca="1">IF('Stock Price'!$I$11="OK",F171/INDEX(F$5:F$1258,'Stock Price'!$I$9)-1,"")</f>
        <v>0.10802405142027793</v>
      </c>
      <c r="T171" s="19">
        <f ca="1">IF('Stock Price'!$I$11="OK",G171/INDEX(G$5:G$1258,'Stock Price'!$I$9)-1,"")</f>
        <v>0.72394736842105267</v>
      </c>
      <c r="U171" s="19">
        <f ca="1">IF('Stock Price'!$I$11="OK",H171/INDEX(H$5:H$1258,'Stock Price'!$I$9)-1,"")</f>
        <v>-0.15453264443400661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86.216800000000006</v>
      </c>
      <c r="C172" s="18">
        <v>126.48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-0.37767576151292037</v>
      </c>
      <c r="P172" s="19">
        <f ca="1">IF('Stock Price'!$I$11="OK",C172/INDEX(C$5:C$1258,'Stock Price'!$I$9)-1,"")</f>
        <v>-0.3076228274257562</v>
      </c>
      <c r="Q172" s="19">
        <f ca="1">IF('Stock Price'!$I$11="OK",D172/INDEX(D$5:D$1258,'Stock Price'!$I$9)-1,"")</f>
        <v>7.5962119685673901E-2</v>
      </c>
      <c r="R172" s="19">
        <f ca="1">IF('Stock Price'!$I$11="OK",E172/INDEX(E$5:E$1258,'Stock Price'!$I$9)-1,"")</f>
        <v>-0.19241982507288635</v>
      </c>
      <c r="S172" s="19">
        <f ca="1">IF('Stock Price'!$I$11="OK",F172/INDEX(F$5:F$1258,'Stock Price'!$I$9)-1,"")</f>
        <v>0.10989010989010994</v>
      </c>
      <c r="T172" s="19">
        <f ca="1">IF('Stock Price'!$I$11="OK",G172/INDEX(G$5:G$1258,'Stock Price'!$I$9)-1,"")</f>
        <v>0.74000000000000021</v>
      </c>
      <c r="U172" s="19">
        <f ca="1">IF('Stock Price'!$I$11="OK",H172/INDEX(H$5:H$1258,'Stock Price'!$I$9)-1,"")</f>
        <v>-0.15537811178957261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85.781499999999994</v>
      </c>
      <c r="C173" s="18">
        <v>125.6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-0.38081781434964634</v>
      </c>
      <c r="P173" s="19">
        <f ca="1">IF('Stock Price'!$I$11="OK",C173/INDEX(C$5:C$1258,'Stock Price'!$I$9)-1,"")</f>
        <v>-0.31244012590666492</v>
      </c>
      <c r="Q173" s="19">
        <f ca="1">IF('Stock Price'!$I$11="OK",D173/INDEX(D$5:D$1258,'Stock Price'!$I$9)-1,"")</f>
        <v>7.8228893814225264E-2</v>
      </c>
      <c r="R173" s="19">
        <f ca="1">IF('Stock Price'!$I$11="OK",E173/INDEX(E$5:E$1258,'Stock Price'!$I$9)-1,"")</f>
        <v>-0.19863945578231301</v>
      </c>
      <c r="S173" s="19">
        <f ca="1">IF('Stock Price'!$I$11="OK",F173/INDEX(F$5:F$1258,'Stock Price'!$I$9)-1,"")</f>
        <v>0.10304789550072591</v>
      </c>
      <c r="T173" s="19">
        <f ca="1">IF('Stock Price'!$I$11="OK",G173/INDEX(G$5:G$1258,'Stock Price'!$I$9)-1,"")</f>
        <v>0.75473684210526337</v>
      </c>
      <c r="U173" s="19">
        <f ca="1">IF('Stock Price'!$I$11="OK",H173/INDEX(H$5:H$1258,'Stock Price'!$I$9)-1,"")</f>
        <v>-0.15603569751056834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85.984700000000004</v>
      </c>
      <c r="C174" s="18">
        <v>125.08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-0.37935108993792399</v>
      </c>
      <c r="P174" s="19">
        <f ca="1">IF('Stock Price'!$I$11="OK",C174/INDEX(C$5:C$1258,'Stock Price'!$I$9)-1,"")</f>
        <v>-0.3152867113726564</v>
      </c>
      <c r="Q174" s="19">
        <f ca="1">IF('Stock Price'!$I$11="OK",D174/INDEX(D$5:D$1258,'Stock Price'!$I$9)-1,"")</f>
        <v>0.11449727987104574</v>
      </c>
      <c r="R174" s="19">
        <f ca="1">IF('Stock Price'!$I$11="OK",E174/INDEX(E$5:E$1258,'Stock Price'!$I$9)-1,"")</f>
        <v>-0.20427599611273084</v>
      </c>
      <c r="S174" s="19">
        <f ca="1">IF('Stock Price'!$I$11="OK",F174/INDEX(F$5:F$1258,'Stock Price'!$I$9)-1,"")</f>
        <v>0.1132075471698113</v>
      </c>
      <c r="T174" s="19">
        <f ca="1">IF('Stock Price'!$I$11="OK",G174/INDEX(G$5:G$1258,'Stock Price'!$I$9)-1,"")</f>
        <v>0.73473684210526313</v>
      </c>
      <c r="U174" s="19">
        <f ca="1">IF('Stock Price'!$I$11="OK",H174/INDEX(H$5:H$1258,'Stock Price'!$I$9)-1,"")</f>
        <v>-0.15002348520432129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84.504499999999993</v>
      </c>
      <c r="C175" s="18">
        <v>125.08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-0.39003536884654255</v>
      </c>
      <c r="P175" s="19">
        <f ca="1">IF('Stock Price'!$I$11="OK",C175/INDEX(C$5:C$1258,'Stock Price'!$I$9)-1,"")</f>
        <v>-0.3152867113726564</v>
      </c>
      <c r="Q175" s="19">
        <f ca="1">IF('Stock Price'!$I$11="OK",D175/INDEX(D$5:D$1258,'Stock Price'!$I$9)-1,"")</f>
        <v>0.11323796091073945</v>
      </c>
      <c r="R175" s="19">
        <f ca="1">IF('Stock Price'!$I$11="OK",E175/INDEX(E$5:E$1258,'Stock Price'!$I$9)-1,"")</f>
        <v>-0.21068999028182711</v>
      </c>
      <c r="S175" s="19">
        <f ca="1">IF('Stock Price'!$I$11="OK",F175/INDEX(F$5:F$1258,'Stock Price'!$I$9)-1,"")</f>
        <v>9.641302094132298E-2</v>
      </c>
      <c r="T175" s="19">
        <f ca="1">IF('Stock Price'!$I$11="OK",G175/INDEX(G$5:G$1258,'Stock Price'!$I$9)-1,"")</f>
        <v>0.73342105263157897</v>
      </c>
      <c r="U175" s="19">
        <f ca="1">IF('Stock Price'!$I$11="OK",H175/INDEX(H$5:H$1258,'Stock Price'!$I$9)-1,"")</f>
        <v>-0.15941756693283227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83.566100000000006</v>
      </c>
      <c r="C176" s="18">
        <v>123.28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-0.39680886386603142</v>
      </c>
      <c r="P176" s="19">
        <f ca="1">IF('Stock Price'!$I$11="OK",C176/INDEX(C$5:C$1258,'Stock Price'!$I$9)-1,"")</f>
        <v>-0.32514027644724242</v>
      </c>
      <c r="Q176" s="19">
        <f ca="1">IF('Stock Price'!$I$11="OK",D176/INDEX(D$5:D$1258,'Stock Price'!$I$9)-1,"")</f>
        <v>8.4021761031634057E-2</v>
      </c>
      <c r="R176" s="19">
        <f ca="1">IF('Stock Price'!$I$11="OK",E176/INDEX(E$5:E$1258,'Stock Price'!$I$9)-1,"")</f>
        <v>-0.21768707482993199</v>
      </c>
      <c r="S176" s="19">
        <f ca="1">IF('Stock Price'!$I$11="OK",F176/INDEX(F$5:F$1258,'Stock Price'!$I$9)-1,"")</f>
        <v>7.775243624300221E-2</v>
      </c>
      <c r="T176" s="19">
        <f ca="1">IF('Stock Price'!$I$11="OK",G176/INDEX(G$5:G$1258,'Stock Price'!$I$9)-1,"")</f>
        <v>0.72078947368421065</v>
      </c>
      <c r="U176" s="19">
        <f ca="1">IF('Stock Price'!$I$11="OK",H176/INDEX(H$5:H$1258,'Stock Price'!$I$9)-1,"")</f>
        <v>-0.17332080789102866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82.289100000000005</v>
      </c>
      <c r="C177" s="18">
        <v>122.99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-0.40602641836292763</v>
      </c>
      <c r="P177" s="19">
        <f ca="1">IF('Stock Price'!$I$11="OK",C177/INDEX(C$5:C$1258,'Stock Price'!$I$9)-1,"")</f>
        <v>-0.32672779526481466</v>
      </c>
      <c r="Q177" s="19">
        <f ca="1">IF('Stock Price'!$I$11="OK",D177/INDEX(D$5:D$1258,'Stock Price'!$I$9)-1,"")</f>
        <v>0.10316340922828937</v>
      </c>
      <c r="R177" s="19">
        <f ca="1">IF('Stock Price'!$I$11="OK",E177/INDEX(E$5:E$1258,'Stock Price'!$I$9)-1,"")</f>
        <v>-0.23070942662779403</v>
      </c>
      <c r="S177" s="19">
        <f ca="1">IF('Stock Price'!$I$11="OK",F177/INDEX(F$5:F$1258,'Stock Price'!$I$9)-1,"")</f>
        <v>5.5567074434998975E-2</v>
      </c>
      <c r="T177" s="19">
        <f ca="1">IF('Stock Price'!$I$11="OK",G177/INDEX(G$5:G$1258,'Stock Price'!$I$9)-1,"")</f>
        <v>0.67263157894736847</v>
      </c>
      <c r="U177" s="19">
        <f ca="1">IF('Stock Price'!$I$11="OK",H177/INDEX(H$5:H$1258,'Stock Price'!$I$9)-1,"")</f>
        <v>-0.18102395490840761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79.841499999999996</v>
      </c>
      <c r="C178" s="18">
        <v>115.61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-0.42369351811751121</v>
      </c>
      <c r="P178" s="19">
        <f ca="1">IF('Stock Price'!$I$11="OK",C178/INDEX(C$5:C$1258,'Stock Price'!$I$9)-1,"")</f>
        <v>-0.36712741207061728</v>
      </c>
      <c r="Q178" s="19">
        <f ca="1">IF('Stock Price'!$I$11="OK",D178/INDEX(D$5:D$1258,'Stock Price'!$I$9)-1,"")</f>
        <v>7.0421116260326322E-2</v>
      </c>
      <c r="R178" s="19">
        <f ca="1">IF('Stock Price'!$I$11="OK",E178/INDEX(E$5:E$1258,'Stock Price'!$I$9)-1,"")</f>
        <v>-0.24975704567541301</v>
      </c>
      <c r="S178" s="19">
        <f ca="1">IF('Stock Price'!$I$11="OK",F178/INDEX(F$5:F$1258,'Stock Price'!$I$9)-1,"")</f>
        <v>3.5040431266846417E-2</v>
      </c>
      <c r="T178" s="19">
        <f ca="1">IF('Stock Price'!$I$11="OK",G178/INDEX(G$5:G$1258,'Stock Price'!$I$9)-1,"")</f>
        <v>0.67026315789473689</v>
      </c>
      <c r="U178" s="19">
        <f ca="1">IF('Stock Price'!$I$11="OK",H178/INDEX(H$5:H$1258,'Stock Price'!$I$9)-1,"")</f>
        <v>-0.2015030530765618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77.897000000000006</v>
      </c>
      <c r="C179" s="18">
        <v>114.42100000000001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-0.43772917568933156</v>
      </c>
      <c r="P179" s="19">
        <f ca="1">IF('Stock Price'!$I$11="OK",C179/INDEX(C$5:C$1258,'Stock Price'!$I$9)-1,"")</f>
        <v>-0.3736362392226632</v>
      </c>
      <c r="Q179" s="19">
        <f ca="1">IF('Stock Price'!$I$11="OK",D179/INDEX(D$5:D$1258,'Stock Price'!$I$9)-1,"")</f>
        <v>3.8686278460608348E-2</v>
      </c>
      <c r="R179" s="19">
        <f ca="1">IF('Stock Price'!$I$11="OK",E179/INDEX(E$5:E$1258,'Stock Price'!$I$9)-1,"")</f>
        <v>-0.25733722060252673</v>
      </c>
      <c r="S179" s="19">
        <f ca="1">IF('Stock Price'!$I$11="OK",F179/INDEX(F$5:F$1258,'Stock Price'!$I$9)-1,"")</f>
        <v>1.8453244868339214E-2</v>
      </c>
      <c r="T179" s="19">
        <f ca="1">IF('Stock Price'!$I$11="OK",G179/INDEX(G$5:G$1258,'Stock Price'!$I$9)-1,"")</f>
        <v>0.67394736842105263</v>
      </c>
      <c r="U179" s="19">
        <f ca="1">IF('Stock Price'!$I$11="OK",H179/INDEX(H$5:H$1258,'Stock Price'!$I$9)-1,"")</f>
        <v>-0.20620009394081729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78.709599999999995</v>
      </c>
      <c r="C180" s="18">
        <v>115.9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-0.43186372166883213</v>
      </c>
      <c r="P180" s="19">
        <f ca="1">IF('Stock Price'!$I$11="OK",C180/INDEX(C$5:C$1258,'Stock Price'!$I$9)-1,"")</f>
        <v>-0.36553989325304503</v>
      </c>
      <c r="Q180" s="19">
        <f ca="1">IF('Stock Price'!$I$11="OK",D180/INDEX(D$5:D$1258,'Stock Price'!$I$9)-1,"")</f>
        <v>5.6568607696957374E-2</v>
      </c>
      <c r="R180" s="19">
        <f ca="1">IF('Stock Price'!$I$11="OK",E180/INDEX(E$5:E$1258,'Stock Price'!$I$9)-1,"")</f>
        <v>-0.25111758989310007</v>
      </c>
      <c r="S180" s="19">
        <f ca="1">IF('Stock Price'!$I$11="OK",F180/INDEX(F$5:F$1258,'Stock Price'!$I$9)-1,"")</f>
        <v>1.5757827078581865E-2</v>
      </c>
      <c r="T180" s="19">
        <f ca="1">IF('Stock Price'!$I$11="OK",G180/INDEX(G$5:G$1258,'Stock Price'!$I$9)-1,"")</f>
        <v>0.67210526315789476</v>
      </c>
      <c r="U180" s="19">
        <f ca="1">IF('Stock Price'!$I$11="OK",H180/INDEX(H$5:H$1258,'Stock Price'!$I$9)-1,"")</f>
        <v>-0.20497886331611093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79.183700000000002</v>
      </c>
      <c r="C181" s="18">
        <v>118.75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-0.42844160531254505</v>
      </c>
      <c r="P181" s="19">
        <f ca="1">IF('Stock Price'!$I$11="OK",C181/INDEX(C$5:C$1258,'Stock Price'!$I$9)-1,"")</f>
        <v>-0.34993841521828384</v>
      </c>
      <c r="Q181" s="19">
        <f ca="1">IF('Stock Price'!$I$11="OK",D181/INDEX(D$5:D$1258,'Stock Price'!$I$9)-1,"")</f>
        <v>4.8760830143058431E-2</v>
      </c>
      <c r="R181" s="19">
        <f ca="1">IF('Stock Price'!$I$11="OK",E181/INDEX(E$5:E$1258,'Stock Price'!$I$9)-1,"")</f>
        <v>-0.23926141885325558</v>
      </c>
      <c r="S181" s="19">
        <f ca="1">IF('Stock Price'!$I$11="OK",F181/INDEX(F$5:F$1258,'Stock Price'!$I$9)-1,"")</f>
        <v>2.1770682148040787E-2</v>
      </c>
      <c r="T181" s="19">
        <f ca="1">IF('Stock Price'!$I$11="OK",G181/INDEX(G$5:G$1258,'Stock Price'!$I$9)-1,"")</f>
        <v>0.625</v>
      </c>
      <c r="U181" s="19">
        <f ca="1">IF('Stock Price'!$I$11="OK",H181/INDEX(H$5:H$1258,'Stock Price'!$I$9)-1,"")</f>
        <v>-0.20253640206669798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78.419399999999996</v>
      </c>
      <c r="C182" s="18">
        <v>120.22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-0.43395842355998271</v>
      </c>
      <c r="P182" s="19">
        <f ca="1">IF('Stock Price'!$I$11="OK",C182/INDEX(C$5:C$1258,'Stock Price'!$I$9)-1,"")</f>
        <v>-0.34189133707403863</v>
      </c>
      <c r="Q182" s="19">
        <f ca="1">IF('Stock Price'!$I$11="OK",D182/INDEX(D$5:D$1258,'Stock Price'!$I$9)-1,"")</f>
        <v>3.9441869836792209E-2</v>
      </c>
      <c r="R182" s="19">
        <f ca="1">IF('Stock Price'!$I$11="OK",E182/INDEX(E$5:E$1258,'Stock Price'!$I$9)-1,"")</f>
        <v>-0.24256559766763852</v>
      </c>
      <c r="S182" s="19">
        <f ca="1">IF('Stock Price'!$I$11="OK",F182/INDEX(F$5:F$1258,'Stock Price'!$I$9)-1,"")</f>
        <v>2.0111963508190112E-2</v>
      </c>
      <c r="T182" s="19">
        <f ca="1">IF('Stock Price'!$I$11="OK",G182/INDEX(G$5:G$1258,'Stock Price'!$I$9)-1,"")</f>
        <v>0.64605263157894721</v>
      </c>
      <c r="U182" s="19">
        <f ca="1">IF('Stock Price'!$I$11="OK",H182/INDEX(H$5:H$1258,'Stock Price'!$I$9)-1,"")</f>
        <v>-0.2050728041333959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78.835400000000007</v>
      </c>
      <c r="C183" s="18">
        <v>121.9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-0.43095568066984258</v>
      </c>
      <c r="P183" s="19">
        <f ca="1">IF('Stock Price'!$I$11="OK",C183/INDEX(C$5:C$1258,'Stock Price'!$I$9)-1,"")</f>
        <v>-0.33269467633775829</v>
      </c>
      <c r="Q183" s="19">
        <f ca="1">IF('Stock Price'!$I$11="OK",D183/INDEX(D$5:D$1258,'Stock Price'!$I$9)-1,"")</f>
        <v>5.2035059439854869E-2</v>
      </c>
      <c r="R183" s="19">
        <f ca="1">IF('Stock Price'!$I$11="OK",E183/INDEX(E$5:E$1258,'Stock Price'!$I$9)-1,"")</f>
        <v>-0.24256559766763852</v>
      </c>
      <c r="S183" s="19">
        <f ca="1">IF('Stock Price'!$I$11="OK",F183/INDEX(F$5:F$1258,'Stock Price'!$I$9)-1,"")</f>
        <v>2.6124818577648812E-2</v>
      </c>
      <c r="T183" s="19">
        <f ca="1">IF('Stock Price'!$I$11="OK",G183/INDEX(G$5:G$1258,'Stock Price'!$I$9)-1,"")</f>
        <v>0.63315789473684214</v>
      </c>
      <c r="U183" s="19">
        <f ca="1">IF('Stock Price'!$I$11="OK",H183/INDEX(H$5:H$1258,'Stock Price'!$I$9)-1,"")</f>
        <v>-0.17303898543917329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78.854699999999994</v>
      </c>
      <c r="C184" s="18">
        <v>125.4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-0.43081637072325685</v>
      </c>
      <c r="P184" s="19">
        <f ca="1">IF('Stock Price'!$I$11="OK",C184/INDEX(C$5:C$1258,'Stock Price'!$I$9)-1,"")</f>
        <v>-0.31353496647050771</v>
      </c>
      <c r="Q184" s="19">
        <f ca="1">IF('Stock Price'!$I$11="OK",D184/INDEX(D$5:D$1258,'Stock Price'!$I$9)-1,"")</f>
        <v>5.70723352810798E-2</v>
      </c>
      <c r="R184" s="19">
        <f ca="1">IF('Stock Price'!$I$11="OK",E184/INDEX(E$5:E$1258,'Stock Price'!$I$9)-1,"")</f>
        <v>-0.22954324586977648</v>
      </c>
      <c r="S184" s="19">
        <f ca="1">IF('Stock Price'!$I$11="OK",F184/INDEX(F$5:F$1258,'Stock Price'!$I$9)-1,"")</f>
        <v>4.1467965996267786E-2</v>
      </c>
      <c r="T184" s="19">
        <f ca="1">IF('Stock Price'!$I$11="OK",G184/INDEX(G$5:G$1258,'Stock Price'!$I$9)-1,"")</f>
        <v>0.59842105263157896</v>
      </c>
      <c r="U184" s="19">
        <f ca="1">IF('Stock Price'!$I$11="OK",H184/INDEX(H$5:H$1258,'Stock Price'!$I$9)-1,"")</f>
        <v>-0.16242367308595596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79.193299999999994</v>
      </c>
      <c r="C185" s="18">
        <v>126.7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-0.42837231124584962</v>
      </c>
      <c r="P185" s="19">
        <f ca="1">IF('Stock Price'!$I$11="OK",C185/INDEX(C$5:C$1258,'Stock Price'!$I$9)-1,"")</f>
        <v>-0.30641850280552896</v>
      </c>
      <c r="Q185" s="19">
        <f ca="1">IF('Stock Price'!$I$11="OK",D185/INDEX(D$5:D$1258,'Stock Price'!$I$9)-1,"")</f>
        <v>7.6717711061857763E-2</v>
      </c>
      <c r="R185" s="19">
        <f ca="1">IF('Stock Price'!$I$11="OK",E185/INDEX(E$5:E$1258,'Stock Price'!$I$9)-1,"")</f>
        <v>-0.22235179786200199</v>
      </c>
      <c r="S185" s="19">
        <f ca="1">IF('Stock Price'!$I$11="OK",F185/INDEX(F$5:F$1258,'Stock Price'!$I$9)-1,"")</f>
        <v>4.5407422765913363E-2</v>
      </c>
      <c r="T185" s="19">
        <f ca="1">IF('Stock Price'!$I$11="OK",G185/INDEX(G$5:G$1258,'Stock Price'!$I$9)-1,"")</f>
        <v>0.54052631578947374</v>
      </c>
      <c r="U185" s="19">
        <f ca="1">IF('Stock Price'!$I$11="OK",H185/INDEX(H$5:H$1258,'Stock Price'!$I$9)-1,"")</f>
        <v>-0.13574448097698455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82.066599999999994</v>
      </c>
      <c r="C186" s="18">
        <v>129.21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-0.40763245272123572</v>
      </c>
      <c r="P186" s="19">
        <f ca="1">IF('Stock Price'!$I$11="OK",C186/INDEX(C$5:C$1258,'Stock Price'!$I$9)-1,"")</f>
        <v>-0.29267825372930067</v>
      </c>
      <c r="Q186" s="19">
        <f ca="1">IF('Stock Price'!$I$11="OK",D186/INDEX(D$5:D$1258,'Stock Price'!$I$9)-1,"")</f>
        <v>0.10039290751561536</v>
      </c>
      <c r="R186" s="19">
        <f ca="1">IF('Stock Price'!$I$11="OK",E186/INDEX(E$5:E$1258,'Stock Price'!$I$9)-1,"")</f>
        <v>-0.19067055393586008</v>
      </c>
      <c r="S186" s="19">
        <f ca="1">IF('Stock Price'!$I$11="OK",F186/INDEX(F$5:F$1258,'Stock Price'!$I$9)-1,"")</f>
        <v>0.10760937176031526</v>
      </c>
      <c r="T186" s="19">
        <f ca="1">IF('Stock Price'!$I$11="OK",G186/INDEX(G$5:G$1258,'Stock Price'!$I$9)-1,"")</f>
        <v>0.52078947368421047</v>
      </c>
      <c r="U186" s="19">
        <f ca="1">IF('Stock Price'!$I$11="OK",H186/INDEX(H$5:H$1258,'Stock Price'!$I$9)-1,"")</f>
        <v>-0.12512916862376711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82.501900000000006</v>
      </c>
      <c r="C187" s="18">
        <v>127.2501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-0.40449039988450985</v>
      </c>
      <c r="P187" s="19">
        <f ca="1">IF('Stock Price'!$I$11="OK",C187/INDEX(C$5:C$1258,'Stock Price'!$I$9)-1,"")</f>
        <v>-0.30340714383467915</v>
      </c>
      <c r="Q187" s="19">
        <f ca="1">IF('Stock Price'!$I$11="OK",D187/INDEX(D$5:D$1258,'Stock Price'!$I$9)-1,"")</f>
        <v>0.10064477130767679</v>
      </c>
      <c r="R187" s="19">
        <f ca="1">IF('Stock Price'!$I$11="OK",E187/INDEX(E$5:E$1258,'Stock Price'!$I$9)-1,"")</f>
        <v>-0.17939747327502431</v>
      </c>
      <c r="S187" s="19">
        <f ca="1">IF('Stock Price'!$I$11="OK",F187/INDEX(F$5:F$1258,'Stock Price'!$I$9)-1,"")</f>
        <v>9.0607505701845392E-2</v>
      </c>
      <c r="T187" s="19">
        <f ca="1">IF('Stock Price'!$I$11="OK",G187/INDEX(G$5:G$1258,'Stock Price'!$I$9)-1,"")</f>
        <v>0.56315789473684208</v>
      </c>
      <c r="U187" s="19">
        <f ca="1">IF('Stock Price'!$I$11="OK",H187/INDEX(H$5:H$1258,'Stock Price'!$I$9)-1,"")</f>
        <v>-0.11310474401127291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81.428100000000001</v>
      </c>
      <c r="C188" s="18">
        <v>131.69999999999999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-0.41224122996968382</v>
      </c>
      <c r="P188" s="19">
        <f ca="1">IF('Stock Price'!$I$11="OK",C188/INDEX(C$5:C$1258,'Stock Price'!$I$9)-1,"")</f>
        <v>-0.27904748870945684</v>
      </c>
      <c r="Q188" s="19">
        <f ca="1">IF('Stock Price'!$I$11="OK",D188/INDEX(D$5:D$1258,'Stock Price'!$I$9)-1,"")</f>
        <v>9.1829538585532777E-2</v>
      </c>
      <c r="R188" s="19">
        <f ca="1">IF('Stock Price'!$I$11="OK",E188/INDEX(E$5:E$1258,'Stock Price'!$I$9)-1,"")</f>
        <v>-0.1961127308066084</v>
      </c>
      <c r="S188" s="19">
        <f ca="1">IF('Stock Price'!$I$11="OK",F188/INDEX(F$5:F$1258,'Stock Price'!$I$9)-1,"")</f>
        <v>8.1069873522703784E-2</v>
      </c>
      <c r="T188" s="19">
        <f ca="1">IF('Stock Price'!$I$11="OK",G188/INDEX(G$5:G$1258,'Stock Price'!$I$9)-1,"")</f>
        <v>0.58499999999999996</v>
      </c>
      <c r="U188" s="19">
        <f ca="1">IF('Stock Price'!$I$11="OK",H188/INDEX(H$5:H$1258,'Stock Price'!$I$9)-1,"")</f>
        <v>-0.13677782996712073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82.008499999999998</v>
      </c>
      <c r="C189" s="18">
        <v>131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-0.40805182618738267</v>
      </c>
      <c r="P189" s="19">
        <f ca="1">IF('Stock Price'!$I$11="OK",C189/INDEX(C$5:C$1258,'Stock Price'!$I$9)-1,"")</f>
        <v>-0.28287943068290688</v>
      </c>
      <c r="Q189" s="19">
        <f ca="1">IF('Stock Price'!$I$11="OK",D189/INDEX(D$5:D$1258,'Stock Price'!$I$9)-1,"")</f>
        <v>0.10240781785210551</v>
      </c>
      <c r="R189" s="19">
        <f ca="1">IF('Stock Price'!$I$11="OK",E189/INDEX(E$5:E$1258,'Stock Price'!$I$9)-1,"")</f>
        <v>-0.18736637512147714</v>
      </c>
      <c r="S189" s="19">
        <f ca="1">IF('Stock Price'!$I$11="OK",F189/INDEX(F$5:F$1258,'Stock Price'!$I$9)-1,"")</f>
        <v>9.2058884511714734E-2</v>
      </c>
      <c r="T189" s="19">
        <f ca="1">IF('Stock Price'!$I$11="OK",G189/INDEX(G$5:G$1258,'Stock Price'!$I$9)-1,"")</f>
        <v>0.51631578947368406</v>
      </c>
      <c r="U189" s="19">
        <f ca="1">IF('Stock Price'!$I$11="OK",H189/INDEX(H$5:H$1258,'Stock Price'!$I$9)-1,"")</f>
        <v>-0.13095349929544386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81.776399999999995</v>
      </c>
      <c r="C190" s="18">
        <v>128.91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-0.40972715461238629</v>
      </c>
      <c r="P190" s="19">
        <f ca="1">IF('Stock Price'!$I$11="OK",C190/INDEX(C$5:C$1258,'Stock Price'!$I$9)-1,"")</f>
        <v>-0.29432051457506503</v>
      </c>
      <c r="Q190" s="19">
        <f ca="1">IF('Stock Price'!$I$11="OK",D190/INDEX(D$5:D$1258,'Stock Price'!$I$9)-1,"")</f>
        <v>9.6363086842635504E-2</v>
      </c>
      <c r="R190" s="19">
        <f ca="1">IF('Stock Price'!$I$11="OK",E190/INDEX(E$5:E$1258,'Stock Price'!$I$9)-1,"")</f>
        <v>-0.18931000971817302</v>
      </c>
      <c r="S190" s="19">
        <f ca="1">IF('Stock Price'!$I$11="OK",F190/INDEX(F$5:F$1258,'Stock Price'!$I$9)-1,"")</f>
        <v>3.7321169396641096E-2</v>
      </c>
      <c r="T190" s="19">
        <f ca="1">IF('Stock Price'!$I$11="OK",G190/INDEX(G$5:G$1258,'Stock Price'!$I$9)-1,"")</f>
        <v>0.49263157894736831</v>
      </c>
      <c r="U190" s="19">
        <f ca="1">IF('Stock Price'!$I$11="OK",H190/INDEX(H$5:H$1258,'Stock Price'!$I$9)-1,"")</f>
        <v>-0.1435415688116487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81.611900000000006</v>
      </c>
      <c r="C191" s="18">
        <v>130.75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-0.41091453731774208</v>
      </c>
      <c r="P191" s="19">
        <f ca="1">IF('Stock Price'!$I$11="OK",C191/INDEX(C$5:C$1258,'Stock Price'!$I$9)-1,"")</f>
        <v>-0.28424798138771046</v>
      </c>
      <c r="Q191" s="19">
        <f ca="1">IF('Stock Price'!$I$11="OK",D191/INDEX(D$5:D$1258,'Stock Price'!$I$9)-1,"")</f>
        <v>0.10190409026798308</v>
      </c>
      <c r="R191" s="19">
        <f ca="1">IF('Stock Price'!$I$11="OK",E191/INDEX(E$5:E$1258,'Stock Price'!$I$9)-1,"")</f>
        <v>-0.18347910592808558</v>
      </c>
      <c r="S191" s="19">
        <f ca="1">IF('Stock Price'!$I$11="OK",F191/INDEX(F$5:F$1258,'Stock Price'!$I$9)-1,"")</f>
        <v>5.764047273481232E-2</v>
      </c>
      <c r="T191" s="19">
        <f ca="1">IF('Stock Price'!$I$11="OK",G191/INDEX(G$5:G$1258,'Stock Price'!$I$9)-1,"")</f>
        <v>0.50921052631578956</v>
      </c>
      <c r="U191" s="19">
        <f ca="1">IF('Stock Price'!$I$11="OK",H191/INDEX(H$5:H$1258,'Stock Price'!$I$9)-1,"")</f>
        <v>-0.13179896665100987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81.534499999999994</v>
      </c>
      <c r="C192" s="18">
        <v>124.68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-0.41147322073047499</v>
      </c>
      <c r="P192" s="19">
        <f ca="1">IF('Stock Price'!$I$11="OK",C192/INDEX(C$5:C$1258,'Stock Price'!$I$9)-1,"")</f>
        <v>-0.3174763925003421</v>
      </c>
      <c r="Q192" s="19">
        <f ca="1">IF('Stock Price'!$I$11="OK",D192/INDEX(D$5:D$1258,'Stock Price'!$I$9)-1,"")</f>
        <v>9.0570219625226711E-2</v>
      </c>
      <c r="R192" s="19">
        <f ca="1">IF('Stock Price'!$I$11="OK",E192/INDEX(E$5:E$1258,'Stock Price'!$I$9)-1,"")</f>
        <v>-0.19203109815354713</v>
      </c>
      <c r="S192" s="19">
        <f ca="1">IF('Stock Price'!$I$11="OK",F192/INDEX(F$5:F$1258,'Stock Price'!$I$9)-1,"")</f>
        <v>4.0431266846361336E-2</v>
      </c>
      <c r="T192" s="19">
        <f ca="1">IF('Stock Price'!$I$11="OK",G192/INDEX(G$5:G$1258,'Stock Price'!$I$9)-1,"")</f>
        <v>0.46105263157894738</v>
      </c>
      <c r="U192" s="19">
        <f ca="1">IF('Stock Price'!$I$11="OK",H192/INDEX(H$5:H$1258,'Stock Price'!$I$9)-1,"")</f>
        <v>-0.12973226867073751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81.002399999999994</v>
      </c>
      <c r="C193" s="18">
        <v>130.16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-0.41531398873971415</v>
      </c>
      <c r="P193" s="19">
        <f ca="1">IF('Stock Price'!$I$11="OK",C193/INDEX(C$5:C$1258,'Stock Price'!$I$9)-1,"")</f>
        <v>-0.28747776105104705</v>
      </c>
      <c r="Q193" s="19">
        <f ca="1">IF('Stock Price'!$I$11="OK",D193/INDEX(D$5:D$1258,'Stock Price'!$I$9)-1,"")</f>
        <v>8.5784807576062772E-2</v>
      </c>
      <c r="R193" s="19">
        <f ca="1">IF('Stock Price'!$I$11="OK",E193/INDEX(E$5:E$1258,'Stock Price'!$I$9)-1,"")</f>
        <v>-0.18717201166180764</v>
      </c>
      <c r="S193" s="19">
        <f ca="1">IF('Stock Price'!$I$11="OK",F193/INDEX(F$5:F$1258,'Stock Price'!$I$9)-1,"")</f>
        <v>3.7528509226622431E-2</v>
      </c>
      <c r="T193" s="19">
        <f ca="1">IF('Stock Price'!$I$11="OK",G193/INDEX(G$5:G$1258,'Stock Price'!$I$9)-1,"")</f>
        <v>0.47868421052631582</v>
      </c>
      <c r="U193" s="19">
        <f ca="1">IF('Stock Price'!$I$11="OK",H193/INDEX(H$5:H$1258,'Stock Price'!$I$9)-1,"")</f>
        <v>-0.12512916862376711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81.650599999999997</v>
      </c>
      <c r="C194" s="18">
        <v>131.67500000000001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-0.41063519561137574</v>
      </c>
      <c r="P194" s="19">
        <f ca="1">IF('Stock Price'!$I$11="OK",C194/INDEX(C$5:C$1258,'Stock Price'!$I$9)-1,"")</f>
        <v>-0.27918434377993706</v>
      </c>
      <c r="Q194" s="19">
        <f ca="1">IF('Stock Price'!$I$11="OK",D194/INDEX(D$5:D$1258,'Stock Price'!$I$9)-1,"")</f>
        <v>9.1073947209349138E-2</v>
      </c>
      <c r="R194" s="19">
        <f ca="1">IF('Stock Price'!$I$11="OK",E194/INDEX(E$5:E$1258,'Stock Price'!$I$9)-1,"")</f>
        <v>-0.18736637512147714</v>
      </c>
      <c r="S194" s="19">
        <f ca="1">IF('Stock Price'!$I$11="OK",F194/INDEX(F$5:F$1258,'Stock Price'!$I$9)-1,"")</f>
        <v>4.1260626166286674E-2</v>
      </c>
      <c r="T194" s="19">
        <f ca="1">IF('Stock Price'!$I$11="OK",G194/INDEX(G$5:G$1258,'Stock Price'!$I$9)-1,"")</f>
        <v>0.48921052631578954</v>
      </c>
      <c r="U194" s="19">
        <f ca="1">IF('Stock Price'!$I$11="OK",H194/INDEX(H$5:H$1258,'Stock Price'!$I$9)-1,"")</f>
        <v>-0.12625645843118838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81.592500000000001</v>
      </c>
      <c r="C195" s="18">
        <v>130.5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-0.41105456907752269</v>
      </c>
      <c r="P195" s="19">
        <f ca="1">IF('Stock Price'!$I$11="OK",C195/INDEX(C$5:C$1258,'Stock Price'!$I$9)-1,"")</f>
        <v>-0.28561653209251403</v>
      </c>
      <c r="Q195" s="19">
        <f ca="1">IF('Stock Price'!$I$11="OK",D195/INDEX(D$5:D$1258,'Stock Price'!$I$9)-1,"")</f>
        <v>6.6391295587346244E-2</v>
      </c>
      <c r="R195" s="19">
        <f ca="1">IF('Stock Price'!$I$11="OK",E195/INDEX(E$5:E$1258,'Stock Price'!$I$9)-1,"")</f>
        <v>-0.20058309037900879</v>
      </c>
      <c r="S195" s="19">
        <f ca="1">IF('Stock Price'!$I$11="OK",F195/INDEX(F$5:F$1258,'Stock Price'!$I$9)-1,"")</f>
        <v>4.0016587186398445E-2</v>
      </c>
      <c r="T195" s="19">
        <f ca="1">IF('Stock Price'!$I$11="OK",G195/INDEX(G$5:G$1258,'Stock Price'!$I$9)-1,"")</f>
        <v>0.52184210526315788</v>
      </c>
      <c r="U195" s="19">
        <f ca="1">IF('Stock Price'!$I$11="OK",H195/INDEX(H$5:H$1258,'Stock Price'!$I$9)-1,"")</f>
        <v>-0.12841709722874595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81.737700000000004</v>
      </c>
      <c r="C196" s="18">
        <v>131.21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-0.41000649631875263</v>
      </c>
      <c r="P196" s="19">
        <f ca="1">IF('Stock Price'!$I$11="OK",C196/INDEX(C$5:C$1258,'Stock Price'!$I$9)-1,"")</f>
        <v>-0.28172984809087176</v>
      </c>
      <c r="Q196" s="19">
        <f ca="1">IF('Stock Price'!$I$11="OK",D196/INDEX(D$5:D$1258,'Stock Price'!$I$9)-1,"")</f>
        <v>6.4628249042917529E-2</v>
      </c>
      <c r="R196" s="19">
        <f ca="1">IF('Stock Price'!$I$11="OK",E196/INDEX(E$5:E$1258,'Stock Price'!$I$9)-1,"")</f>
        <v>-0.19241982507288635</v>
      </c>
      <c r="S196" s="19">
        <f ca="1">IF('Stock Price'!$I$11="OK",F196/INDEX(F$5:F$1258,'Stock Price'!$I$9)-1,"")</f>
        <v>4.2712004976156015E-2</v>
      </c>
      <c r="T196" s="19">
        <f ca="1">IF('Stock Price'!$I$11="OK",G196/INDEX(G$5:G$1258,'Stock Price'!$I$9)-1,"")</f>
        <v>0.47763157894736841</v>
      </c>
      <c r="U196" s="19">
        <f ca="1">IF('Stock Price'!$I$11="OK",H196/INDEX(H$5:H$1258,'Stock Price'!$I$9)-1,"")</f>
        <v>-0.1141380930014092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81.205600000000004</v>
      </c>
      <c r="C197" s="18">
        <v>132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-0.4138472643279919</v>
      </c>
      <c r="P197" s="19">
        <f ca="1">IF('Stock Price'!$I$11="OK",C197/INDEX(C$5:C$1258,'Stock Price'!$I$9)-1,"")</f>
        <v>-0.27740522786369237</v>
      </c>
      <c r="Q197" s="19">
        <f ca="1">IF('Stock Price'!$I$11="OK",D197/INDEX(D$5:D$1258,'Stock Price'!$I$9)-1,"")</f>
        <v>4.37235543018335E-2</v>
      </c>
      <c r="R197" s="19">
        <f ca="1">IF('Stock Price'!$I$11="OK",E197/INDEX(E$5:E$1258,'Stock Price'!$I$9)-1,"")</f>
        <v>-0.19086491739552969</v>
      </c>
      <c r="S197" s="19">
        <f ca="1">IF('Stock Price'!$I$11="OK",F197/INDEX(F$5:F$1258,'Stock Price'!$I$9)-1,"")</f>
        <v>4.0223927016380001E-2</v>
      </c>
      <c r="T197" s="19">
        <f ca="1">IF('Stock Price'!$I$11="OK",G197/INDEX(G$5:G$1258,'Stock Price'!$I$9)-1,"")</f>
        <v>0.48526315789473684</v>
      </c>
      <c r="U197" s="19">
        <f ca="1">IF('Stock Price'!$I$11="OK",H197/INDEX(H$5:H$1258,'Stock Price'!$I$9)-1,"")</f>
        <v>-0.12071395021136688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80.305899999999994</v>
      </c>
      <c r="C198" s="18">
        <v>129.97999999999999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-0.42034141764111443</v>
      </c>
      <c r="P198" s="19">
        <f ca="1">IF('Stock Price'!$I$11="OK",C198/INDEX(C$5:C$1258,'Stock Price'!$I$9)-1,"")</f>
        <v>-0.28846311755850562</v>
      </c>
      <c r="Q198" s="19">
        <f ca="1">IF('Stock Price'!$I$11="OK",D198/INDEX(D$5:D$1258,'Stock Price'!$I$9)-1,"")</f>
        <v>3.0626637114648414E-2</v>
      </c>
      <c r="R198" s="19">
        <f ca="1">IF('Stock Price'!$I$11="OK",E198/INDEX(E$5:E$1258,'Stock Price'!$I$9)-1,"")</f>
        <v>-0.19203109815354713</v>
      </c>
      <c r="S198" s="19">
        <f ca="1">IF('Stock Price'!$I$11="OK",F198/INDEX(F$5:F$1258,'Stock Price'!$I$9)-1,"")</f>
        <v>3.2759693137051737E-2</v>
      </c>
      <c r="T198" s="19">
        <f ca="1">IF('Stock Price'!$I$11="OK",G198/INDEX(G$5:G$1258,'Stock Price'!$I$9)-1,"")</f>
        <v>0.47763157894736841</v>
      </c>
      <c r="U198" s="19">
        <f ca="1">IF('Stock Price'!$I$11="OK",H198/INDEX(H$5:H$1258,'Stock Price'!$I$9)-1,"")</f>
        <v>-0.11911695631752006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79.909199999999998</v>
      </c>
      <c r="C199" s="18">
        <v>129.32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-0.42320485058466861</v>
      </c>
      <c r="P199" s="19">
        <f ca="1">IF('Stock Price'!$I$11="OK",C199/INDEX(C$5:C$1258,'Stock Price'!$I$9)-1,"")</f>
        <v>-0.29207609141918711</v>
      </c>
      <c r="Q199" s="19">
        <f ca="1">IF('Stock Price'!$I$11="OK",D199/INDEX(D$5:D$1258,'Stock Price'!$I$9)-1,"")</f>
        <v>1.2996171670360601E-2</v>
      </c>
      <c r="R199" s="19">
        <f ca="1">IF('Stock Price'!$I$11="OK",E199/INDEX(E$5:E$1258,'Stock Price'!$I$9)-1,"")</f>
        <v>-0.19475218658892135</v>
      </c>
      <c r="S199" s="19">
        <f ca="1">IF('Stock Price'!$I$11="OK",F199/INDEX(F$5:F$1258,'Stock Price'!$I$9)-1,"")</f>
        <v>2.5502799087704808E-2</v>
      </c>
      <c r="T199" s="19">
        <f ca="1">IF('Stock Price'!$I$11="OK",G199/INDEX(G$5:G$1258,'Stock Price'!$I$9)-1,"")</f>
        <v>0.43210526315789477</v>
      </c>
      <c r="U199" s="19">
        <f ca="1">IF('Stock Price'!$I$11="OK",H199/INDEX(H$5:H$1258,'Stock Price'!$I$9)-1,"")</f>
        <v>-0.11808360732738377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81.882800000000003</v>
      </c>
      <c r="C200" s="18">
        <v>131.26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-0.40895914537317735</v>
      </c>
      <c r="P200" s="19">
        <f ca="1">IF('Stock Price'!$I$11="OK",C200/INDEX(C$5:C$1258,'Stock Price'!$I$9)-1,"")</f>
        <v>-0.28145613794991109</v>
      </c>
      <c r="Q200" s="19">
        <f ca="1">IF('Stock Price'!$I$11="OK",D200/INDEX(D$5:D$1258,'Stock Price'!$I$9)-1,"")</f>
        <v>3.8938142252669783E-2</v>
      </c>
      <c r="R200" s="19">
        <f ca="1">IF('Stock Price'!$I$11="OK",E200/INDEX(E$5:E$1258,'Stock Price'!$I$9)-1,"")</f>
        <v>-0.17473275024295432</v>
      </c>
      <c r="S200" s="19">
        <f ca="1">IF('Stock Price'!$I$11="OK",F200/INDEX(F$5:F$1258,'Stock Price'!$I$9)-1,"")</f>
        <v>4.665146174580137E-2</v>
      </c>
      <c r="T200" s="19">
        <f ca="1">IF('Stock Price'!$I$11="OK",G200/INDEX(G$5:G$1258,'Stock Price'!$I$9)-1,"")</f>
        <v>0.46394736842105266</v>
      </c>
      <c r="U200" s="19">
        <f ca="1">IF('Stock Price'!$I$11="OK",H200/INDEX(H$5:H$1258,'Stock Price'!$I$9)-1,"")</f>
        <v>-0.10793799906059187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80.006</v>
      </c>
      <c r="C201" s="18">
        <v>133.9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-0.42250613541215531</v>
      </c>
      <c r="P201" s="19">
        <f ca="1">IF('Stock Price'!$I$11="OK",C201/INDEX(C$5:C$1258,'Stock Price'!$I$9)-1,"")</f>
        <v>-0.26700424250718491</v>
      </c>
      <c r="Q201" s="19">
        <f ca="1">IF('Stock Price'!$I$11="OK",D201/INDEX(D$5:D$1258,'Stock Price'!$I$9)-1,"")</f>
        <v>1.7781583719524541E-2</v>
      </c>
      <c r="R201" s="19">
        <f ca="1">IF('Stock Price'!$I$11="OK",E201/INDEX(E$5:E$1258,'Stock Price'!$I$9)-1,"")</f>
        <v>-0.18756073858114686</v>
      </c>
      <c r="S201" s="19">
        <f ca="1">IF('Stock Price'!$I$11="OK",F201/INDEX(F$5:F$1258,'Stock Price'!$I$9)-1,"")</f>
        <v>3.980924735641711E-2</v>
      </c>
      <c r="T201" s="19">
        <f ca="1">IF('Stock Price'!$I$11="OK",G201/INDEX(G$5:G$1258,'Stock Price'!$I$9)-1,"")</f>
        <v>0.45868421052631581</v>
      </c>
      <c r="U201" s="19">
        <f ca="1">IF('Stock Price'!$I$11="OK",H201/INDEX(H$5:H$1258,'Stock Price'!$I$9)-1,"")</f>
        <v>-0.13255049318929069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83.198499999999996</v>
      </c>
      <c r="C202" s="18">
        <v>134.55000000000001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-0.3994622491699148</v>
      </c>
      <c r="P202" s="19">
        <f ca="1">IF('Stock Price'!$I$11="OK",C202/INDEX(C$5:C$1258,'Stock Price'!$I$9)-1,"")</f>
        <v>-0.26344601067469553</v>
      </c>
      <c r="Q202" s="19">
        <f ca="1">IF('Stock Price'!$I$11="OK",D202/INDEX(D$5:D$1258,'Stock Price'!$I$9)-1,"")</f>
        <v>-0.1152528712472296</v>
      </c>
      <c r="R202" s="19">
        <f ca="1">IF('Stock Price'!$I$11="OK",E202/INDEX(E$5:E$1258,'Stock Price'!$I$9)-1,"")</f>
        <v>-0.16870748299319727</v>
      </c>
      <c r="S202" s="19">
        <f ca="1">IF('Stock Price'!$I$11="OK",F202/INDEX(F$5:F$1258,'Stock Price'!$I$9)-1,"")</f>
        <v>6.9873522703711499E-2</v>
      </c>
      <c r="T202" s="19">
        <f ca="1">IF('Stock Price'!$I$11="OK",G202/INDEX(G$5:G$1258,'Stock Price'!$I$9)-1,"")</f>
        <v>0.52815789473684216</v>
      </c>
      <c r="U202" s="19">
        <f ca="1">IF('Stock Price'!$I$11="OK",H202/INDEX(H$5:H$1258,'Stock Price'!$I$9)-1,"")</f>
        <v>-0.13236261155472051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81.476500000000001</v>
      </c>
      <c r="C203" s="18">
        <v>129.91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-0.41189187238342717</v>
      </c>
      <c r="P203" s="19">
        <f ca="1">IF('Stock Price'!$I$11="OK",C203/INDEX(C$5:C$1258,'Stock Price'!$I$9)-1,"")</f>
        <v>-0.28884631175585063</v>
      </c>
      <c r="Q203" s="19">
        <f ca="1">IF('Stock Price'!$I$11="OK",D203/INDEX(D$5:D$1258,'Stock Price'!$I$9)-1,"")</f>
        <v>-0.16179730002014914</v>
      </c>
      <c r="R203" s="19">
        <f ca="1">IF('Stock Price'!$I$11="OK",E203/INDEX(E$5:E$1258,'Stock Price'!$I$9)-1,"")</f>
        <v>-0.18017492711370264</v>
      </c>
      <c r="S203" s="19">
        <f ca="1">IF('Stock Price'!$I$11="OK",F203/INDEX(F$5:F$1258,'Stock Price'!$I$9)-1,"")</f>
        <v>3.4418411776902413E-2</v>
      </c>
      <c r="T203" s="19">
        <f ca="1">IF('Stock Price'!$I$11="OK",G203/INDEX(G$5:G$1258,'Stock Price'!$I$9)-1,"")</f>
        <v>0.54842105263157914</v>
      </c>
      <c r="U203" s="19">
        <f ca="1">IF('Stock Price'!$I$11="OK",H203/INDEX(H$5:H$1258,'Stock Price'!$I$9)-1,"")</f>
        <v>-0.15782057303898545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83.092100000000002</v>
      </c>
      <c r="C204" s="18">
        <v>125.55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-0.40023025840912363</v>
      </c>
      <c r="P204" s="19">
        <f ca="1">IF('Stock Price'!$I$11="OK",C204/INDEX(C$5:C$1258,'Stock Price'!$I$9)-1,"")</f>
        <v>-0.31271383604762559</v>
      </c>
      <c r="Q204" s="19">
        <f ca="1">IF('Stock Price'!$I$11="OK",D204/INDEX(D$5:D$1258,'Stock Price'!$I$9)-1,"")</f>
        <v>-0.15414064074148714</v>
      </c>
      <c r="R204" s="19">
        <f ca="1">IF('Stock Price'!$I$11="OK",E204/INDEX(E$5:E$1258,'Stock Price'!$I$9)-1,"")</f>
        <v>-0.18445092322643342</v>
      </c>
      <c r="S204" s="19">
        <f ca="1">IF('Stock Price'!$I$11="OK",F204/INDEX(F$5:F$1258,'Stock Price'!$I$9)-1,"")</f>
        <v>3.5869790586771755E-2</v>
      </c>
      <c r="T204" s="19">
        <f ca="1">IF('Stock Price'!$I$11="OK",G204/INDEX(G$5:G$1258,'Stock Price'!$I$9)-1,"")</f>
        <v>0.51052631578947372</v>
      </c>
      <c r="U204" s="19">
        <f ca="1">IF('Stock Price'!$I$11="OK",H204/INDEX(H$5:H$1258,'Stock Price'!$I$9)-1,"")</f>
        <v>-0.15321747299201505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83.072699999999998</v>
      </c>
      <c r="C205" s="18">
        <v>128.64009999999999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-0.40037029016890424</v>
      </c>
      <c r="P205" s="19">
        <f ca="1">IF('Stock Price'!$I$11="OK",C205/INDEX(C$5:C$1258,'Stock Price'!$I$9)-1,"")</f>
        <v>-0.29579800191597105</v>
      </c>
      <c r="Q205" s="19">
        <f ca="1">IF('Stock Price'!$I$11="OK",D205/INDEX(D$5:D$1258,'Stock Price'!$I$9)-1,"")</f>
        <v>-0.14789441869836795</v>
      </c>
      <c r="R205" s="19">
        <f ca="1">IF('Stock Price'!$I$11="OK",E205/INDEX(E$5:E$1258,'Stock Price'!$I$9)-1,"")</f>
        <v>-0.18211856171039853</v>
      </c>
      <c r="S205" s="19">
        <f ca="1">IF('Stock Price'!$I$11="OK",F205/INDEX(F$5:F$1258,'Stock Price'!$I$9)-1,"")</f>
        <v>3.3174372797014406E-2</v>
      </c>
      <c r="T205" s="19">
        <f ca="1">IF('Stock Price'!$I$11="OK",G205/INDEX(G$5:G$1258,'Stock Price'!$I$9)-1,"")</f>
        <v>0.4944736842105264</v>
      </c>
      <c r="U205" s="19">
        <f ca="1">IF('Stock Price'!$I$11="OK",H205/INDEX(H$5:H$1258,'Stock Price'!$I$9)-1,"")</f>
        <v>-0.15349929544387042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83.275899999999993</v>
      </c>
      <c r="C206" s="18">
        <v>129.06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-0.39890356575718211</v>
      </c>
      <c r="P206" s="19">
        <f ca="1">IF('Stock Price'!$I$11="OK",C206/INDEX(C$5:C$1258,'Stock Price'!$I$9)-1,"")</f>
        <v>-0.29349938415218291</v>
      </c>
      <c r="Q206" s="19">
        <f ca="1">IF('Stock Price'!$I$11="OK",D206/INDEX(D$5:D$1258,'Stock Price'!$I$9)-1,"")</f>
        <v>-0.15051380213580512</v>
      </c>
      <c r="R206" s="19">
        <f ca="1">IF('Stock Price'!$I$11="OK",E206/INDEX(E$5:E$1258,'Stock Price'!$I$9)-1,"")</f>
        <v>-0.17414965986394559</v>
      </c>
      <c r="S206" s="19">
        <f ca="1">IF('Stock Price'!$I$11="OK",F206/INDEX(F$5:F$1258,'Stock Price'!$I$9)-1,"")</f>
        <v>4.3126684636118684E-2</v>
      </c>
      <c r="T206" s="19">
        <f ca="1">IF('Stock Price'!$I$11="OK",G206/INDEX(G$5:G$1258,'Stock Price'!$I$9)-1,"")</f>
        <v>0.51815789473684215</v>
      </c>
      <c r="U206" s="19">
        <f ca="1">IF('Stock Price'!$I$11="OK",H206/INDEX(H$5:H$1258,'Stock Price'!$I$9)-1,"")</f>
        <v>-0.14955378111789575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84.011099999999999</v>
      </c>
      <c r="C207" s="18">
        <v>131.30000000000001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-0.39359679514941526</v>
      </c>
      <c r="P207" s="19">
        <f ca="1">IF('Stock Price'!$I$11="OK",C207/INDEX(C$5:C$1258,'Stock Price'!$I$9)-1,"")</f>
        <v>-0.28123716983714242</v>
      </c>
      <c r="Q207" s="19">
        <f ca="1">IF('Stock Price'!$I$11="OK",D207/INDEX(D$5:D$1258,'Stock Price'!$I$9)-1,"")</f>
        <v>-0.14326012492444085</v>
      </c>
      <c r="R207" s="19">
        <f ca="1">IF('Stock Price'!$I$11="OK",E207/INDEX(E$5:E$1258,'Stock Price'!$I$9)-1,"")</f>
        <v>-0.16559766763848405</v>
      </c>
      <c r="S207" s="19">
        <f ca="1">IF('Stock Price'!$I$11="OK",F207/INDEX(F$5:F$1258,'Stock Price'!$I$9)-1,"")</f>
        <v>4.3956043956044022E-2</v>
      </c>
      <c r="T207" s="19">
        <f ca="1">IF('Stock Price'!$I$11="OK",G207/INDEX(G$5:G$1258,'Stock Price'!$I$9)-1,"")</f>
        <v>0.51815789473684215</v>
      </c>
      <c r="U207" s="19">
        <f ca="1">IF('Stock Price'!$I$11="OK",H207/INDEX(H$5:H$1258,'Stock Price'!$I$9)-1,"")</f>
        <v>-0.14241427900422732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83.924000000000007</v>
      </c>
      <c r="C208" s="18">
        <v>134.29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-0.39422549444203836</v>
      </c>
      <c r="P208" s="19">
        <f ca="1">IF('Stock Price'!$I$11="OK",C208/INDEX(C$5:C$1258,'Stock Price'!$I$9)-1,"")</f>
        <v>-0.26486930340769133</v>
      </c>
      <c r="Q208" s="19">
        <f ca="1">IF('Stock Price'!$I$11="OK",D208/INDEX(D$5:D$1258,'Stock Price'!$I$9)-1,"")</f>
        <v>-0.12270803949224263</v>
      </c>
      <c r="R208" s="19">
        <f ca="1">IF('Stock Price'!$I$11="OK",E208/INDEX(E$5:E$1258,'Stock Price'!$I$9)-1,"")</f>
        <v>-0.17123420796890187</v>
      </c>
      <c r="S208" s="19">
        <f ca="1">IF('Stock Price'!$I$11="OK",F208/INDEX(F$5:F$1258,'Stock Price'!$I$9)-1,"")</f>
        <v>5.577441426498031E-2</v>
      </c>
      <c r="T208" s="19">
        <f ca="1">IF('Stock Price'!$I$11="OK",G208/INDEX(G$5:G$1258,'Stock Price'!$I$9)-1,"")</f>
        <v>0.50052631578947371</v>
      </c>
      <c r="U208" s="19">
        <f ca="1">IF('Stock Price'!$I$11="OK",H208/INDEX(H$5:H$1258,'Stock Price'!$I$9)-1,"")</f>
        <v>-0.14297792390793795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84.417400000000001</v>
      </c>
      <c r="C209" s="18">
        <v>131.1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-0.39066406813916554</v>
      </c>
      <c r="P209" s="19">
        <f ca="1">IF('Stock Price'!$I$11="OK",C209/INDEX(C$5:C$1258,'Stock Price'!$I$9)-1,"")</f>
        <v>-0.28233201040098543</v>
      </c>
      <c r="Q209" s="19">
        <f ca="1">IF('Stock Price'!$I$11="OK",D209/INDEX(D$5:D$1258,'Stock Price'!$I$9)-1,"")</f>
        <v>-0.13499899254483183</v>
      </c>
      <c r="R209" s="19">
        <f ca="1">IF('Stock Price'!$I$11="OK",E209/INDEX(E$5:E$1258,'Stock Price'!$I$9)-1,"")</f>
        <v>-0.17570456754130237</v>
      </c>
      <c r="S209" s="19">
        <f ca="1">IF('Stock Price'!$I$11="OK",F209/INDEX(F$5:F$1258,'Stock Price'!$I$9)-1,"")</f>
        <v>5.577441426498031E-2</v>
      </c>
      <c r="T209" s="19">
        <f ca="1">IF('Stock Price'!$I$11="OK",G209/INDEX(G$5:G$1258,'Stock Price'!$I$9)-1,"")</f>
        <v>0.5</v>
      </c>
      <c r="U209" s="19">
        <f ca="1">IF('Stock Price'!$I$11="OK",H209/INDEX(H$5:H$1258,'Stock Price'!$I$9)-1,"")</f>
        <v>-0.15509628933771724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83.034000000000006</v>
      </c>
      <c r="C210" s="18">
        <v>130.72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-0.40064963187527058</v>
      </c>
      <c r="P210" s="19">
        <f ca="1">IF('Stock Price'!$I$11="OK",C210/INDEX(C$5:C$1258,'Stock Price'!$I$9)-1,"")</f>
        <v>-0.2844122074722869</v>
      </c>
      <c r="Q210" s="19">
        <f ca="1">IF('Stock Price'!$I$11="OK",D210/INDEX(D$5:D$1258,'Stock Price'!$I$9)-1,"")</f>
        <v>-0.15031231110215593</v>
      </c>
      <c r="R210" s="19">
        <f ca="1">IF('Stock Price'!$I$11="OK",E210/INDEX(E$5:E$1258,'Stock Price'!$I$9)-1,"")</f>
        <v>-0.19397473275024302</v>
      </c>
      <c r="S210" s="19">
        <f ca="1">IF('Stock Price'!$I$11="OK",F210/INDEX(F$5:F$1258,'Stock Price'!$I$9)-1,"")</f>
        <v>3.0478955007257058E-2</v>
      </c>
      <c r="T210" s="19">
        <f ca="1">IF('Stock Price'!$I$11="OK",G210/INDEX(G$5:G$1258,'Stock Price'!$I$9)-1,"")</f>
        <v>0.5</v>
      </c>
      <c r="U210" s="19">
        <f ca="1">IF('Stock Price'!$I$11="OK",H210/INDEX(H$5:H$1258,'Stock Price'!$I$9)-1,"")</f>
        <v>-0.16073273837482382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82.840500000000006</v>
      </c>
      <c r="C211" s="18">
        <v>132.63999999999999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-0.40204634040710252</v>
      </c>
      <c r="P211" s="19">
        <f ca="1">IF('Stock Price'!$I$11="OK",C211/INDEX(C$5:C$1258,'Stock Price'!$I$9)-1,"")</f>
        <v>-0.27390173805939522</v>
      </c>
      <c r="Q211" s="19">
        <f ca="1">IF('Stock Price'!$I$11="OK",D211/INDEX(D$5:D$1258,'Stock Price'!$I$9)-1,"")</f>
        <v>-0.16119282691920211</v>
      </c>
      <c r="R211" s="19">
        <f ca="1">IF('Stock Price'!$I$11="OK",E211/INDEX(E$5:E$1258,'Stock Price'!$I$9)-1,"")</f>
        <v>-0.19727891156462596</v>
      </c>
      <c r="S211" s="19">
        <f ca="1">IF('Stock Price'!$I$11="OK",F211/INDEX(F$5:F$1258,'Stock Price'!$I$9)-1,"")</f>
        <v>1.3891768608749855E-2</v>
      </c>
      <c r="T211" s="19">
        <f ca="1">IF('Stock Price'!$I$11="OK",G211/INDEX(G$5:G$1258,'Stock Price'!$I$9)-1,"")</f>
        <v>0.49263157894736831</v>
      </c>
      <c r="U211" s="19">
        <f ca="1">IF('Stock Price'!$I$11="OK",H211/INDEX(H$5:H$1258,'Stock Price'!$I$9)-1,"")</f>
        <v>-0.1683419445749178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82.289100000000005</v>
      </c>
      <c r="C212" s="18">
        <v>130.30000000000001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-0.40602641836292763</v>
      </c>
      <c r="P212" s="19">
        <f ca="1">IF('Stock Price'!$I$11="OK",C212/INDEX(C$5:C$1258,'Stock Price'!$I$9)-1,"")</f>
        <v>-0.28671137265635693</v>
      </c>
      <c r="Q212" s="19">
        <f ca="1">IF('Stock Price'!$I$11="OK",D212/INDEX(D$5:D$1258,'Stock Price'!$I$9)-1,"")</f>
        <v>-0.17025992343340723</v>
      </c>
      <c r="R212" s="19">
        <f ca="1">IF('Stock Price'!$I$11="OK",E212/INDEX(E$5:E$1258,'Stock Price'!$I$9)-1,"")</f>
        <v>-0.19766763848396507</v>
      </c>
      <c r="S212" s="19">
        <f ca="1">IF('Stock Price'!$I$11="OK",F212/INDEX(F$5:F$1258,'Stock Price'!$I$9)-1,"")</f>
        <v>1.1818370308936288E-2</v>
      </c>
      <c r="T212" s="19">
        <f ca="1">IF('Stock Price'!$I$11="OK",G212/INDEX(G$5:G$1258,'Stock Price'!$I$9)-1,"")</f>
        <v>0.52631578947368429</v>
      </c>
      <c r="U212" s="19">
        <f ca="1">IF('Stock Price'!$I$11="OK",H212/INDEX(H$5:H$1258,'Stock Price'!$I$9)-1,"")</f>
        <v>-0.17698449976514796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82.095600000000005</v>
      </c>
      <c r="C213" s="18">
        <v>130.30000000000001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-0.40742312689475957</v>
      </c>
      <c r="P213" s="19">
        <f ca="1">IF('Stock Price'!$I$11="OK",C213/INDEX(C$5:C$1258,'Stock Price'!$I$9)-1,"")</f>
        <v>-0.28671137265635693</v>
      </c>
      <c r="Q213" s="19">
        <f ca="1">IF('Stock Price'!$I$11="OK",D213/INDEX(D$5:D$1258,'Stock Price'!$I$9)-1,"")</f>
        <v>-0.1775136006447714</v>
      </c>
      <c r="R213" s="19">
        <f ca="1">IF('Stock Price'!$I$11="OK",E213/INDEX(E$5:E$1258,'Stock Price'!$I$9)-1,"")</f>
        <v>-0.19203109815354713</v>
      </c>
      <c r="S213" s="19">
        <f ca="1">IF('Stock Price'!$I$11="OK",F213/INDEX(F$5:F$1258,'Stock Price'!$I$9)-1,"")</f>
        <v>1.2647729628861848E-2</v>
      </c>
      <c r="T213" s="19">
        <f ca="1">IF('Stock Price'!$I$11="OK",G213/INDEX(G$5:G$1258,'Stock Price'!$I$9)-1,"")</f>
        <v>0.54631578947368409</v>
      </c>
      <c r="U213" s="19">
        <f ca="1">IF('Stock Price'!$I$11="OK",H213/INDEX(H$5:H$1258,'Stock Price'!$I$9)-1,"")</f>
        <v>-0.17689055894786287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82.453599999999994</v>
      </c>
      <c r="C214" s="18">
        <v>133.34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-0.40483903565757184</v>
      </c>
      <c r="P214" s="19">
        <f ca="1">IF('Stock Price'!$I$11="OK",C214/INDEX(C$5:C$1258,'Stock Price'!$I$9)-1,"")</f>
        <v>-0.27006979608594506</v>
      </c>
      <c r="Q214" s="19">
        <f ca="1">IF('Stock Price'!$I$11="OK",D214/INDEX(D$5:D$1258,'Stock Price'!$I$9)-1,"")</f>
        <v>-0.18194640338504942</v>
      </c>
      <c r="R214" s="19">
        <f ca="1">IF('Stock Price'!$I$11="OK",E214/INDEX(E$5:E$1258,'Stock Price'!$I$9)-1,"")</f>
        <v>-0.19922254616132162</v>
      </c>
      <c r="S214" s="19">
        <f ca="1">IF('Stock Price'!$I$11="OK",F214/INDEX(F$5:F$1258,'Stock Price'!$I$9)-1,"")</f>
        <v>1.9697283848227221E-2</v>
      </c>
      <c r="T214" s="19">
        <f ca="1">IF('Stock Price'!$I$11="OK",G214/INDEX(G$5:G$1258,'Stock Price'!$I$9)-1,"")</f>
        <v>0.50736842105263169</v>
      </c>
      <c r="U214" s="19">
        <f ca="1">IF('Stock Price'!$I$11="OK",H214/INDEX(H$5:H$1258,'Stock Price'!$I$9)-1,"")</f>
        <v>-0.18440582433067176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82.782499999999999</v>
      </c>
      <c r="C215" s="18">
        <v>128.16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-0.40246499206005482</v>
      </c>
      <c r="P215" s="19">
        <f ca="1">IF('Stock Price'!$I$11="OK",C215/INDEX(C$5:C$1258,'Stock Price'!$I$9)-1,"")</f>
        <v>-0.29842616668947586</v>
      </c>
      <c r="Q215" s="19">
        <f ca="1">IF('Stock Price'!$I$11="OK",D215/INDEX(D$5:D$1258,'Stock Price'!$I$9)-1,"")</f>
        <v>-0.18255087648599644</v>
      </c>
      <c r="R215" s="19">
        <f ca="1">IF('Stock Price'!$I$11="OK",E215/INDEX(E$5:E$1258,'Stock Price'!$I$9)-1,"")</f>
        <v>-0.20000000000000007</v>
      </c>
      <c r="S215" s="19">
        <f ca="1">IF('Stock Price'!$I$11="OK",F215/INDEX(F$5:F$1258,'Stock Price'!$I$9)-1,"")</f>
        <v>3.0686294837238393E-2</v>
      </c>
      <c r="T215" s="19">
        <f ca="1">IF('Stock Price'!$I$11="OK",G215/INDEX(G$5:G$1258,'Stock Price'!$I$9)-1,"")</f>
        <v>0.40210526315789474</v>
      </c>
      <c r="U215" s="19">
        <f ca="1">IF('Stock Price'!$I$11="OK",H215/INDEX(H$5:H$1258,'Stock Price'!$I$9)-1,"")</f>
        <v>-0.17886331611085027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83.1404</v>
      </c>
      <c r="C216" s="18">
        <v>133.34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-0.39988162263606175</v>
      </c>
      <c r="P216" s="19">
        <f ca="1">IF('Stock Price'!$I$11="OK",C216/INDEX(C$5:C$1258,'Stock Price'!$I$9)-1,"")</f>
        <v>-0.27006979608594506</v>
      </c>
      <c r="Q216" s="19">
        <f ca="1">IF('Stock Price'!$I$11="OK",D216/INDEX(D$5:D$1258,'Stock Price'!$I$9)-1,"")</f>
        <v>-0.18778964336087045</v>
      </c>
      <c r="R216" s="19">
        <f ca="1">IF('Stock Price'!$I$11="OK",E216/INDEX(E$5:E$1258,'Stock Price'!$I$9)-1,"")</f>
        <v>-0.1961127308066084</v>
      </c>
      <c r="S216" s="19">
        <f ca="1">IF('Stock Price'!$I$11="OK",F216/INDEX(F$5:F$1258,'Stock Price'!$I$9)-1,"")</f>
        <v>1.7623885548413876E-2</v>
      </c>
      <c r="T216" s="19">
        <f ca="1">IF('Stock Price'!$I$11="OK",G216/INDEX(G$5:G$1258,'Stock Price'!$I$9)-1,"")</f>
        <v>0.39342105263157912</v>
      </c>
      <c r="U216" s="19">
        <f ca="1">IF('Stock Price'!$I$11="OK",H216/INDEX(H$5:H$1258,'Stock Price'!$I$9)-1,"")</f>
        <v>-0.16871770784405826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84.311000000000007</v>
      </c>
      <c r="C217" s="18">
        <v>128.16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-0.39143207737837438</v>
      </c>
      <c r="P217" s="19">
        <f ca="1">IF('Stock Price'!$I$11="OK",C217/INDEX(C$5:C$1258,'Stock Price'!$I$9)-1,"")</f>
        <v>-0.29842616668947586</v>
      </c>
      <c r="Q217" s="19">
        <f ca="1">IF('Stock Price'!$I$11="OK",D217/INDEX(D$5:D$1258,'Stock Price'!$I$9)-1,"")</f>
        <v>-0.19343139230304252</v>
      </c>
      <c r="R217" s="19">
        <f ca="1">IF('Stock Price'!$I$11="OK",E217/INDEX(E$5:E$1258,'Stock Price'!$I$9)-1,"")</f>
        <v>-0.19241982507288635</v>
      </c>
      <c r="S217" s="19">
        <f ca="1">IF('Stock Price'!$I$11="OK",F217/INDEX(F$5:F$1258,'Stock Price'!$I$9)-1,"")</f>
        <v>8.9156126891976051E-3</v>
      </c>
      <c r="T217" s="19">
        <f ca="1">IF('Stock Price'!$I$11="OK",G217/INDEX(G$5:G$1258,'Stock Price'!$I$9)-1,"")</f>
        <v>0.37263157894736842</v>
      </c>
      <c r="U217" s="19">
        <f ca="1">IF('Stock Price'!$I$11="OK",H217/INDEX(H$5:H$1258,'Stock Price'!$I$9)-1,"")</f>
        <v>-0.15904180366369192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84.581900000000005</v>
      </c>
      <c r="C218" s="18">
        <v>132.43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-0.38947668543380964</v>
      </c>
      <c r="P218" s="19">
        <f ca="1">IF('Stock Price'!$I$11="OK",C218/INDEX(C$5:C$1258,'Stock Price'!$I$9)-1,"")</f>
        <v>-0.27505132065143012</v>
      </c>
      <c r="Q218" s="19">
        <f ca="1">IF('Stock Price'!$I$11="OK",D218/INDEX(D$5:D$1258,'Stock Price'!$I$9)-1,"")</f>
        <v>-0.22828934112432009</v>
      </c>
      <c r="R218" s="19">
        <f ca="1">IF('Stock Price'!$I$11="OK",E218/INDEX(E$5:E$1258,'Stock Price'!$I$9)-1,"")</f>
        <v>-0.18192419825072881</v>
      </c>
      <c r="S218" s="19">
        <f ca="1">IF('Stock Price'!$I$11="OK",F218/INDEX(F$5:F$1258,'Stock Price'!$I$9)-1,"")</f>
        <v>-6.2823968484345682E-2</v>
      </c>
      <c r="T218" s="19">
        <f ca="1">IF('Stock Price'!$I$11="OK",G218/INDEX(G$5:G$1258,'Stock Price'!$I$9)-1,"")</f>
        <v>0.36578947368421044</v>
      </c>
      <c r="U218" s="19">
        <f ca="1">IF('Stock Price'!$I$11="OK",H218/INDEX(H$5:H$1258,'Stock Price'!$I$9)-1,"")</f>
        <v>-0.16214185063410058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82.792199999999994</v>
      </c>
      <c r="C219" s="18">
        <v>128.51499999999999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-0.40239497618016462</v>
      </c>
      <c r="P219" s="19">
        <f ca="1">IF('Stock Price'!$I$11="OK",C219/INDEX(C$5:C$1258,'Stock Price'!$I$9)-1,"")</f>
        <v>-0.29648282468865483</v>
      </c>
      <c r="Q219" s="19">
        <f ca="1">IF('Stock Price'!$I$11="OK",D219/INDEX(D$5:D$1258,'Stock Price'!$I$9)-1,"")</f>
        <v>-0.28007253677211374</v>
      </c>
      <c r="R219" s="19">
        <f ca="1">IF('Stock Price'!$I$11="OK",E219/INDEX(E$5:E$1258,'Stock Price'!$I$9)-1,"")</f>
        <v>-0.20233236151603506</v>
      </c>
      <c r="S219" s="19">
        <f ca="1">IF('Stock Price'!$I$11="OK",F219/INDEX(F$5:F$1258,'Stock Price'!$I$9)-1,"")</f>
        <v>-9.973045822102411E-2</v>
      </c>
      <c r="T219" s="19">
        <f ca="1">IF('Stock Price'!$I$11="OK",G219/INDEX(G$5:G$1258,'Stock Price'!$I$9)-1,"")</f>
        <v>0.3600000000000001</v>
      </c>
      <c r="U219" s="19">
        <f ca="1">IF('Stock Price'!$I$11="OK",H219/INDEX(H$5:H$1258,'Stock Price'!$I$9)-1,"")</f>
        <v>-0.1645843118835133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82.888900000000007</v>
      </c>
      <c r="C220" s="18">
        <v>127.39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-0.40169698282084587</v>
      </c>
      <c r="P220" s="19">
        <f ca="1">IF('Stock Price'!$I$11="OK",C220/INDEX(C$5:C$1258,'Stock Price'!$I$9)-1,"")</f>
        <v>-0.30264130286027102</v>
      </c>
      <c r="Q220" s="19">
        <f ca="1">IF('Stock Price'!$I$11="OK",D220/INDEX(D$5:D$1258,'Stock Price'!$I$9)-1,"")</f>
        <v>-0.27402780576264363</v>
      </c>
      <c r="R220" s="19">
        <f ca="1">IF('Stock Price'!$I$11="OK",E220/INDEX(E$5:E$1258,'Stock Price'!$I$9)-1,"")</f>
        <v>-0.18367346938775519</v>
      </c>
      <c r="S220" s="19">
        <f ca="1">IF('Stock Price'!$I$11="OK",F220/INDEX(F$5:F$1258,'Stock Price'!$I$9)-1,"")</f>
        <v>-8.0033174372797E-2</v>
      </c>
      <c r="T220" s="19">
        <f ca="1">IF('Stock Price'!$I$11="OK",G220/INDEX(G$5:G$1258,'Stock Price'!$I$9)-1,"")</f>
        <v>0.42500000000000004</v>
      </c>
      <c r="U220" s="19">
        <f ca="1">IF('Stock Price'!$I$11="OK",H220/INDEX(H$5:H$1258,'Stock Price'!$I$9)-1,"")</f>
        <v>-0.14495068107092535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82.598699999999994</v>
      </c>
      <c r="C221" s="18">
        <v>131.54499999999999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-0.40379168471199656</v>
      </c>
      <c r="P221" s="19">
        <f ca="1">IF('Stock Price'!$I$11="OK",C221/INDEX(C$5:C$1258,'Stock Price'!$I$9)-1,"")</f>
        <v>-0.27989599014643507</v>
      </c>
      <c r="Q221" s="19">
        <f ca="1">IF('Stock Price'!$I$11="OK",D221/INDEX(D$5:D$1258,'Stock Price'!$I$9)-1,"")</f>
        <v>-0.29578883739673578</v>
      </c>
      <c r="R221" s="19">
        <f ca="1">IF('Stock Price'!$I$11="OK",E221/INDEX(E$5:E$1258,'Stock Price'!$I$9)-1,"")</f>
        <v>-0.17823129251700687</v>
      </c>
      <c r="S221" s="19">
        <f ca="1">IF('Stock Price'!$I$11="OK",F221/INDEX(F$5:F$1258,'Stock Price'!$I$9)-1,"")</f>
        <v>-9.1229525191789285E-2</v>
      </c>
      <c r="T221" s="19">
        <f ca="1">IF('Stock Price'!$I$11="OK",G221/INDEX(G$5:G$1258,'Stock Price'!$I$9)-1,"")</f>
        <v>0.40947368421052643</v>
      </c>
      <c r="U221" s="19">
        <f ca="1">IF('Stock Price'!$I$11="OK",H221/INDEX(H$5:H$1258,'Stock Price'!$I$9)-1,"")</f>
        <v>-0.14889619539690002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83.024299999999997</v>
      </c>
      <c r="C222" s="18">
        <v>134.13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-0.400719647755161</v>
      </c>
      <c r="P222" s="19">
        <f ca="1">IF('Stock Price'!$I$11="OK",C222/INDEX(C$5:C$1258,'Stock Price'!$I$9)-1,"")</f>
        <v>-0.26574517585876567</v>
      </c>
      <c r="Q222" s="19">
        <f ca="1">IF('Stock Price'!$I$11="OK",D222/INDEX(D$5:D$1258,'Stock Price'!$I$9)-1,"")</f>
        <v>-0.28954261535361681</v>
      </c>
      <c r="R222" s="19">
        <f ca="1">IF('Stock Price'!$I$11="OK",E222/INDEX(E$5:E$1258,'Stock Price'!$I$9)-1,"")</f>
        <v>-0.19203109815354713</v>
      </c>
      <c r="S222" s="19">
        <f ca="1">IF('Stock Price'!$I$11="OK",F222/INDEX(F$5:F$1258,'Stock Price'!$I$9)-1,"")</f>
        <v>-7.091022185361795E-2</v>
      </c>
      <c r="T222" s="19">
        <f ca="1">IF('Stock Price'!$I$11="OK",G222/INDEX(G$5:G$1258,'Stock Price'!$I$9)-1,"")</f>
        <v>0.42894736842105252</v>
      </c>
      <c r="U222" s="19">
        <f ca="1">IF('Stock Price'!$I$11="OK",H222/INDEX(H$5:H$1258,'Stock Price'!$I$9)-1,"")</f>
        <v>-0.14899013621418511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82.443899999999999</v>
      </c>
      <c r="C223" s="18">
        <v>134.13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-0.40490905153746204</v>
      </c>
      <c r="P223" s="19">
        <f ca="1">IF('Stock Price'!$I$11="OK",C223/INDEX(C$5:C$1258,'Stock Price'!$I$9)-1,"")</f>
        <v>-0.26574517585876567</v>
      </c>
      <c r="Q223" s="19">
        <f ca="1">IF('Stock Price'!$I$11="OK",D223/INDEX(D$5:D$1258,'Stock Price'!$I$9)-1,"")</f>
        <v>-0.30082611323796093</v>
      </c>
      <c r="R223" s="19">
        <f ca="1">IF('Stock Price'!$I$11="OK",E223/INDEX(E$5:E$1258,'Stock Price'!$I$9)-1,"")</f>
        <v>-0.19067055393586008</v>
      </c>
      <c r="S223" s="19">
        <f ca="1">IF('Stock Price'!$I$11="OK",F223/INDEX(F$5:F$1258,'Stock Price'!$I$9)-1,"")</f>
        <v>-0.12544059713871025</v>
      </c>
      <c r="T223" s="19">
        <f ca="1">IF('Stock Price'!$I$11="OK",G223/INDEX(G$5:G$1258,'Stock Price'!$I$9)-1,"")</f>
        <v>0.40447368421052632</v>
      </c>
      <c r="U223" s="19">
        <f ca="1">IF('Stock Price'!$I$11="OK",H223/INDEX(H$5:H$1258,'Stock Price'!$I$9)-1,"")</f>
        <v>-0.14476279943635506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82.153700000000001</v>
      </c>
      <c r="C224" s="18">
        <v>130.16999999999999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-0.40700375342861261</v>
      </c>
      <c r="P224" s="19">
        <f ca="1">IF('Stock Price'!$I$11="OK",C224/INDEX(C$5:C$1258,'Stock Price'!$I$9)-1,"")</f>
        <v>-0.28742301902285494</v>
      </c>
      <c r="Q224" s="19">
        <f ca="1">IF('Stock Price'!$I$11="OK",D224/INDEX(D$5:D$1258,'Stock Price'!$I$9)-1,"")</f>
        <v>-0.30989320975216605</v>
      </c>
      <c r="R224" s="19">
        <f ca="1">IF('Stock Price'!$I$11="OK",E224/INDEX(E$5:E$1258,'Stock Price'!$I$9)-1,"")</f>
        <v>-0.18445092322643342</v>
      </c>
      <c r="S224" s="19">
        <f ca="1">IF('Stock Price'!$I$11="OK",F224/INDEX(F$5:F$1258,'Stock Price'!$I$9)-1,"")</f>
        <v>-0.14596724030686292</v>
      </c>
      <c r="T224" s="19">
        <f ca="1">IF('Stock Price'!$I$11="OK",G224/INDEX(G$5:G$1258,'Stock Price'!$I$9)-1,"")</f>
        <v>0.42263157894736847</v>
      </c>
      <c r="U224" s="19">
        <f ca="1">IF('Stock Price'!$I$11="OK",H224/INDEX(H$5:H$1258,'Stock Price'!$I$9)-1,"")</f>
        <v>-0.14138093001409113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82.966300000000004</v>
      </c>
      <c r="C225" s="18">
        <v>131.15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-0.40113829940811307</v>
      </c>
      <c r="P225" s="19">
        <f ca="1">IF('Stock Price'!$I$11="OK",C225/INDEX(C$5:C$1258,'Stock Price'!$I$9)-1,"")</f>
        <v>-0.28205830026002465</v>
      </c>
      <c r="Q225" s="19">
        <f ca="1">IF('Stock Price'!$I$11="OK",D225/INDEX(D$5:D$1258,'Stock Price'!$I$9)-1,"")</f>
        <v>-0.31372153939149705</v>
      </c>
      <c r="R225" s="19">
        <f ca="1">IF('Stock Price'!$I$11="OK",E225/INDEX(E$5:E$1258,'Stock Price'!$I$9)-1,"")</f>
        <v>-0.18036929057337225</v>
      </c>
      <c r="S225" s="19">
        <f ca="1">IF('Stock Price'!$I$11="OK",F225/INDEX(F$5:F$1258,'Stock Price'!$I$9)-1,"")</f>
        <v>-0.14430852166701214</v>
      </c>
      <c r="T225" s="19">
        <f ca="1">IF('Stock Price'!$I$11="OK",G225/INDEX(G$5:G$1258,'Stock Price'!$I$9)-1,"")</f>
        <v>0.43157894736842106</v>
      </c>
      <c r="U225" s="19">
        <f ca="1">IF('Stock Price'!$I$11="OK",H225/INDEX(H$5:H$1258,'Stock Price'!$I$9)-1,"")</f>
        <v>-0.13499295443870363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81.640900000000002</v>
      </c>
      <c r="C226" s="18">
        <v>135.75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-0.41070521149126604</v>
      </c>
      <c r="P226" s="19">
        <f ca="1">IF('Stock Price'!$I$11="OK",C226/INDEX(C$5:C$1258,'Stock Price'!$I$9)-1,"")</f>
        <v>-0.25687696729163823</v>
      </c>
      <c r="Q226" s="19">
        <f ca="1">IF('Stock Price'!$I$11="OK",D226/INDEX(D$5:D$1258,'Stock Price'!$I$9)-1,"")</f>
        <v>-0.31392303042514613</v>
      </c>
      <c r="R226" s="19">
        <f ca="1">IF('Stock Price'!$I$11="OK",E226/INDEX(E$5:E$1258,'Stock Price'!$I$9)-1,"")</f>
        <v>-0.18736637512147714</v>
      </c>
      <c r="S226" s="19">
        <f ca="1">IF('Stock Price'!$I$11="OK",F226/INDEX(F$5:F$1258,'Stock Price'!$I$9)-1,"")</f>
        <v>-0.15073605639643373</v>
      </c>
      <c r="T226" s="19">
        <f ca="1">IF('Stock Price'!$I$11="OK",G226/INDEX(G$5:G$1258,'Stock Price'!$I$9)-1,"")</f>
        <v>0.40552631578947351</v>
      </c>
      <c r="U226" s="19">
        <f ca="1">IF('Stock Price'!$I$11="OK",H226/INDEX(H$5:H$1258,'Stock Price'!$I$9)-1,"")</f>
        <v>-0.14363550962893379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80.760599999999997</v>
      </c>
      <c r="C227" s="18">
        <v>133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-0.41705933304460807</v>
      </c>
      <c r="P227" s="19">
        <f ca="1">IF('Stock Price'!$I$11="OK",C227/INDEX(C$5:C$1258,'Stock Price'!$I$9)-1,"")</f>
        <v>-0.27193102504447797</v>
      </c>
      <c r="Q227" s="19">
        <f ca="1">IF('Stock Price'!$I$11="OK",D227/INDEX(D$5:D$1258,'Stock Price'!$I$9)-1,"")</f>
        <v>-0.3203707435019143</v>
      </c>
      <c r="R227" s="19">
        <f ca="1">IF('Stock Price'!$I$11="OK",E227/INDEX(E$5:E$1258,'Stock Price'!$I$9)-1,"")</f>
        <v>-0.19805636540330429</v>
      </c>
      <c r="S227" s="19">
        <f ca="1">IF('Stock Price'!$I$11="OK",F227/INDEX(F$5:F$1258,'Stock Price'!$I$9)-1,"")</f>
        <v>-0.15571221231598587</v>
      </c>
      <c r="T227" s="19">
        <f ca="1">IF('Stock Price'!$I$11="OK",G227/INDEX(G$5:G$1258,'Stock Price'!$I$9)-1,"")</f>
        <v>0.40763157894736857</v>
      </c>
      <c r="U227" s="19">
        <f ca="1">IF('Stock Price'!$I$11="OK",H227/INDEX(H$5:H$1258,'Stock Price'!$I$9)-1,"")</f>
        <v>-0.15265382808830441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80.886300000000006</v>
      </c>
      <c r="C228" s="18">
        <v>128.01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-0.41615201385881329</v>
      </c>
      <c r="P228" s="19">
        <f ca="1">IF('Stock Price'!$I$11="OK",C228/INDEX(C$5:C$1258,'Stock Price'!$I$9)-1,"")</f>
        <v>-0.29924729711235809</v>
      </c>
      <c r="Q228" s="19">
        <f ca="1">IF('Stock Price'!$I$11="OK",D228/INDEX(D$5:D$1258,'Stock Price'!$I$9)-1,"")</f>
        <v>-0.32440056417489427</v>
      </c>
      <c r="R228" s="19">
        <f ca="1">IF('Stock Price'!$I$11="OK",E228/INDEX(E$5:E$1258,'Stock Price'!$I$9)-1,"")</f>
        <v>-0.20233236151603506</v>
      </c>
      <c r="S228" s="19">
        <f ca="1">IF('Stock Price'!$I$11="OK",F228/INDEX(F$5:F$1258,'Stock Price'!$I$9)-1,"")</f>
        <v>-0.15861496993572466</v>
      </c>
      <c r="T228" s="19">
        <f ca="1">IF('Stock Price'!$I$11="OK",G228/INDEX(G$5:G$1258,'Stock Price'!$I$9)-1,"")</f>
        <v>0.40710526315789464</v>
      </c>
      <c r="U228" s="19">
        <f ca="1">IF('Stock Price'!$I$11="OK",H228/INDEX(H$5:H$1258,'Stock Price'!$I$9)-1,"")</f>
        <v>-0.15443870361672141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80.692800000000005</v>
      </c>
      <c r="C229" s="18">
        <v>128.01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-0.41754872239064522</v>
      </c>
      <c r="P229" s="19">
        <f ca="1">IF('Stock Price'!$I$11="OK",C229/INDEX(C$5:C$1258,'Stock Price'!$I$9)-1,"")</f>
        <v>-0.29924729711235809</v>
      </c>
      <c r="Q229" s="19">
        <f ca="1">IF('Stock Price'!$I$11="OK",D229/INDEX(D$5:D$1258,'Stock Price'!$I$9)-1,"")</f>
        <v>-0.3203707435019143</v>
      </c>
      <c r="R229" s="19">
        <f ca="1">IF('Stock Price'!$I$11="OK",E229/INDEX(E$5:E$1258,'Stock Price'!$I$9)-1,"")</f>
        <v>-0.19241982507288635</v>
      </c>
      <c r="S229" s="19">
        <f ca="1">IF('Stock Price'!$I$11="OK",F229/INDEX(F$5:F$1258,'Stock Price'!$I$9)-1,"")</f>
        <v>-0.16048102840555656</v>
      </c>
      <c r="T229" s="19">
        <f ca="1">IF('Stock Price'!$I$11="OK",G229/INDEX(G$5:G$1258,'Stock Price'!$I$9)-1,"")</f>
        <v>0.43552631578947354</v>
      </c>
      <c r="U229" s="19">
        <f ca="1">IF('Stock Price'!$I$11="OK",H229/INDEX(H$5:H$1258,'Stock Price'!$I$9)-1,"")</f>
        <v>-0.15199624236730869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79.986599999999996</v>
      </c>
      <c r="C230" s="18">
        <v>131.44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-0.42264616717193593</v>
      </c>
      <c r="P230" s="19">
        <f ca="1">IF('Stock Price'!$I$11="OK",C230/INDEX(C$5:C$1258,'Stock Price'!$I$9)-1,"")</f>
        <v>-0.28047078144245252</v>
      </c>
      <c r="Q230" s="19">
        <f ca="1">IF('Stock Price'!$I$11="OK",D230/INDEX(D$5:D$1258,'Stock Price'!$I$9)-1,"")</f>
        <v>-0.33125125931896038</v>
      </c>
      <c r="R230" s="19">
        <f ca="1">IF('Stock Price'!$I$11="OK",E230/INDEX(E$5:E$1258,'Stock Price'!$I$9)-1,"")</f>
        <v>-0.2104956268221575</v>
      </c>
      <c r="S230" s="19">
        <f ca="1">IF('Stock Price'!$I$11="OK",F230/INDEX(F$5:F$1258,'Stock Price'!$I$9)-1,"")</f>
        <v>-0.15363881401617241</v>
      </c>
      <c r="T230" s="19">
        <f ca="1">IF('Stock Price'!$I$11="OK",G230/INDEX(G$5:G$1258,'Stock Price'!$I$9)-1,"")</f>
        <v>0.41315789473684217</v>
      </c>
      <c r="U230" s="19">
        <f ca="1">IF('Stock Price'!$I$11="OK",H230/INDEX(H$5:H$1258,'Stock Price'!$I$9)-1,"")</f>
        <v>-0.16148426491310475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79.570599999999999</v>
      </c>
      <c r="C231" s="18">
        <v>128.75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-0.42564891006207595</v>
      </c>
      <c r="P231" s="19">
        <f ca="1">IF('Stock Price'!$I$11="OK",C231/INDEX(C$5:C$1258,'Stock Price'!$I$9)-1,"")</f>
        <v>-0.29519638702613937</v>
      </c>
      <c r="Q231" s="19">
        <f ca="1">IF('Stock Price'!$I$11="OK",D231/INDEX(D$5:D$1258,'Stock Price'!$I$9)-1,"")</f>
        <v>-0.33286318758815236</v>
      </c>
      <c r="R231" s="19">
        <f ca="1">IF('Stock Price'!$I$11="OK",E231/INDEX(E$5:E$1258,'Stock Price'!$I$9)-1,"")</f>
        <v>-0.21185617103984455</v>
      </c>
      <c r="S231" s="19">
        <f ca="1">IF('Stock Price'!$I$11="OK",F231/INDEX(F$5:F$1258,'Stock Price'!$I$9)-1,"")</f>
        <v>-0.15612689197594842</v>
      </c>
      <c r="T231" s="19">
        <f ca="1">IF('Stock Price'!$I$11="OK",G231/INDEX(G$5:G$1258,'Stock Price'!$I$9)-1,"")</f>
        <v>0.34394736842105256</v>
      </c>
      <c r="U231" s="19">
        <f ca="1">IF('Stock Price'!$I$11="OK",H231/INDEX(H$5:H$1258,'Stock Price'!$I$9)-1,"")</f>
        <v>-0.17717238139971814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78.129199999999997</v>
      </c>
      <c r="C232" s="18">
        <v>125.77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-0.43605312545113328</v>
      </c>
      <c r="P232" s="19">
        <f ca="1">IF('Stock Price'!$I$11="OK",C232/INDEX(C$5:C$1258,'Stock Price'!$I$9)-1,"")</f>
        <v>-0.31150951142739847</v>
      </c>
      <c r="Q232" s="19">
        <f ca="1">IF('Stock Price'!$I$11="OK",D232/INDEX(D$5:D$1258,'Stock Price'!$I$9)-1,"")</f>
        <v>-0.33588555309288737</v>
      </c>
      <c r="R232" s="19">
        <f ca="1">IF('Stock Price'!$I$11="OK",E232/INDEX(E$5:E$1258,'Stock Price'!$I$9)-1,"")</f>
        <v>-0.21593780369290572</v>
      </c>
      <c r="S232" s="19">
        <f ca="1">IF('Stock Price'!$I$11="OK",F232/INDEX(F$5:F$1258,'Stock Price'!$I$9)-1,"")</f>
        <v>-0.14493054115695614</v>
      </c>
      <c r="T232" s="19">
        <f ca="1">IF('Stock Price'!$I$11="OK",G232/INDEX(G$5:G$1258,'Stock Price'!$I$9)-1,"")</f>
        <v>0.36473684210526325</v>
      </c>
      <c r="U232" s="19">
        <f ca="1">IF('Stock Price'!$I$11="OK",H232/INDEX(H$5:H$1258,'Stock Price'!$I$9)-1,"")</f>
        <v>-0.18384217942696113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77.897000000000006</v>
      </c>
      <c r="C233" s="18">
        <v>124.44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-0.43772917568933156</v>
      </c>
      <c r="P233" s="19">
        <f ca="1">IF('Stock Price'!$I$11="OK",C233/INDEX(C$5:C$1258,'Stock Price'!$I$9)-1,"")</f>
        <v>-0.31879020117695367</v>
      </c>
      <c r="Q233" s="19">
        <f ca="1">IF('Stock Price'!$I$11="OK",D233/INDEX(D$5:D$1258,'Stock Price'!$I$9)-1,"")</f>
        <v>-0.34555712270803962</v>
      </c>
      <c r="R233" s="19">
        <f ca="1">IF('Stock Price'!$I$11="OK",E233/INDEX(E$5:E$1258,'Stock Price'!$I$9)-1,"")</f>
        <v>-0.21399416909621005</v>
      </c>
      <c r="S233" s="19">
        <f ca="1">IF('Stock Price'!$I$11="OK",F233/INDEX(F$5:F$1258,'Stock Price'!$I$9)-1,"")</f>
        <v>-0.14928467758656427</v>
      </c>
      <c r="T233" s="19">
        <f ca="1">IF('Stock Price'!$I$11="OK",G233/INDEX(G$5:G$1258,'Stock Price'!$I$9)-1,"")</f>
        <v>0.38421052631578956</v>
      </c>
      <c r="U233" s="19">
        <f ca="1">IF('Stock Price'!$I$11="OK",H233/INDEX(H$5:H$1258,'Stock Price'!$I$9)-1,"")</f>
        <v>-0.19812118365429787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77.713200000000001</v>
      </c>
      <c r="C234" s="18">
        <v>118.06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-0.43905586834127319</v>
      </c>
      <c r="P234" s="19">
        <f ca="1">IF('Stock Price'!$I$11="OK",C234/INDEX(C$5:C$1258,'Stock Price'!$I$9)-1,"")</f>
        <v>-0.35371561516354189</v>
      </c>
      <c r="Q234" s="19">
        <f ca="1">IF('Stock Price'!$I$11="OK",D234/INDEX(D$5:D$1258,'Stock Price'!$I$9)-1,"")</f>
        <v>-0.36147491436631074</v>
      </c>
      <c r="R234" s="19">
        <f ca="1">IF('Stock Price'!$I$11="OK",E234/INDEX(E$5:E$1258,'Stock Price'!$I$9)-1,"")</f>
        <v>-0.21690962099125366</v>
      </c>
      <c r="S234" s="19">
        <f ca="1">IF('Stock Price'!$I$11="OK",F234/INDEX(F$5:F$1258,'Stock Price'!$I$9)-1,"")</f>
        <v>-0.16234708687538879</v>
      </c>
      <c r="T234" s="19">
        <f ca="1">IF('Stock Price'!$I$11="OK",G234/INDEX(G$5:G$1258,'Stock Price'!$I$9)-1,"")</f>
        <v>0.34684210526315784</v>
      </c>
      <c r="U234" s="19">
        <f ca="1">IF('Stock Price'!$I$11="OK",H234/INDEX(H$5:H$1258,'Stock Price'!$I$9)-1,"")</f>
        <v>-0.18130577736026299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77.103700000000003</v>
      </c>
      <c r="C235" s="18">
        <v>126.59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-0.44345531976324526</v>
      </c>
      <c r="P235" s="19">
        <f ca="1">IF('Stock Price'!$I$11="OK",C235/INDEX(C$5:C$1258,'Stock Price'!$I$9)-1,"")</f>
        <v>-0.30702066511564252</v>
      </c>
      <c r="Q235" s="19">
        <f ca="1">IF('Stock Price'!$I$11="OK",D235/INDEX(D$5:D$1258,'Stock Price'!$I$9)-1,"")</f>
        <v>-0.35825105782792666</v>
      </c>
      <c r="R235" s="19">
        <f ca="1">IF('Stock Price'!$I$11="OK",E235/INDEX(E$5:E$1258,'Stock Price'!$I$9)-1,"")</f>
        <v>-0.2225461613216716</v>
      </c>
      <c r="S235" s="19">
        <f ca="1">IF('Stock Price'!$I$11="OK",F235/INDEX(F$5:F$1258,'Stock Price'!$I$9)-1,"")</f>
        <v>-0.16898196143479161</v>
      </c>
      <c r="T235" s="19">
        <f ca="1">IF('Stock Price'!$I$11="OK",G235/INDEX(G$5:G$1258,'Stock Price'!$I$9)-1,"")</f>
        <v>0.38500000000000001</v>
      </c>
      <c r="U235" s="19">
        <f ca="1">IF('Stock Price'!$I$11="OK",H235/INDEX(H$5:H$1258,'Stock Price'!$I$9)-1,"")</f>
        <v>-0.18994833255049315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77.171400000000006</v>
      </c>
      <c r="C236" s="18">
        <v>117.01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-0.44296665223040266</v>
      </c>
      <c r="P236" s="19">
        <f ca="1">IF('Stock Price'!$I$11="OK",C236/INDEX(C$5:C$1258,'Stock Price'!$I$9)-1,"")</f>
        <v>-0.35946352812371696</v>
      </c>
      <c r="Q236" s="19">
        <f ca="1">IF('Stock Price'!$I$11="OK",D236/INDEX(D$5:D$1258,'Stock Price'!$I$9)-1,"")</f>
        <v>-0.36590771710658876</v>
      </c>
      <c r="R236" s="19">
        <f ca="1">IF('Stock Price'!$I$11="OK",E236/INDEX(E$5:E$1258,'Stock Price'!$I$9)-1,"")</f>
        <v>-0.20447035957240045</v>
      </c>
      <c r="S236" s="19">
        <f ca="1">IF('Stock Price'!$I$11="OK",F236/INDEX(F$5:F$1258,'Stock Price'!$I$9)-1,"")</f>
        <v>-0.17914161310387711</v>
      </c>
      <c r="T236" s="19">
        <f ca="1">IF('Stock Price'!$I$11="OK",G236/INDEX(G$5:G$1258,'Stock Price'!$I$9)-1,"")</f>
        <v>0.35552631578947369</v>
      </c>
      <c r="U236" s="19">
        <f ca="1">IF('Stock Price'!$I$11="OK",H236/INDEX(H$5:H$1258,'Stock Price'!$I$9)-1,"")</f>
        <v>-0.18816345702207615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78.303299999999993</v>
      </c>
      <c r="C237" s="18">
        <v>113.76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-0.43479644867908185</v>
      </c>
      <c r="P237" s="19">
        <f ca="1">IF('Stock Price'!$I$11="OK",C237/INDEX(C$5:C$1258,'Stock Price'!$I$9)-1,"")</f>
        <v>-0.37725468728616396</v>
      </c>
      <c r="Q237" s="19">
        <f ca="1">IF('Stock Price'!$I$11="OK",D237/INDEX(D$5:D$1258,'Stock Price'!$I$9)-1,"")</f>
        <v>-0.36550473503929082</v>
      </c>
      <c r="R237" s="19">
        <f ca="1">IF('Stock Price'!$I$11="OK",E237/INDEX(E$5:E$1258,'Stock Price'!$I$9)-1,"")</f>
        <v>-0.1910592808551993</v>
      </c>
      <c r="S237" s="19">
        <f ca="1">IF('Stock Price'!$I$11="OK",F237/INDEX(F$5:F$1258,'Stock Price'!$I$9)-1,"")</f>
        <v>-0.16089570806551934</v>
      </c>
      <c r="T237" s="19">
        <f ca="1">IF('Stock Price'!$I$11="OK",G237/INDEX(G$5:G$1258,'Stock Price'!$I$9)-1,"")</f>
        <v>0.34368421052631581</v>
      </c>
      <c r="U237" s="19">
        <f ca="1">IF('Stock Price'!$I$11="OK",H237/INDEX(H$5:H$1258,'Stock Price'!$I$9)-1,"")</f>
        <v>-0.1839361202442461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78.612899999999996</v>
      </c>
      <c r="C238" s="18">
        <v>118.96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-0.43256171502815066</v>
      </c>
      <c r="P238" s="19">
        <f ca="1">IF('Stock Price'!$I$11="OK",C238/INDEX(C$5:C$1258,'Stock Price'!$I$9)-1,"")</f>
        <v>-0.34878883262624882</v>
      </c>
      <c r="Q238" s="19">
        <f ca="1">IF('Stock Price'!$I$11="OK",D238/INDEX(D$5:D$1258,'Stock Price'!$I$9)-1,"")</f>
        <v>-0.36510175297199277</v>
      </c>
      <c r="R238" s="19">
        <f ca="1">IF('Stock Price'!$I$11="OK",E238/INDEX(E$5:E$1258,'Stock Price'!$I$9)-1,"")</f>
        <v>-0.18833819241982519</v>
      </c>
      <c r="S238" s="19">
        <f ca="1">IF('Stock Price'!$I$11="OK",F238/INDEX(F$5:F$1258,'Stock Price'!$I$9)-1,"")</f>
        <v>-0.16898196143479161</v>
      </c>
      <c r="T238" s="19">
        <f ca="1">IF('Stock Price'!$I$11="OK",G238/INDEX(G$5:G$1258,'Stock Price'!$I$9)-1,"")</f>
        <v>0.36605263157894719</v>
      </c>
      <c r="U238" s="19">
        <f ca="1">IF('Stock Price'!$I$11="OK",H238/INDEX(H$5:H$1258,'Stock Price'!$I$9)-1,"")</f>
        <v>-0.17876937529356507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79.909199999999998</v>
      </c>
      <c r="C239" s="18">
        <v>122.71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-0.42320485058466861</v>
      </c>
      <c r="P239" s="19">
        <f ca="1">IF('Stock Price'!$I$11="OK",C239/INDEX(C$5:C$1258,'Stock Price'!$I$9)-1,"")</f>
        <v>-0.32826057205419468</v>
      </c>
      <c r="Q239" s="19">
        <f ca="1">IF('Stock Price'!$I$11="OK",D239/INDEX(D$5:D$1258,'Stock Price'!$I$9)-1,"")</f>
        <v>-0.35744509369333066</v>
      </c>
      <c r="R239" s="19">
        <f ca="1">IF('Stock Price'!$I$11="OK",E239/INDEX(E$5:E$1258,'Stock Price'!$I$9)-1,"")</f>
        <v>-0.17978620019436342</v>
      </c>
      <c r="S239" s="19">
        <f ca="1">IF('Stock Price'!$I$11="OK",F239/INDEX(F$5:F$1258,'Stock Price'!$I$9)-1,"")</f>
        <v>-0.15405349367613519</v>
      </c>
      <c r="T239" s="19">
        <f ca="1">IF('Stock Price'!$I$11="OK",G239/INDEX(G$5:G$1258,'Stock Price'!$I$9)-1,"")</f>
        <v>0.39131578947368406</v>
      </c>
      <c r="U239" s="19">
        <f ca="1">IF('Stock Price'!$I$11="OK",H239/INDEX(H$5:H$1258,'Stock Price'!$I$9)-1,"")</f>
        <v>-0.17952090183184588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80.8767</v>
      </c>
      <c r="C240" s="18">
        <v>118.91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-0.41622130792550882</v>
      </c>
      <c r="P240" s="19">
        <f ca="1">IF('Stock Price'!$I$11="OK",C240/INDEX(C$5:C$1258,'Stock Price'!$I$9)-1,"")</f>
        <v>-0.3490625427672096</v>
      </c>
      <c r="Q240" s="19">
        <f ca="1">IF('Stock Price'!$I$11="OK",D240/INDEX(D$5:D$1258,'Stock Price'!$I$9)-1,"")</f>
        <v>-0.34616159580898642</v>
      </c>
      <c r="R240" s="19">
        <f ca="1">IF('Stock Price'!$I$11="OK",E240/INDEX(E$5:E$1258,'Stock Price'!$I$9)-1,"")</f>
        <v>-0.17998056365403314</v>
      </c>
      <c r="S240" s="19">
        <f ca="1">IF('Stock Price'!$I$11="OK",F240/INDEX(F$5:F$1258,'Stock Price'!$I$9)-1,"")</f>
        <v>-0.13974704540742267</v>
      </c>
      <c r="T240" s="19">
        <f ca="1">IF('Stock Price'!$I$11="OK",G240/INDEX(G$5:G$1258,'Stock Price'!$I$9)-1,"")</f>
        <v>0.42342105263157914</v>
      </c>
      <c r="U240" s="19">
        <f ca="1">IF('Stock Price'!$I$11="OK",H240/INDEX(H$5:H$1258,'Stock Price'!$I$9)-1,"")</f>
        <v>-0.17181775481446693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79.2804</v>
      </c>
      <c r="C241" s="18">
        <v>117.46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-0.42774361195322652</v>
      </c>
      <c r="P241" s="19">
        <f ca="1">IF('Stock Price'!$I$11="OK",C241/INDEX(C$5:C$1258,'Stock Price'!$I$9)-1,"")</f>
        <v>-0.35700013685507059</v>
      </c>
      <c r="Q241" s="19">
        <f ca="1">IF('Stock Price'!$I$11="OK",D241/INDEX(D$5:D$1258,'Stock Price'!$I$9)-1,"")</f>
        <v>-0.36268386056820479</v>
      </c>
      <c r="R241" s="19">
        <f ca="1">IF('Stock Price'!$I$11="OK",E241/INDEX(E$5:E$1258,'Stock Price'!$I$9)-1,"")</f>
        <v>-0.18425655976676392</v>
      </c>
      <c r="S241" s="19">
        <f ca="1">IF('Stock Price'!$I$11="OK",F241/INDEX(F$5:F$1258,'Stock Price'!$I$9)-1,"")</f>
        <v>-0.15965166908563122</v>
      </c>
      <c r="T241" s="19">
        <f ca="1">IF('Stock Price'!$I$11="OK",G241/INDEX(G$5:G$1258,'Stock Price'!$I$9)-1,"")</f>
        <v>0.41736842105263161</v>
      </c>
      <c r="U241" s="19">
        <f ca="1">IF('Stock Price'!$I$11="OK",H241/INDEX(H$5:H$1258,'Stock Price'!$I$9)-1,"")</f>
        <v>-0.1894786284640676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78.274299999999997</v>
      </c>
      <c r="C242" s="18">
        <v>116.37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-0.435005774505558</v>
      </c>
      <c r="P242" s="19">
        <f ca="1">IF('Stock Price'!$I$11="OK",C242/INDEX(C$5:C$1258,'Stock Price'!$I$9)-1,"")</f>
        <v>-0.36296701792801422</v>
      </c>
      <c r="Q242" s="19">
        <f ca="1">IF('Stock Price'!$I$11="OK",D242/INDEX(D$5:D$1258,'Stock Price'!$I$9)-1,"")</f>
        <v>-0.37134797501511185</v>
      </c>
      <c r="R242" s="19">
        <f ca="1">IF('Stock Price'!$I$11="OK",E242/INDEX(E$5:E$1258,'Stock Price'!$I$9)-1,"")</f>
        <v>-0.18367346938775519</v>
      </c>
      <c r="S242" s="19">
        <f ca="1">IF('Stock Price'!$I$11="OK",F242/INDEX(F$5:F$1258,'Stock Price'!$I$9)-1,"")</f>
        <v>-0.16960398092473561</v>
      </c>
      <c r="T242" s="19">
        <f ca="1">IF('Stock Price'!$I$11="OK",G242/INDEX(G$5:G$1258,'Stock Price'!$I$9)-1,"")</f>
        <v>0.41394736842105262</v>
      </c>
      <c r="U242" s="19">
        <f ca="1">IF('Stock Price'!$I$11="OK",H242/INDEX(H$5:H$1258,'Stock Price'!$I$9)-1,"")</f>
        <v>-0.18318459370596518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78.109800000000007</v>
      </c>
      <c r="C243" s="18">
        <v>112.81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-0.43619315721091378</v>
      </c>
      <c r="P243" s="19">
        <f ca="1">IF('Stock Price'!$I$11="OK",C243/INDEX(C$5:C$1258,'Stock Price'!$I$9)-1,"")</f>
        <v>-0.38245517996441769</v>
      </c>
      <c r="Q243" s="19">
        <f ca="1">IF('Stock Price'!$I$11="OK",D243/INDEX(D$5:D$1258,'Stock Price'!$I$9)-1,"")</f>
        <v>-0.37497481362079388</v>
      </c>
      <c r="R243" s="19">
        <f ca="1">IF('Stock Price'!$I$11="OK",E243/INDEX(E$5:E$1258,'Stock Price'!$I$9)-1,"")</f>
        <v>-0.1716229348882411</v>
      </c>
      <c r="S243" s="19">
        <f ca="1">IF('Stock Price'!$I$11="OK",F243/INDEX(F$5:F$1258,'Stock Price'!$I$9)-1,"")</f>
        <v>-0.15674891146589254</v>
      </c>
      <c r="T243" s="19">
        <f ca="1">IF('Stock Price'!$I$11="OK",G243/INDEX(G$5:G$1258,'Stock Price'!$I$9)-1,"")</f>
        <v>0.3978947368421053</v>
      </c>
      <c r="U243" s="19">
        <f ca="1">IF('Stock Price'!$I$11="OK",H243/INDEX(H$5:H$1258,'Stock Price'!$I$9)-1,"")</f>
        <v>-0.18506341005166749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78.022800000000004</v>
      </c>
      <c r="C244" s="18">
        <v>113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-0.43682113469034212</v>
      </c>
      <c r="P244" s="19">
        <f ca="1">IF('Stock Price'!$I$11="OK",C244/INDEX(C$5:C$1258,'Stock Price'!$I$9)-1,"")</f>
        <v>-0.38141508142876701</v>
      </c>
      <c r="Q244" s="19">
        <f ca="1">IF('Stock Price'!$I$11="OK",D244/INDEX(D$5:D$1258,'Stock Price'!$I$9)-1,"")</f>
        <v>-0.37880314326012499</v>
      </c>
      <c r="R244" s="19">
        <f ca="1">IF('Stock Price'!$I$11="OK",E244/INDEX(E$5:E$1258,'Stock Price'!$I$9)-1,"")</f>
        <v>-0.1768707482993197</v>
      </c>
      <c r="S244" s="19">
        <f ca="1">IF('Stock Price'!$I$11="OK",F244/INDEX(F$5:F$1258,'Stock Price'!$I$9)-1,"")</f>
        <v>-0.15363881401617241</v>
      </c>
      <c r="T244" s="19">
        <f ca="1">IF('Stock Price'!$I$11="OK",G244/INDEX(G$5:G$1258,'Stock Price'!$I$9)-1,"")</f>
        <v>0.37605263157894742</v>
      </c>
      <c r="U244" s="19">
        <f ca="1">IF('Stock Price'!$I$11="OK",H244/INDEX(H$5:H$1258,'Stock Price'!$I$9)-1,"")</f>
        <v>-0.17595115077501178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78.100099999999998</v>
      </c>
      <c r="C245" s="18">
        <v>110.96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-0.43626317309080409</v>
      </c>
      <c r="P245" s="19">
        <f ca="1">IF('Stock Price'!$I$11="OK",C245/INDEX(C$5:C$1258,'Stock Price'!$I$9)-1,"")</f>
        <v>-0.39258245517996448</v>
      </c>
      <c r="Q245" s="19">
        <f ca="1">IF('Stock Price'!$I$11="OK",D245/INDEX(D$5:D$1258,'Stock Price'!$I$9)-1,"")</f>
        <v>-0.37981059842836995</v>
      </c>
      <c r="R245" s="19">
        <f ca="1">IF('Stock Price'!$I$11="OK",E245/INDEX(E$5:E$1258,'Stock Price'!$I$9)-1,"")</f>
        <v>-0.18814382896015547</v>
      </c>
      <c r="S245" s="19">
        <f ca="1">IF('Stock Price'!$I$11="OK",F245/INDEX(F$5:F$1258,'Stock Price'!$I$9)-1,"")</f>
        <v>-0.15840763010574321</v>
      </c>
      <c r="T245" s="19">
        <f ca="1">IF('Stock Price'!$I$11="OK",G245/INDEX(G$5:G$1258,'Stock Price'!$I$9)-1,"")</f>
        <v>0.37947368421052641</v>
      </c>
      <c r="U245" s="19">
        <f ca="1">IF('Stock Price'!$I$11="OK",H245/INDEX(H$5:H$1258,'Stock Price'!$I$9)-1,"")</f>
        <v>-0.18609675904180367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76.9876</v>
      </c>
      <c r="C246" s="18">
        <v>110.51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-0.4442933448823444</v>
      </c>
      <c r="P246" s="19">
        <f ca="1">IF('Stock Price'!$I$11="OK",C246/INDEX(C$5:C$1258,'Stock Price'!$I$9)-1,"")</f>
        <v>-0.39504584644861096</v>
      </c>
      <c r="Q246" s="19">
        <f ca="1">IF('Stock Price'!$I$11="OK",D246/INDEX(D$5:D$1258,'Stock Price'!$I$9)-1,"")</f>
        <v>-0.3856538384041911</v>
      </c>
      <c r="R246" s="19">
        <f ca="1">IF('Stock Price'!$I$11="OK",E246/INDEX(E$5:E$1258,'Stock Price'!$I$9)-1,"")</f>
        <v>-0.20116618075801751</v>
      </c>
      <c r="S246" s="19">
        <f ca="1">IF('Stock Price'!$I$11="OK",F246/INDEX(F$5:F$1258,'Stock Price'!$I$9)-1,"")</f>
        <v>-0.1718847190545304</v>
      </c>
      <c r="T246" s="19">
        <f ca="1">IF('Stock Price'!$I$11="OK",G246/INDEX(G$5:G$1258,'Stock Price'!$I$9)-1,"")</f>
        <v>0.37052631578947359</v>
      </c>
      <c r="U246" s="19">
        <f ca="1">IF('Stock Price'!$I$11="OK",H246/INDEX(H$5:H$1258,'Stock Price'!$I$9)-1,"")</f>
        <v>-0.19210897134805072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75.014099999999999</v>
      </c>
      <c r="C247" s="18">
        <v>114.155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-0.45853832828064089</v>
      </c>
      <c r="P247" s="19">
        <f ca="1">IF('Stock Price'!$I$11="OK",C247/INDEX(C$5:C$1258,'Stock Price'!$I$9)-1,"")</f>
        <v>-0.37509237717257427</v>
      </c>
      <c r="Q247" s="19">
        <f ca="1">IF('Stock Price'!$I$11="OK",D247/INDEX(D$5:D$1258,'Stock Price'!$I$9)-1,"")</f>
        <v>-0.4001611928269192</v>
      </c>
      <c r="R247" s="19">
        <f ca="1">IF('Stock Price'!$I$11="OK",E247/INDEX(E$5:E$1258,'Stock Price'!$I$9)-1,"")</f>
        <v>-0.22079689018464521</v>
      </c>
      <c r="S247" s="19">
        <f ca="1">IF('Stock Price'!$I$11="OK",F247/INDEX(F$5:F$1258,'Stock Price'!$I$9)-1,"")</f>
        <v>-0.19635081899232842</v>
      </c>
      <c r="T247" s="19">
        <f ca="1">IF('Stock Price'!$I$11="OK",G247/INDEX(G$5:G$1258,'Stock Price'!$I$9)-1,"")</f>
        <v>0.37236842105263146</v>
      </c>
      <c r="U247" s="19">
        <f ca="1">IF('Stock Price'!$I$11="OK",H247/INDEX(H$5:H$1258,'Stock Price'!$I$9)-1,"")</f>
        <v>-0.20591827148896191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74.627099999999999</v>
      </c>
      <c r="C248" s="18">
        <v>111.6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-0.46133174534430488</v>
      </c>
      <c r="P248" s="19">
        <f ca="1">IF('Stock Price'!$I$11="OK",C248/INDEX(C$5:C$1258,'Stock Price'!$I$9)-1,"")</f>
        <v>-0.38907896537566722</v>
      </c>
      <c r="Q248" s="19">
        <f ca="1">IF('Stock Price'!$I$11="OK",D248/INDEX(D$5:D$1258,'Stock Price'!$I$9)-1,"")</f>
        <v>-0.39532540801934313</v>
      </c>
      <c r="R248" s="19">
        <f ca="1">IF('Stock Price'!$I$11="OK",E248/INDEX(E$5:E$1258,'Stock Price'!$I$9)-1,"")</f>
        <v>-0.22176870748299327</v>
      </c>
      <c r="S248" s="19">
        <f ca="1">IF('Stock Price'!$I$11="OK",F248/INDEX(F$5:F$1258,'Stock Price'!$I$9)-1,"")</f>
        <v>-0.18867924528301872</v>
      </c>
      <c r="T248" s="19">
        <f ca="1">IF('Stock Price'!$I$11="OK",G248/INDEX(G$5:G$1258,'Stock Price'!$I$9)-1,"")</f>
        <v>0.35526315789473695</v>
      </c>
      <c r="U248" s="19">
        <f ca="1">IF('Stock Price'!$I$11="OK",H248/INDEX(H$5:H$1258,'Stock Price'!$I$9)-1,"")</f>
        <v>-0.17792390793799906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73.533900000000003</v>
      </c>
      <c r="C249" s="18">
        <v>108.35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-0.46922260718925934</v>
      </c>
      <c r="P249" s="19">
        <f ca="1">IF('Stock Price'!$I$11="OK",C249/INDEX(C$5:C$1258,'Stock Price'!$I$9)-1,"")</f>
        <v>-0.40687012453811422</v>
      </c>
      <c r="Q249" s="19">
        <f ca="1">IF('Stock Price'!$I$11="OK",D249/INDEX(D$5:D$1258,'Stock Price'!$I$9)-1,"")</f>
        <v>-0.40842232520652832</v>
      </c>
      <c r="R249" s="19">
        <f ca="1">IF('Stock Price'!$I$11="OK",E249/INDEX(E$5:E$1258,'Stock Price'!$I$9)-1,"")</f>
        <v>-0.23032069970845481</v>
      </c>
      <c r="S249" s="19">
        <f ca="1">IF('Stock Price'!$I$11="OK",F249/INDEX(F$5:F$1258,'Stock Price'!$I$9)-1,"")</f>
        <v>-0.20381505287165658</v>
      </c>
      <c r="T249" s="19">
        <f ca="1">IF('Stock Price'!$I$11="OK",G249/INDEX(G$5:G$1258,'Stock Price'!$I$9)-1,"")</f>
        <v>0.30460526315789482</v>
      </c>
      <c r="U249" s="19">
        <f ca="1">IF('Stock Price'!$I$11="OK",H249/INDEX(H$5:H$1258,'Stock Price'!$I$9)-1,"")</f>
        <v>-0.18478158759981211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72.179500000000004</v>
      </c>
      <c r="C250" s="18">
        <v>104.5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-0.47899884509888835</v>
      </c>
      <c r="P250" s="19">
        <f ca="1">IF('Stock Price'!$I$11="OK",C250/INDEX(C$5:C$1258,'Stock Price'!$I$9)-1,"")</f>
        <v>-0.42794580539208982</v>
      </c>
      <c r="Q250" s="19">
        <f ca="1">IF('Stock Price'!$I$11="OK",D250/INDEX(D$5:D$1258,'Stock Price'!$I$9)-1,"")</f>
        <v>-0.41930284102357451</v>
      </c>
      <c r="R250" s="19">
        <f ca="1">IF('Stock Price'!$I$11="OK",E250/INDEX(E$5:E$1258,'Stock Price'!$I$9)-1,"")</f>
        <v>-0.24800777453838685</v>
      </c>
      <c r="S250" s="19">
        <f ca="1">IF('Stock Price'!$I$11="OK",F250/INDEX(F$5:F$1258,'Stock Price'!$I$9)-1,"")</f>
        <v>-0.2276591333195106</v>
      </c>
      <c r="T250" s="19">
        <f ca="1">IF('Stock Price'!$I$11="OK",G250/INDEX(G$5:G$1258,'Stock Price'!$I$9)-1,"")</f>
        <v>0.2728947368421053</v>
      </c>
      <c r="U250" s="19">
        <f ca="1">IF('Stock Price'!$I$11="OK",H250/INDEX(H$5:H$1258,'Stock Price'!$I$9)-1,"")</f>
        <v>-0.1904180366369187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72.218199999999996</v>
      </c>
      <c r="C251" s="18">
        <v>106.5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-0.47871950339252201</v>
      </c>
      <c r="P251" s="19">
        <f ca="1">IF('Stock Price'!$I$11="OK",C251/INDEX(C$5:C$1258,'Stock Price'!$I$9)-1,"")</f>
        <v>-0.4169973997536609</v>
      </c>
      <c r="Q251" s="19">
        <f ca="1">IF('Stock Price'!$I$11="OK",D251/INDEX(D$5:D$1258,'Stock Price'!$I$9)-1,"")</f>
        <v>-0.42252669756195849</v>
      </c>
      <c r="R251" s="19">
        <f ca="1">IF('Stock Price'!$I$11="OK",E251/INDEX(E$5:E$1258,'Stock Price'!$I$9)-1,"")</f>
        <v>-0.24101068999028197</v>
      </c>
      <c r="S251" s="19">
        <f ca="1">IF('Stock Price'!$I$11="OK",F251/INDEX(F$5:F$1258,'Stock Price'!$I$9)-1,"")</f>
        <v>-0.22828115280945471</v>
      </c>
      <c r="T251" s="19">
        <f ca="1">IF('Stock Price'!$I$11="OK",G251/INDEX(G$5:G$1258,'Stock Price'!$I$9)-1,"")</f>
        <v>0.26986842105263165</v>
      </c>
      <c r="U251" s="19">
        <f ca="1">IF('Stock Price'!$I$11="OK",H251/INDEX(H$5:H$1258,'Stock Price'!$I$9)-1,"")</f>
        <v>-0.19361202442461245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73.833799999999997</v>
      </c>
      <c r="C252" s="18">
        <v>108.26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-0.46705788941821857</v>
      </c>
      <c r="P252" s="19">
        <f ca="1">IF('Stock Price'!$I$11="OK",C252/INDEX(C$5:C$1258,'Stock Price'!$I$9)-1,"")</f>
        <v>-0.40736280279184345</v>
      </c>
      <c r="Q252" s="19">
        <f ca="1">IF('Stock Price'!$I$11="OK",D252/INDEX(D$5:D$1258,'Stock Price'!$I$9)-1,"")</f>
        <v>-0.40640741487003829</v>
      </c>
      <c r="R252" s="19">
        <f ca="1">IF('Stock Price'!$I$11="OK",E252/INDEX(E$5:E$1258,'Stock Price'!$I$9)-1,"")</f>
        <v>-0.18853255587949469</v>
      </c>
      <c r="S252" s="19">
        <f ca="1">IF('Stock Price'!$I$11="OK",F252/INDEX(F$5:F$1258,'Stock Price'!$I$9)-1,"")</f>
        <v>-0.20858386896122738</v>
      </c>
      <c r="T252" s="19">
        <f ca="1">IF('Stock Price'!$I$11="OK",G252/INDEX(G$5:G$1258,'Stock Price'!$I$9)-1,"")</f>
        <v>0.26815789473684215</v>
      </c>
      <c r="U252" s="19">
        <f ca="1">IF('Stock Price'!$I$11="OK",H252/INDEX(H$5:H$1258,'Stock Price'!$I$9)-1,"")</f>
        <v>-0.18478158759981211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74.075699999999998</v>
      </c>
      <c r="C253" s="18">
        <v>109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-0.46531182330012988</v>
      </c>
      <c r="P253" s="19">
        <f ca="1">IF('Stock Price'!$I$11="OK",C253/INDEX(C$5:C$1258,'Stock Price'!$I$9)-1,"")</f>
        <v>-0.40331189270562473</v>
      </c>
      <c r="Q253" s="19">
        <f ca="1">IF('Stock Price'!$I$11="OK",D253/INDEX(D$5:D$1258,'Stock Price'!$I$9)-1,"")</f>
        <v>-0.40842232520652832</v>
      </c>
      <c r="R253" s="19">
        <f ca="1">IF('Stock Price'!$I$11="OK",E253/INDEX(E$5:E$1258,'Stock Price'!$I$9)-1,"")</f>
        <v>-0.20097181729834801</v>
      </c>
      <c r="S253" s="19">
        <f ca="1">IF('Stock Price'!$I$11="OK",F253/INDEX(F$5:F$1258,'Stock Price'!$I$9)-1,"")</f>
        <v>-0.21210864607091018</v>
      </c>
      <c r="T253" s="19">
        <f ca="1">IF('Stock Price'!$I$11="OK",G253/INDEX(G$5:G$1258,'Stock Price'!$I$9)-1,"")</f>
        <v>0.25578947368421057</v>
      </c>
      <c r="U253" s="19">
        <f ca="1">IF('Stock Price'!$I$11="OK",H253/INDEX(H$5:H$1258,'Stock Price'!$I$9)-1,"")</f>
        <v>-0.18609675904180367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73.533900000000003</v>
      </c>
      <c r="C254" s="18">
        <v>107.1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-0.46922260718925934</v>
      </c>
      <c r="P254" s="19">
        <f ca="1">IF('Stock Price'!$I$11="OK",C254/INDEX(C$5:C$1258,'Stock Price'!$I$9)-1,"")</f>
        <v>-0.41371287806213231</v>
      </c>
      <c r="Q254" s="19">
        <f ca="1">IF('Stock Price'!$I$11="OK",D254/INDEX(D$5:D$1258,'Stock Price'!$I$9)-1,"")</f>
        <v>-0.40701188797098531</v>
      </c>
      <c r="R254" s="19">
        <f ca="1">IF('Stock Price'!$I$11="OK",E254/INDEX(E$5:E$1258,'Stock Price'!$I$9)-1,"")</f>
        <v>-0.2104956268221575</v>
      </c>
      <c r="S254" s="19">
        <f ca="1">IF('Stock Price'!$I$11="OK",F254/INDEX(F$5:F$1258,'Stock Price'!$I$9)-1,"")</f>
        <v>-0.2116939664109474</v>
      </c>
      <c r="T254" s="19">
        <f ca="1">IF('Stock Price'!$I$11="OK",G254/INDEX(G$5:G$1258,'Stock Price'!$I$9)-1,"")</f>
        <v>0.2477631578947368</v>
      </c>
      <c r="U254" s="19">
        <f ca="1">IF('Stock Price'!$I$11="OK",H254/INDEX(H$5:H$1258,'Stock Price'!$I$9)-1,"")</f>
        <v>-0.19098168154062933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74.172399999999996</v>
      </c>
      <c r="C255" s="18">
        <v>111.25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-0.46461382994081135</v>
      </c>
      <c r="P255" s="19">
        <f ca="1">IF('Stock Price'!$I$11="OK",C255/INDEX(C$5:C$1258,'Stock Price'!$I$9)-1,"")</f>
        <v>-0.39099493636239224</v>
      </c>
      <c r="Q255" s="19">
        <f ca="1">IF('Stock Price'!$I$11="OK",D255/INDEX(D$5:D$1258,'Stock Price'!$I$9)-1,"")</f>
        <v>-0.39048962321176706</v>
      </c>
      <c r="R255" s="19">
        <f ca="1">IF('Stock Price'!$I$11="OK",E255/INDEX(E$5:E$1258,'Stock Price'!$I$9)-1,"")</f>
        <v>-0.21341107871720122</v>
      </c>
      <c r="S255" s="19">
        <f ca="1">IF('Stock Price'!$I$11="OK",F255/INDEX(F$5:F$1258,'Stock Price'!$I$9)-1,"")</f>
        <v>-0.18743520630313082</v>
      </c>
      <c r="T255" s="19">
        <f ca="1">IF('Stock Price'!$I$11="OK",G255/INDEX(G$5:G$1258,'Stock Price'!$I$9)-1,"")</f>
        <v>0.26197368421052625</v>
      </c>
      <c r="U255" s="19">
        <f ca="1">IF('Stock Price'!$I$11="OK",H255/INDEX(H$5:H$1258,'Stock Price'!$I$9)-1,"")</f>
        <v>-0.17754814466885871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75.681600000000003</v>
      </c>
      <c r="C256" s="18">
        <v>113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-0.45372022520571675</v>
      </c>
      <c r="P256" s="19">
        <f ca="1">IF('Stock Price'!$I$11="OK",C256/INDEX(C$5:C$1258,'Stock Price'!$I$9)-1,"")</f>
        <v>-0.38141508142876701</v>
      </c>
      <c r="Q256" s="19">
        <f ca="1">IF('Stock Price'!$I$11="OK",D256/INDEX(D$5:D$1258,'Stock Price'!$I$9)-1,"")</f>
        <v>-0.38122103566391297</v>
      </c>
      <c r="R256" s="19">
        <f ca="1">IF('Stock Price'!$I$11="OK",E256/INDEX(E$5:E$1258,'Stock Price'!$I$9)-1,"")</f>
        <v>-0.17531584062196315</v>
      </c>
      <c r="S256" s="19">
        <f ca="1">IF('Stock Price'!$I$11="OK",F256/INDEX(F$5:F$1258,'Stock Price'!$I$9)-1,"")</f>
        <v>-0.16815260211486627</v>
      </c>
      <c r="T256" s="19">
        <f ca="1">IF('Stock Price'!$I$11="OK",G256/INDEX(G$5:G$1258,'Stock Price'!$I$9)-1,"")</f>
        <v>0.2801315789473684</v>
      </c>
      <c r="U256" s="19">
        <f ca="1">IF('Stock Price'!$I$11="OK",H256/INDEX(H$5:H$1258,'Stock Price'!$I$9)-1,"")</f>
        <v>-0.16965711601690936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74.849599999999995</v>
      </c>
      <c r="C257" s="18">
        <v>112.14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-0.45972571098599679</v>
      </c>
      <c r="P257" s="19">
        <f ca="1">IF('Stock Price'!$I$11="OK",C257/INDEX(C$5:C$1258,'Stock Price'!$I$9)-1,"")</f>
        <v>-0.3861228958532914</v>
      </c>
      <c r="Q257" s="19">
        <f ca="1">IF('Stock Price'!$I$11="OK",D257/INDEX(D$5:D$1258,'Stock Price'!$I$9)-1,"")</f>
        <v>-0.38726576667338308</v>
      </c>
      <c r="R257" s="19">
        <f ca="1">IF('Stock Price'!$I$11="OK",E257/INDEX(E$5:E$1258,'Stock Price'!$I$9)-1,"")</f>
        <v>-0.18892128279883391</v>
      </c>
      <c r="S257" s="19">
        <f ca="1">IF('Stock Price'!$I$11="OK",F257/INDEX(F$5:F$1258,'Stock Price'!$I$9)-1,"")</f>
        <v>-0.17437279701430641</v>
      </c>
      <c r="T257" s="19">
        <f ca="1">IF('Stock Price'!$I$11="OK",G257/INDEX(G$5:G$1258,'Stock Price'!$I$9)-1,"")</f>
        <v>0.28026315789473677</v>
      </c>
      <c r="U257" s="19">
        <f ca="1">IF('Stock Price'!$I$11="OK",H257/INDEX(H$5:H$1258,'Stock Price'!$I$9)-1,"")</f>
        <v>-0.16965711601690936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73.562899999999999</v>
      </c>
      <c r="C258" s="18">
        <v>109.12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-0.46901328136278331</v>
      </c>
      <c r="P258" s="19">
        <f ca="1">IF('Stock Price'!$I$11="OK",C258/INDEX(C$5:C$1258,'Stock Price'!$I$9)-1,"")</f>
        <v>-0.40265498836731906</v>
      </c>
      <c r="Q258" s="19">
        <f ca="1">IF('Stock Price'!$I$11="OK",D258/INDEX(D$5:D$1258,'Stock Price'!$I$9)-1,"")</f>
        <v>-0.39552689905299221</v>
      </c>
      <c r="R258" s="19">
        <f ca="1">IF('Stock Price'!$I$11="OK",E258/INDEX(E$5:E$1258,'Stock Price'!$I$9)-1,"")</f>
        <v>-0.20213799805636545</v>
      </c>
      <c r="S258" s="19">
        <f ca="1">IF('Stock Price'!$I$11="OK",F258/INDEX(F$5:F$1258,'Stock Price'!$I$9)-1,"")</f>
        <v>-0.19344806137258963</v>
      </c>
      <c r="T258" s="19">
        <f ca="1">IF('Stock Price'!$I$11="OK",G258/INDEX(G$5:G$1258,'Stock Price'!$I$9)-1,"")</f>
        <v>0.25539473684210523</v>
      </c>
      <c r="U258" s="19">
        <f ca="1">IF('Stock Price'!$I$11="OK",H258/INDEX(H$5:H$1258,'Stock Price'!$I$9)-1,"")</f>
        <v>-0.17858149365899489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73.185599999999994</v>
      </c>
      <c r="C259" s="18">
        <v>109.5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-0.47173668254655698</v>
      </c>
      <c r="P259" s="19">
        <f ca="1">IF('Stock Price'!$I$11="OK",C259/INDEX(C$5:C$1258,'Stock Price'!$I$9)-1,"")</f>
        <v>-0.40057479129601758</v>
      </c>
      <c r="Q259" s="19">
        <f ca="1">IF('Stock Price'!$I$11="OK",D259/INDEX(D$5:D$1258,'Stock Price'!$I$9)-1,"")</f>
        <v>-0.3933104976828532</v>
      </c>
      <c r="R259" s="19">
        <f ca="1">IF('Stock Price'!$I$11="OK",E259/INDEX(E$5:E$1258,'Stock Price'!$I$9)-1,"")</f>
        <v>-0.2104956268221575</v>
      </c>
      <c r="S259" s="19">
        <f ca="1">IF('Stock Price'!$I$11="OK",F259/INDEX(F$5:F$1258,'Stock Price'!$I$9)-1,"")</f>
        <v>-0.19427742069251497</v>
      </c>
      <c r="T259" s="19">
        <f ca="1">IF('Stock Price'!$I$11="OK",G259/INDEX(G$5:G$1258,'Stock Price'!$I$9)-1,"")</f>
        <v>0.24789473684210539</v>
      </c>
      <c r="U259" s="19">
        <f ca="1">IF('Stock Price'!$I$11="OK",H259/INDEX(H$5:H$1258,'Stock Price'!$I$9)-1,"")</f>
        <v>-0.17707844058243316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73.088899999999995</v>
      </c>
      <c r="C260" s="18">
        <v>110.6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-0.47243467590587551</v>
      </c>
      <c r="P260" s="19">
        <f ca="1">IF('Stock Price'!$I$11="OK",C260/INDEX(C$5:C$1258,'Stock Price'!$I$9)-1,"")</f>
        <v>-0.39455316819488173</v>
      </c>
      <c r="Q260" s="19">
        <f ca="1">IF('Stock Price'!$I$11="OK",D260/INDEX(D$5:D$1258,'Stock Price'!$I$9)-1,"")</f>
        <v>-0.3916985694136611</v>
      </c>
      <c r="R260" s="19">
        <f ca="1">IF('Stock Price'!$I$11="OK",E260/INDEX(E$5:E$1258,'Stock Price'!$I$9)-1,"")</f>
        <v>-0.22312925170068032</v>
      </c>
      <c r="S260" s="19">
        <f ca="1">IF('Stock Price'!$I$11="OK",F260/INDEX(F$5:F$1258,'Stock Price'!$I$9)-1,"")</f>
        <v>-0.18930126477296283</v>
      </c>
      <c r="T260" s="19">
        <f ca="1">IF('Stock Price'!$I$11="OK",G260/INDEX(G$5:G$1258,'Stock Price'!$I$9)-1,"")</f>
        <v>0.25092105263157882</v>
      </c>
      <c r="U260" s="19">
        <f ca="1">IF('Stock Price'!$I$11="OK",H260/INDEX(H$5:H$1258,'Stock Price'!$I$9)-1,"")</f>
        <v>-0.15002348520432129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73.388800000000003</v>
      </c>
      <c r="C261" s="18">
        <v>109.16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-0.47026995813483463</v>
      </c>
      <c r="P261" s="19">
        <f ca="1">IF('Stock Price'!$I$11="OK",C261/INDEX(C$5:C$1258,'Stock Price'!$I$9)-1,"")</f>
        <v>-0.4024360202545505</v>
      </c>
      <c r="Q261" s="19">
        <f ca="1">IF('Stock Price'!$I$11="OK",D261/INDEX(D$5:D$1258,'Stock Price'!$I$9)-1,"")</f>
        <v>-0.38686278460608503</v>
      </c>
      <c r="R261" s="19">
        <f ca="1">IF('Stock Price'!$I$11="OK",E261/INDEX(E$5:E$1258,'Stock Price'!$I$9)-1,"")</f>
        <v>-0.21224489795918366</v>
      </c>
      <c r="S261" s="19">
        <f ca="1">IF('Stock Price'!$I$11="OK",F261/INDEX(F$5:F$1258,'Stock Price'!$I$9)-1,"")</f>
        <v>-0.17706821480406387</v>
      </c>
      <c r="T261" s="19">
        <f ca="1">IF('Stock Price'!$I$11="OK",G261/INDEX(G$5:G$1258,'Stock Price'!$I$9)-1,"")</f>
        <v>0.27407894736842109</v>
      </c>
      <c r="U261" s="19">
        <f ca="1">IF('Stock Price'!$I$11="OK",H261/INDEX(H$5:H$1258,'Stock Price'!$I$9)-1,"")</f>
        <v>-0.14466885861907008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72.856700000000004</v>
      </c>
      <c r="C262" s="18">
        <v>109.1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-0.4741107261440739</v>
      </c>
      <c r="P262" s="19">
        <f ca="1">IF('Stock Price'!$I$11="OK",C262/INDEX(C$5:C$1258,'Stock Price'!$I$9)-1,"")</f>
        <v>-0.40276447242370339</v>
      </c>
      <c r="Q262" s="19">
        <f ca="1">IF('Stock Price'!$I$11="OK",D262/INDEX(D$5:D$1258,'Stock Price'!$I$9)-1,"")</f>
        <v>-0.38807173080797908</v>
      </c>
      <c r="R262" s="19">
        <f ca="1">IF('Stock Price'!$I$11="OK",E262/INDEX(E$5:E$1258,'Stock Price'!$I$9)-1,"")</f>
        <v>-0.22099125364431493</v>
      </c>
      <c r="S262" s="19">
        <f ca="1">IF('Stock Price'!$I$11="OK",F262/INDEX(F$5:F$1258,'Stock Price'!$I$9)-1,"")</f>
        <v>-0.18639850715322404</v>
      </c>
      <c r="T262" s="19">
        <f ca="1">IF('Stock Price'!$I$11="OK",G262/INDEX(G$5:G$1258,'Stock Price'!$I$9)-1,"")</f>
        <v>0.29460526315789481</v>
      </c>
      <c r="U262" s="19">
        <f ca="1">IF('Stock Price'!$I$11="OK",H262/INDEX(H$5:H$1258,'Stock Price'!$I$9)-1,"")</f>
        <v>-0.15058713010803193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73.533900000000003</v>
      </c>
      <c r="C263" s="18">
        <v>107.6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-0.46922260718925934</v>
      </c>
      <c r="P263" s="19">
        <f ca="1">IF('Stock Price'!$I$11="OK",C263/INDEX(C$5:C$1258,'Stock Price'!$I$9)-1,"")</f>
        <v>-0.41097577665252505</v>
      </c>
      <c r="Q263" s="19">
        <f ca="1">IF('Stock Price'!$I$11="OK",D263/INDEX(D$5:D$1258,'Stock Price'!$I$9)-1,"")</f>
        <v>-0.38242998186580701</v>
      </c>
      <c r="R263" s="19">
        <f ca="1">IF('Stock Price'!$I$11="OK",E263/INDEX(E$5:E$1258,'Stock Price'!$I$9)-1,"")</f>
        <v>-0.21516034985422738</v>
      </c>
      <c r="S263" s="19">
        <f ca="1">IF('Stock Price'!$I$11="OK",F263/INDEX(F$5:F$1258,'Stock Price'!$I$9)-1,"")</f>
        <v>-0.17229939871449296</v>
      </c>
      <c r="T263" s="19">
        <f ca="1">IF('Stock Price'!$I$11="OK",G263/INDEX(G$5:G$1258,'Stock Price'!$I$9)-1,"")</f>
        <v>0.31039473684210539</v>
      </c>
      <c r="U263" s="19">
        <f ca="1">IF('Stock Price'!$I$11="OK",H263/INDEX(H$5:H$1258,'Stock Price'!$I$9)-1,"")</f>
        <v>-0.13114138093001415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73.108199999999997</v>
      </c>
      <c r="C264" s="18">
        <v>111.35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-0.47229536595928978</v>
      </c>
      <c r="P264" s="19">
        <f ca="1">IF('Stock Price'!$I$11="OK",C264/INDEX(C$5:C$1258,'Stock Price'!$I$9)-1,"")</f>
        <v>-0.3904475160804709</v>
      </c>
      <c r="Q264" s="19">
        <f ca="1">IF('Stock Price'!$I$11="OK",D264/INDEX(D$5:D$1258,'Stock Price'!$I$9)-1,"")</f>
        <v>-0.38122103566391297</v>
      </c>
      <c r="R264" s="19">
        <f ca="1">IF('Stock Price'!$I$11="OK",E264/INDEX(E$5:E$1258,'Stock Price'!$I$9)-1,"")</f>
        <v>-0.21321671525753172</v>
      </c>
      <c r="S264" s="19">
        <f ca="1">IF('Stock Price'!$I$11="OK",F264/INDEX(F$5:F$1258,'Stock Price'!$I$9)-1,"")</f>
        <v>-0.17934895293385855</v>
      </c>
      <c r="T264" s="19">
        <f ca="1">IF('Stock Price'!$I$11="OK",G264/INDEX(G$5:G$1258,'Stock Price'!$I$9)-1,"")</f>
        <v>0.28947368421052633</v>
      </c>
      <c r="U264" s="19">
        <f ca="1">IF('Stock Price'!$I$11="OK",H264/INDEX(H$5:H$1258,'Stock Price'!$I$9)-1,"")</f>
        <v>-0.13405354626585242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74.752899999999997</v>
      </c>
      <c r="C265" s="18">
        <v>114.3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-0.46042370434531543</v>
      </c>
      <c r="P265" s="19">
        <f ca="1">IF('Stock Price'!$I$11="OK",C265/INDEX(C$5:C$1258,'Stock Price'!$I$9)-1,"")</f>
        <v>-0.37429861776378825</v>
      </c>
      <c r="Q265" s="19">
        <f ca="1">IF('Stock Price'!$I$11="OK",D265/INDEX(D$5:D$1258,'Stock Price'!$I$9)-1,"")</f>
        <v>-0.36933306467862181</v>
      </c>
      <c r="R265" s="19">
        <f ca="1">IF('Stock Price'!$I$11="OK",E265/INDEX(E$5:E$1258,'Stock Price'!$I$9)-1,"")</f>
        <v>-0.19922254616132162</v>
      </c>
      <c r="S265" s="19">
        <f ca="1">IF('Stock Price'!$I$11="OK",F265/INDEX(F$5:F$1258,'Stock Price'!$I$9)-1,"")</f>
        <v>-0.16151772755546334</v>
      </c>
      <c r="T265" s="19">
        <f ca="1">IF('Stock Price'!$I$11="OK",G265/INDEX(G$5:G$1258,'Stock Price'!$I$9)-1,"")</f>
        <v>0.32157894736842096</v>
      </c>
      <c r="U265" s="19">
        <f ca="1">IF('Stock Price'!$I$11="OK",H265/INDEX(H$5:H$1258,'Stock Price'!$I$9)-1,"")</f>
        <v>-0.11582902771254111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74.965699999999998</v>
      </c>
      <c r="C266" s="18">
        <v>109.88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-0.45888768586689765</v>
      </c>
      <c r="P266" s="19">
        <f ca="1">IF('Stock Price'!$I$11="OK",C266/INDEX(C$5:C$1258,'Stock Price'!$I$9)-1,"")</f>
        <v>-0.39849459422471611</v>
      </c>
      <c r="Q266" s="19">
        <f ca="1">IF('Stock Price'!$I$11="OK",D266/INDEX(D$5:D$1258,'Stock Price'!$I$9)-1,"")</f>
        <v>-0.37034051984686689</v>
      </c>
      <c r="R266" s="19">
        <f ca="1">IF('Stock Price'!$I$11="OK",E266/INDEX(E$5:E$1258,'Stock Price'!$I$9)-1,"")</f>
        <v>-0.20155490767735673</v>
      </c>
      <c r="S266" s="19">
        <f ca="1">IF('Stock Price'!$I$11="OK",F266/INDEX(F$5:F$1258,'Stock Price'!$I$9)-1,"")</f>
        <v>-0.16960398092473561</v>
      </c>
      <c r="T266" s="19">
        <f ca="1">IF('Stock Price'!$I$11="OK",G266/INDEX(G$5:G$1258,'Stock Price'!$I$9)-1,"")</f>
        <v>0.30881578947368427</v>
      </c>
      <c r="U266" s="19">
        <f ca="1">IF('Stock Price'!$I$11="OK",H266/INDEX(H$5:H$1258,'Stock Price'!$I$9)-1,"")</f>
        <v>-0.11122592766557071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74.017600000000002</v>
      </c>
      <c r="C267" s="18">
        <v>108.25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-0.46573119676627683</v>
      </c>
      <c r="P267" s="19">
        <f ca="1">IF('Stock Price'!$I$11="OK",C267/INDEX(C$5:C$1258,'Stock Price'!$I$9)-1,"")</f>
        <v>-0.40741754482003567</v>
      </c>
      <c r="Q267" s="19">
        <f ca="1">IF('Stock Price'!$I$11="OK",D267/INDEX(D$5:D$1258,'Stock Price'!$I$9)-1,"")</f>
        <v>-0.36913157364497284</v>
      </c>
      <c r="R267" s="19">
        <f ca="1">IF('Stock Price'!$I$11="OK",E267/INDEX(E$5:E$1258,'Stock Price'!$I$9)-1,"")</f>
        <v>-0.2128279883381925</v>
      </c>
      <c r="S267" s="19">
        <f ca="1">IF('Stock Price'!$I$11="OK",F267/INDEX(F$5:F$1258,'Stock Price'!$I$9)-1,"")</f>
        <v>-0.17810491395397055</v>
      </c>
      <c r="T267" s="19">
        <f ca="1">IF('Stock Price'!$I$11="OK",G267/INDEX(G$5:G$1258,'Stock Price'!$I$9)-1,"")</f>
        <v>0.30921052631578938</v>
      </c>
      <c r="U267" s="19">
        <f ca="1">IF('Stock Price'!$I$11="OK",H267/INDEX(H$5:H$1258,'Stock Price'!$I$9)-1,"")</f>
        <v>-0.12390793799906052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73.088899999999995</v>
      </c>
      <c r="C268" s="18">
        <v>109.88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-0.47243467590587551</v>
      </c>
      <c r="P268" s="19">
        <f ca="1">IF('Stock Price'!$I$11="OK",C268/INDEX(C$5:C$1258,'Stock Price'!$I$9)-1,"")</f>
        <v>-0.39849459422471611</v>
      </c>
      <c r="Q268" s="19">
        <f ca="1">IF('Stock Price'!$I$11="OK",D268/INDEX(D$5:D$1258,'Stock Price'!$I$9)-1,"")</f>
        <v>-0.37416884948619789</v>
      </c>
      <c r="R268" s="19">
        <f ca="1">IF('Stock Price'!$I$11="OK",E268/INDEX(E$5:E$1258,'Stock Price'!$I$9)-1,"")</f>
        <v>-0.22137998056365404</v>
      </c>
      <c r="S268" s="19">
        <f ca="1">IF('Stock Price'!$I$11="OK",F268/INDEX(F$5:F$1258,'Stock Price'!$I$9)-1,"")</f>
        <v>-0.17831225378395177</v>
      </c>
      <c r="T268" s="19">
        <f ca="1">IF('Stock Price'!$I$11="OK",G268/INDEX(G$5:G$1258,'Stock Price'!$I$9)-1,"")</f>
        <v>0.31052631578947354</v>
      </c>
      <c r="U268" s="19">
        <f ca="1">IF('Stock Price'!$I$11="OK",H268/INDEX(H$5:H$1258,'Stock Price'!$I$9)-1,"")</f>
        <v>-0.12691404415218421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74.588399999999993</v>
      </c>
      <c r="C269" s="18">
        <v>109.9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-0.46161108705067133</v>
      </c>
      <c r="P269" s="19">
        <f ca="1">IF('Stock Price'!$I$11="OK",C269/INDEX(C$5:C$1258,'Stock Price'!$I$9)-1,"")</f>
        <v>-0.39838511016833178</v>
      </c>
      <c r="Q269" s="19">
        <f ca="1">IF('Stock Price'!$I$11="OK",D269/INDEX(D$5:D$1258,'Stock Price'!$I$9)-1,"")</f>
        <v>-0.35784807576062871</v>
      </c>
      <c r="R269" s="19">
        <f ca="1">IF('Stock Price'!$I$11="OK",E269/INDEX(E$5:E$1258,'Stock Price'!$I$9)-1,"")</f>
        <v>-0.20777453838678339</v>
      </c>
      <c r="S269" s="19">
        <f ca="1">IF('Stock Price'!$I$11="OK",F269/INDEX(F$5:F$1258,'Stock Price'!$I$9)-1,"")</f>
        <v>-0.16151772755546334</v>
      </c>
      <c r="T269" s="19">
        <f ca="1">IF('Stock Price'!$I$11="OK",G269/INDEX(G$5:G$1258,'Stock Price'!$I$9)-1,"")</f>
        <v>0.31578947368421062</v>
      </c>
      <c r="U269" s="19">
        <f ca="1">IF('Stock Price'!$I$11="OK",H269/INDEX(H$5:H$1258,'Stock Price'!$I$9)-1,"")</f>
        <v>-0.10126820103334899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75.1785</v>
      </c>
      <c r="C270" s="18">
        <v>108.96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-0.45735166738847988</v>
      </c>
      <c r="P270" s="19">
        <f ca="1">IF('Stock Price'!$I$11="OK",C270/INDEX(C$5:C$1258,'Stock Price'!$I$9)-1,"")</f>
        <v>-0.4035308608183934</v>
      </c>
      <c r="Q270" s="19">
        <f ca="1">IF('Stock Price'!$I$11="OK",D270/INDEX(D$5:D$1258,'Stock Price'!$I$9)-1,"")</f>
        <v>-0.36006447713076772</v>
      </c>
      <c r="R270" s="19">
        <f ca="1">IF('Stock Price'!$I$11="OK",E270/INDEX(E$5:E$1258,'Stock Price'!$I$9)-1,"")</f>
        <v>-0.20952380952380956</v>
      </c>
      <c r="S270" s="19">
        <f ca="1">IF('Stock Price'!$I$11="OK",F270/INDEX(F$5:F$1258,'Stock Price'!$I$9)-1,"")</f>
        <v>-0.15363881401617241</v>
      </c>
      <c r="T270" s="19">
        <f ca="1">IF('Stock Price'!$I$11="OK",G270/INDEX(G$5:G$1258,'Stock Price'!$I$9)-1,"")</f>
        <v>0.34210526315789469</v>
      </c>
      <c r="U270" s="19">
        <f ca="1">IF('Stock Price'!$I$11="OK",H270/INDEX(H$5:H$1258,'Stock Price'!$I$9)-1,"")</f>
        <v>-8.5298262094880228E-2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75.952500000000001</v>
      </c>
      <c r="C271" s="18">
        <v>111.1999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-0.45176483326115202</v>
      </c>
      <c r="P271" s="19">
        <f ca="1">IF('Stock Price'!$I$11="OK",C271/INDEX(C$5:C$1258,'Stock Price'!$I$9)-1,"")</f>
        <v>-0.39126919392363491</v>
      </c>
      <c r="Q271" s="19">
        <f ca="1">IF('Stock Price'!$I$11="OK",D271/INDEX(D$5:D$1258,'Stock Price'!$I$9)-1,"")</f>
        <v>-0.35039290751561558</v>
      </c>
      <c r="R271" s="19">
        <f ca="1">IF('Stock Price'!$I$11="OK",E271/INDEX(E$5:E$1258,'Stock Price'!$I$9)-1,"")</f>
        <v>-0.18950437317784252</v>
      </c>
      <c r="S271" s="19">
        <f ca="1">IF('Stock Price'!$I$11="OK",F271/INDEX(F$5:F$1258,'Stock Price'!$I$9)-1,"")</f>
        <v>-0.1441011818370308</v>
      </c>
      <c r="T271" s="19">
        <f ca="1">IF('Stock Price'!$I$11="OK",G271/INDEX(G$5:G$1258,'Stock Price'!$I$9)-1,"")</f>
        <v>0.3386842105263157</v>
      </c>
      <c r="U271" s="19">
        <f ca="1">IF('Stock Price'!$I$11="OK",H271/INDEX(H$5:H$1258,'Stock Price'!$I$9)-1,"")</f>
        <v>-8.2104274307186587E-2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77.016599999999997</v>
      </c>
      <c r="C272" s="18">
        <v>114.47499999999999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-0.44408401905586836</v>
      </c>
      <c r="P272" s="19">
        <f ca="1">IF('Stock Price'!$I$11="OK",C272/INDEX(C$5:C$1258,'Stock Price'!$I$9)-1,"")</f>
        <v>-0.37334063227042569</v>
      </c>
      <c r="Q272" s="19">
        <f ca="1">IF('Stock Price'!$I$11="OK",D272/INDEX(D$5:D$1258,'Stock Price'!$I$9)-1,"")</f>
        <v>-0.34132581100141046</v>
      </c>
      <c r="R272" s="19">
        <f ca="1">IF('Stock Price'!$I$11="OK",E272/INDEX(E$5:E$1258,'Stock Price'!$I$9)-1,"")</f>
        <v>-0.18872691933916419</v>
      </c>
      <c r="S272" s="19">
        <f ca="1">IF('Stock Price'!$I$11="OK",F272/INDEX(F$5:F$1258,'Stock Price'!$I$9)-1,"")</f>
        <v>-0.13228281152809451</v>
      </c>
      <c r="T272" s="19">
        <f ca="1">IF('Stock Price'!$I$11="OK",G272/INDEX(G$5:G$1258,'Stock Price'!$I$9)-1,"")</f>
        <v>0.36263157894736842</v>
      </c>
      <c r="U272" s="19">
        <f ca="1">IF('Stock Price'!$I$11="OK",H272/INDEX(H$5:H$1258,'Stock Price'!$I$9)-1,"")</f>
        <v>-7.5528417097228795E-2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76.948899999999995</v>
      </c>
      <c r="C273" s="18">
        <v>115.35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-0.44457268658871085</v>
      </c>
      <c r="P273" s="19">
        <f ca="1">IF('Stock Price'!$I$11="OK",C273/INDEX(C$5:C$1258,'Stock Price'!$I$9)-1,"")</f>
        <v>-0.36855070480361307</v>
      </c>
      <c r="Q273" s="19">
        <f ca="1">IF('Stock Price'!$I$11="OK",D273/INDEX(D$5:D$1258,'Stock Price'!$I$9)-1,"")</f>
        <v>-0.34072133790046344</v>
      </c>
      <c r="R273" s="19">
        <f ca="1">IF('Stock Price'!$I$11="OK",E273/INDEX(E$5:E$1258,'Stock Price'!$I$9)-1,"")</f>
        <v>-0.20213799805636545</v>
      </c>
      <c r="S273" s="19">
        <f ca="1">IF('Stock Price'!$I$11="OK",F273/INDEX(F$5:F$1258,'Stock Price'!$I$9)-1,"")</f>
        <v>-0.13788098693759065</v>
      </c>
      <c r="T273" s="19">
        <f ca="1">IF('Stock Price'!$I$11="OK",G273/INDEX(G$5:G$1258,'Stock Price'!$I$9)-1,"")</f>
        <v>0.37052631578947359</v>
      </c>
      <c r="U273" s="19">
        <f ca="1">IF('Stock Price'!$I$11="OK",H273/INDEX(H$5:H$1258,'Stock Price'!$I$9)-1,"")</f>
        <v>-6.3034288398309157E-2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78.129199999999997</v>
      </c>
      <c r="C274" s="18">
        <v>114.4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-0.43605312545113328</v>
      </c>
      <c r="P274" s="19">
        <f ca="1">IF('Stock Price'!$I$11="OK",C274/INDEX(C$5:C$1258,'Stock Price'!$I$9)-1,"")</f>
        <v>-0.37375119748186669</v>
      </c>
      <c r="Q274" s="19">
        <f ca="1">IF('Stock Price'!$I$11="OK",D274/INDEX(D$5:D$1258,'Stock Price'!$I$9)-1,"")</f>
        <v>-0.32963933104976828</v>
      </c>
      <c r="R274" s="19">
        <f ca="1">IF('Stock Price'!$I$11="OK",E274/INDEX(E$5:E$1258,'Stock Price'!$I$9)-1,"")</f>
        <v>-0.19125364431486891</v>
      </c>
      <c r="S274" s="19">
        <f ca="1">IF('Stock Price'!$I$11="OK",F274/INDEX(F$5:F$1258,'Stock Price'!$I$9)-1,"")</f>
        <v>-0.10740203193033382</v>
      </c>
      <c r="T274" s="19">
        <f ca="1">IF('Stock Price'!$I$11="OK",G274/INDEX(G$5:G$1258,'Stock Price'!$I$9)-1,"")</f>
        <v>0.38684210526315788</v>
      </c>
      <c r="U274" s="19">
        <f ca="1">IF('Stock Price'!$I$11="OK",H274/INDEX(H$5:H$1258,'Stock Price'!$I$9)-1,"")</f>
        <v>-5.3358384217942811E-2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78.487099999999998</v>
      </c>
      <c r="C275" s="18">
        <v>116.44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-0.43346975602714011</v>
      </c>
      <c r="P275" s="19">
        <f ca="1">IF('Stock Price'!$I$11="OK",C275/INDEX(C$5:C$1258,'Stock Price'!$I$9)-1,"")</f>
        <v>-0.36258382373066922</v>
      </c>
      <c r="Q275" s="19">
        <f ca="1">IF('Stock Price'!$I$11="OK",D275/INDEX(D$5:D$1258,'Stock Price'!$I$9)-1,"")</f>
        <v>-0.33165424138625832</v>
      </c>
      <c r="R275" s="19">
        <f ca="1">IF('Stock Price'!$I$11="OK",E275/INDEX(E$5:E$1258,'Stock Price'!$I$9)-1,"")</f>
        <v>-0.19650145772594751</v>
      </c>
      <c r="S275" s="19">
        <f ca="1">IF('Stock Price'!$I$11="OK",F275/INDEX(F$5:F$1258,'Stock Price'!$I$9)-1,"")</f>
        <v>-0.10366991499066969</v>
      </c>
      <c r="T275" s="19">
        <f ca="1">IF('Stock Price'!$I$11="OK",G275/INDEX(G$5:G$1258,'Stock Price'!$I$9)-1,"")</f>
        <v>0.40052631578947362</v>
      </c>
      <c r="U275" s="19">
        <f ca="1">IF('Stock Price'!$I$11="OK",H275/INDEX(H$5:H$1258,'Stock Price'!$I$9)-1,"")</f>
        <v>-4.9318929074682938E-2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78.419399999999996</v>
      </c>
      <c r="C276" s="18">
        <v>118.1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-0.43395842355998271</v>
      </c>
      <c r="P276" s="19">
        <f ca="1">IF('Stock Price'!$I$11="OK",C276/INDEX(C$5:C$1258,'Stock Price'!$I$9)-1,"")</f>
        <v>-0.35349664705077333</v>
      </c>
      <c r="Q276" s="19">
        <f ca="1">IF('Stock Price'!$I$11="OK",D276/INDEX(D$5:D$1258,'Stock Price'!$I$9)-1,"")</f>
        <v>-0.32581100141043728</v>
      </c>
      <c r="R276" s="19">
        <f ca="1">IF('Stock Price'!$I$11="OK",E276/INDEX(E$5:E$1258,'Stock Price'!$I$9)-1,"")</f>
        <v>-0.19961127308066084</v>
      </c>
      <c r="S276" s="19">
        <f ca="1">IF('Stock Price'!$I$11="OK",F276/INDEX(F$5:F$1258,'Stock Price'!$I$9)-1,"")</f>
        <v>-0.10864607091022171</v>
      </c>
      <c r="T276" s="19">
        <f ca="1">IF('Stock Price'!$I$11="OK",G276/INDEX(G$5:G$1258,'Stock Price'!$I$9)-1,"")</f>
        <v>0.41736842105263161</v>
      </c>
      <c r="U276" s="19">
        <f ca="1">IF('Stock Price'!$I$11="OK",H276/INDEX(H$5:H$1258,'Stock Price'!$I$9)-1,"")</f>
        <v>-6.2846406763738871E-2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77.964699999999993</v>
      </c>
      <c r="C277" s="18">
        <v>120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-0.43724050815648907</v>
      </c>
      <c r="P277" s="19">
        <f ca="1">IF('Stock Price'!$I$11="OK",C277/INDEX(C$5:C$1258,'Stock Price'!$I$9)-1,"")</f>
        <v>-0.34309566169426586</v>
      </c>
      <c r="Q277" s="19">
        <f ca="1">IF('Stock Price'!$I$11="OK",D277/INDEX(D$5:D$1258,'Stock Price'!$I$9)-1,"")</f>
        <v>-0.33266169655450339</v>
      </c>
      <c r="R277" s="19">
        <f ca="1">IF('Stock Price'!$I$11="OK",E277/INDEX(E$5:E$1258,'Stock Price'!$I$9)-1,"")</f>
        <v>-0.19941690962099134</v>
      </c>
      <c r="S277" s="19">
        <f ca="1">IF('Stock Price'!$I$11="OK",F277/INDEX(F$5:F$1258,'Stock Price'!$I$9)-1,"")</f>
        <v>-0.1096827700601285</v>
      </c>
      <c r="T277" s="19">
        <f ca="1">IF('Stock Price'!$I$11="OK",G277/INDEX(G$5:G$1258,'Stock Price'!$I$9)-1,"")</f>
        <v>0.40552631578947351</v>
      </c>
      <c r="U277" s="19">
        <f ca="1">IF('Stock Price'!$I$11="OK",H277/INDEX(H$5:H$1258,'Stock Price'!$I$9)-1,"")</f>
        <v>-6.6228276186002799E-2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77.761499999999998</v>
      </c>
      <c r="C278" s="18">
        <v>120.95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-0.43870723256821131</v>
      </c>
      <c r="P278" s="19">
        <f ca="1">IF('Stock Price'!$I$11="OK",C278/INDEX(C$5:C$1258,'Stock Price'!$I$9)-1,"")</f>
        <v>-0.33789516901601202</v>
      </c>
      <c r="Q278" s="19">
        <f ca="1">IF('Stock Price'!$I$11="OK",D278/INDEX(D$5:D$1258,'Stock Price'!$I$9)-1,"")</f>
        <v>-0.33830344549667535</v>
      </c>
      <c r="R278" s="19">
        <f ca="1">IF('Stock Price'!$I$11="OK",E278/INDEX(E$5:E$1258,'Stock Price'!$I$9)-1,"")</f>
        <v>-0.20485908649173967</v>
      </c>
      <c r="S278" s="19">
        <f ca="1">IF('Stock Price'!$I$11="OK",F278/INDEX(F$5:F$1258,'Stock Price'!$I$9)-1,"")</f>
        <v>-0.11175616835994184</v>
      </c>
      <c r="T278" s="19">
        <f ca="1">IF('Stock Price'!$I$11="OK",G278/INDEX(G$5:G$1258,'Stock Price'!$I$9)-1,"")</f>
        <v>0.39657894736842114</v>
      </c>
      <c r="U278" s="19">
        <f ca="1">IF('Stock Price'!$I$11="OK",H278/INDEX(H$5:H$1258,'Stock Price'!$I$9)-1,"")</f>
        <v>-7.2334429309535042E-2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79.057900000000004</v>
      </c>
      <c r="C279" s="18">
        <v>119.94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-0.42934964631153449</v>
      </c>
      <c r="P279" s="19">
        <f ca="1">IF('Stock Price'!$I$11="OK",C279/INDEX(C$5:C$1258,'Stock Price'!$I$9)-1,"")</f>
        <v>-0.34342411386341865</v>
      </c>
      <c r="Q279" s="19">
        <f ca="1">IF('Stock Price'!$I$11="OK",D279/INDEX(D$5:D$1258,'Stock Price'!$I$9)-1,"")</f>
        <v>-0.33528107999194035</v>
      </c>
      <c r="R279" s="19">
        <f ca="1">IF('Stock Price'!$I$11="OK",E279/INDEX(E$5:E$1258,'Stock Price'!$I$9)-1,"")</f>
        <v>-0.20213799805636545</v>
      </c>
      <c r="S279" s="19">
        <f ca="1">IF('Stock Price'!$I$11="OK",F279/INDEX(F$5:F$1258,'Stock Price'!$I$9)-1,"")</f>
        <v>-9.558366162139742E-2</v>
      </c>
      <c r="T279" s="19">
        <f ca="1">IF('Stock Price'!$I$11="OK",G279/INDEX(G$5:G$1258,'Stock Price'!$I$9)-1,"")</f>
        <v>0.41789473684210532</v>
      </c>
      <c r="U279" s="19">
        <f ca="1">IF('Stock Price'!$I$11="OK",H279/INDEX(H$5:H$1258,'Stock Price'!$I$9)-1,"")</f>
        <v>-6.8107092531704994E-2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79.144999999999996</v>
      </c>
      <c r="C280" s="18">
        <v>120.22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-0.4287209470189115</v>
      </c>
      <c r="P280" s="19">
        <f ca="1">IF('Stock Price'!$I$11="OK",C280/INDEX(C$5:C$1258,'Stock Price'!$I$9)-1,"")</f>
        <v>-0.34189133707403863</v>
      </c>
      <c r="Q280" s="19">
        <f ca="1">IF('Stock Price'!$I$11="OK",D280/INDEX(D$5:D$1258,'Stock Price'!$I$9)-1,"")</f>
        <v>-0.35643763852508559</v>
      </c>
      <c r="R280" s="19">
        <f ca="1">IF('Stock Price'!$I$11="OK",E280/INDEX(E$5:E$1258,'Stock Price'!$I$9)-1,"")</f>
        <v>-0.20641399416909634</v>
      </c>
      <c r="S280" s="19">
        <f ca="1">IF('Stock Price'!$I$11="OK",F280/INDEX(F$5:F$1258,'Stock Price'!$I$9)-1,"")</f>
        <v>-9.9108438731080106E-2</v>
      </c>
      <c r="T280" s="19">
        <f ca="1">IF('Stock Price'!$I$11="OK",G280/INDEX(G$5:G$1258,'Stock Price'!$I$9)-1,"")</f>
        <v>0.42842105263157904</v>
      </c>
      <c r="U280" s="19">
        <f ca="1">IF('Stock Price'!$I$11="OK",H280/INDEX(H$5:H$1258,'Stock Price'!$I$9)-1,"")</f>
        <v>-5.9934241427900492E-2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79.164299999999997</v>
      </c>
      <c r="C281" s="18">
        <v>121.24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-0.42858163707232566</v>
      </c>
      <c r="P281" s="19">
        <f ca="1">IF('Stock Price'!$I$11="OK",C281/INDEX(C$5:C$1258,'Stock Price'!$I$9)-1,"")</f>
        <v>-0.33630765019843989</v>
      </c>
      <c r="Q281" s="19">
        <f ca="1">IF('Stock Price'!$I$11="OK",D281/INDEX(D$5:D$1258,'Stock Price'!$I$9)-1,"")</f>
        <v>-0.35079588958291363</v>
      </c>
      <c r="R281" s="19">
        <f ca="1">IF('Stock Price'!$I$11="OK",E281/INDEX(E$5:E$1258,'Stock Price'!$I$9)-1,"")</f>
        <v>-0.20621963070942662</v>
      </c>
      <c r="S281" s="19">
        <f ca="1">IF('Stock Price'!$I$11="OK",F281/INDEX(F$5:F$1258,'Stock Price'!$I$9)-1,"")</f>
        <v>-9.9315778561061552E-2</v>
      </c>
      <c r="T281" s="19">
        <f ca="1">IF('Stock Price'!$I$11="OK",G281/INDEX(G$5:G$1258,'Stock Price'!$I$9)-1,"")</f>
        <v>0.36052631578947381</v>
      </c>
      <c r="U281" s="19">
        <f ca="1">IF('Stock Price'!$I$11="OK",H281/INDEX(H$5:H$1258,'Stock Price'!$I$9)-1,"")</f>
        <v>-4.6500704556129646E-2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80.267200000000003</v>
      </c>
      <c r="C282" s="18">
        <v>120.5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-0.42062075934748078</v>
      </c>
      <c r="P282" s="19">
        <f ca="1">IF('Stock Price'!$I$11="OK",C282/INDEX(C$5:C$1258,'Stock Price'!$I$9)-1,"")</f>
        <v>-0.34035856028465861</v>
      </c>
      <c r="Q282" s="19">
        <f ca="1">IF('Stock Price'!$I$11="OK",D282/INDEX(D$5:D$1258,'Stock Price'!$I$9)-1,"")</f>
        <v>-0.34676606890993356</v>
      </c>
      <c r="R282" s="19">
        <f ca="1">IF('Stock Price'!$I$11="OK",E282/INDEX(E$5:E$1258,'Stock Price'!$I$9)-1,"")</f>
        <v>-0.1961127308066084</v>
      </c>
      <c r="S282" s="19">
        <f ca="1">IF('Stock Price'!$I$11="OK",F282/INDEX(F$5:F$1258,'Stock Price'!$I$9)-1,"")</f>
        <v>-0.1013891768608749</v>
      </c>
      <c r="T282" s="19">
        <f ca="1">IF('Stock Price'!$I$11="OK",G282/INDEX(G$5:G$1258,'Stock Price'!$I$9)-1,"")</f>
        <v>0.32263157894736838</v>
      </c>
      <c r="U282" s="19">
        <f ca="1">IF('Stock Price'!$I$11="OK",H282/INDEX(H$5:H$1258,'Stock Price'!$I$9)-1,"")</f>
        <v>-4.5655237200563636E-2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82.356800000000007</v>
      </c>
      <c r="C283" s="18">
        <v>127.28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-0.40553775083008514</v>
      </c>
      <c r="P283" s="19">
        <f ca="1">IF('Stock Price'!$I$11="OK",C283/INDEX(C$5:C$1258,'Stock Price'!$I$9)-1,"")</f>
        <v>-0.30324346517038459</v>
      </c>
      <c r="Q283" s="19">
        <f ca="1">IF('Stock Price'!$I$11="OK",D283/INDEX(D$5:D$1258,'Stock Price'!$I$9)-1,"")</f>
        <v>-0.32560951037678831</v>
      </c>
      <c r="R283" s="19">
        <f ca="1">IF('Stock Price'!$I$11="OK",E283/INDEX(E$5:E$1258,'Stock Price'!$I$9)-1,"")</f>
        <v>-0.17337220602526726</v>
      </c>
      <c r="S283" s="19">
        <f ca="1">IF('Stock Price'!$I$11="OK",F283/INDEX(F$5:F$1258,'Stock Price'!$I$9)-1,"")</f>
        <v>-8.1277213352684896E-2</v>
      </c>
      <c r="T283" s="19">
        <f ca="1">IF('Stock Price'!$I$11="OK",G283/INDEX(G$5:G$1258,'Stock Price'!$I$9)-1,"")</f>
        <v>0.35289473684210515</v>
      </c>
      <c r="U283" s="19">
        <f ca="1">IF('Stock Price'!$I$11="OK",H283/INDEX(H$5:H$1258,'Stock Price'!$I$9)-1,"")</f>
        <v>-4.2837012682010345E-2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81.283000000000001</v>
      </c>
      <c r="C284" s="18">
        <v>123.85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-0.41328858091525911</v>
      </c>
      <c r="P284" s="19">
        <f ca="1">IF('Stock Price'!$I$11="OK",C284/INDEX(C$5:C$1258,'Stock Price'!$I$9)-1,"")</f>
        <v>-0.32201998084029015</v>
      </c>
      <c r="Q284" s="19">
        <f ca="1">IF('Stock Price'!$I$11="OK",D284/INDEX(D$5:D$1258,'Stock Price'!$I$9)-1,"")</f>
        <v>-0.36369131573644975</v>
      </c>
      <c r="R284" s="19">
        <f ca="1">IF('Stock Price'!$I$11="OK",E284/INDEX(E$5:E$1258,'Stock Price'!$I$9)-1,"")</f>
        <v>-0.15937803692905739</v>
      </c>
      <c r="S284" s="19">
        <f ca="1">IF('Stock Price'!$I$11="OK",F284/INDEX(F$5:F$1258,'Stock Price'!$I$9)-1,"")</f>
        <v>-0.11258552767986729</v>
      </c>
      <c r="T284" s="19">
        <f ca="1">IF('Stock Price'!$I$11="OK",G284/INDEX(G$5:G$1258,'Stock Price'!$I$9)-1,"")</f>
        <v>0.32078947368421051</v>
      </c>
      <c r="U284" s="19">
        <f ca="1">IF('Stock Price'!$I$11="OK",H284/INDEX(H$5:H$1258,'Stock Price'!$I$9)-1,"")</f>
        <v>-7.9755753875058844E-2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80.731499999999997</v>
      </c>
      <c r="C285" s="18">
        <v>126.44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-0.41726938068427888</v>
      </c>
      <c r="P285" s="19">
        <f ca="1">IF('Stock Price'!$I$11="OK",C285/INDEX(C$5:C$1258,'Stock Price'!$I$9)-1,"")</f>
        <v>-0.30784179553852475</v>
      </c>
      <c r="Q285" s="19">
        <f ca="1">IF('Stock Price'!$I$11="OK",D285/INDEX(D$5:D$1258,'Stock Price'!$I$9)-1,"")</f>
        <v>-0.34434817650614558</v>
      </c>
      <c r="R285" s="19">
        <f ca="1">IF('Stock Price'!$I$11="OK",E285/INDEX(E$5:E$1258,'Stock Price'!$I$9)-1,"")</f>
        <v>-0.19786200194363457</v>
      </c>
      <c r="S285" s="19">
        <f ca="1">IF('Stock Price'!$I$11="OK",F285/INDEX(F$5:F$1258,'Stock Price'!$I$9)-1,"")</f>
        <v>-0.10408459465063236</v>
      </c>
      <c r="T285" s="19">
        <f ca="1">IF('Stock Price'!$I$11="OK",G285/INDEX(G$5:G$1258,'Stock Price'!$I$9)-1,"")</f>
        <v>0.3505263157894738</v>
      </c>
      <c r="U285" s="19">
        <f ca="1">IF('Stock Price'!$I$11="OK",H285/INDEX(H$5:H$1258,'Stock Price'!$I$9)-1,"")</f>
        <v>-5.7303898543917375E-2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81.099199999999996</v>
      </c>
      <c r="C286" s="18">
        <v>125.94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-0.41461527356720085</v>
      </c>
      <c r="P286" s="19">
        <f ca="1">IF('Stock Price'!$I$11="OK",C286/INDEX(C$5:C$1258,'Stock Price'!$I$9)-1,"")</f>
        <v>-0.31057889694813201</v>
      </c>
      <c r="Q286" s="19">
        <f ca="1">IF('Stock Price'!$I$11="OK",D286/INDEX(D$5:D$1258,'Stock Price'!$I$9)-1,"")</f>
        <v>-0.34938545234737062</v>
      </c>
      <c r="R286" s="19">
        <f ca="1">IF('Stock Price'!$I$11="OK",E286/INDEX(E$5:E$1258,'Stock Price'!$I$9)-1,"")</f>
        <v>-0.1961127308066084</v>
      </c>
      <c r="S286" s="19">
        <f ca="1">IF('Stock Price'!$I$11="OK",F286/INDEX(F$5:F$1258,'Stock Price'!$I$9)-1,"")</f>
        <v>-9.7035040431266872E-2</v>
      </c>
      <c r="T286" s="19">
        <f ca="1">IF('Stock Price'!$I$11="OK",G286/INDEX(G$5:G$1258,'Stock Price'!$I$9)-1,"")</f>
        <v>0.40578947368421048</v>
      </c>
      <c r="U286" s="19">
        <f ca="1">IF('Stock Price'!$I$11="OK",H286/INDEX(H$5:H$1258,'Stock Price'!$I$9)-1,"")</f>
        <v>-6.4349459840300716E-2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80.828299999999999</v>
      </c>
      <c r="C287" s="18">
        <v>126.2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-0.41657066551176558</v>
      </c>
      <c r="P287" s="19">
        <f ca="1">IF('Stock Price'!$I$11="OK",C287/INDEX(C$5:C$1258,'Stock Price'!$I$9)-1,"")</f>
        <v>-0.30915560421513621</v>
      </c>
      <c r="Q287" s="19">
        <f ca="1">IF('Stock Price'!$I$11="OK",D287/INDEX(D$5:D$1258,'Stock Price'!$I$9)-1,"")</f>
        <v>-0.33689300826113244</v>
      </c>
      <c r="R287" s="19">
        <f ca="1">IF('Stock Price'!$I$11="OK",E287/INDEX(E$5:E$1258,'Stock Price'!$I$9)-1,"")</f>
        <v>-0.2031098153547134</v>
      </c>
      <c r="S287" s="19">
        <f ca="1">IF('Stock Price'!$I$11="OK",F287/INDEX(F$5:F$1258,'Stock Price'!$I$9)-1,"")</f>
        <v>-9.0607505701845281E-2</v>
      </c>
      <c r="T287" s="19">
        <f ca="1">IF('Stock Price'!$I$11="OK",G287/INDEX(G$5:G$1258,'Stock Price'!$I$9)-1,"")</f>
        <v>0.38473684210526304</v>
      </c>
      <c r="U287" s="19">
        <f ca="1">IF('Stock Price'!$I$11="OK",H287/INDEX(H$5:H$1258,'Stock Price'!$I$9)-1,"")</f>
        <v>-6.1249412869891939E-2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80.741200000000006</v>
      </c>
      <c r="C288" s="18">
        <v>126.4599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-0.41719936480438857</v>
      </c>
      <c r="P288" s="19">
        <f ca="1">IF('Stock Price'!$I$11="OK",C288/INDEX(C$5:C$1258,'Stock Price'!$I$9)-1,"")</f>
        <v>-0.3077328589024223</v>
      </c>
      <c r="Q288" s="19">
        <f ca="1">IF('Stock Price'!$I$11="OK",D288/INDEX(D$5:D$1258,'Stock Price'!$I$9)-1,"")</f>
        <v>-0.34334072133790039</v>
      </c>
      <c r="R288" s="19">
        <f ca="1">IF('Stock Price'!$I$11="OK",E288/INDEX(E$5:E$1258,'Stock Price'!$I$9)-1,"")</f>
        <v>-0.21904761904761905</v>
      </c>
      <c r="S288" s="19">
        <f ca="1">IF('Stock Price'!$I$11="OK",F288/INDEX(F$5:F$1258,'Stock Price'!$I$9)-1,"")</f>
        <v>-9.3717603151565299E-2</v>
      </c>
      <c r="T288" s="19">
        <f ca="1">IF('Stock Price'!$I$11="OK",G288/INDEX(G$5:G$1258,'Stock Price'!$I$9)-1,"")</f>
        <v>0.38236842105263169</v>
      </c>
      <c r="U288" s="19">
        <f ca="1">IF('Stock Price'!$I$11="OK",H288/INDEX(H$5:H$1258,'Stock Price'!$I$9)-1,"")</f>
        <v>-3.889149835603567E-2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82.908199999999994</v>
      </c>
      <c r="C289" s="18">
        <v>127.9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-0.40155767287426014</v>
      </c>
      <c r="P289" s="19">
        <f ca="1">IF('Stock Price'!$I$11="OK",C289/INDEX(C$5:C$1258,'Stock Price'!$I$9)-1,"")</f>
        <v>-0.29984945942247165</v>
      </c>
      <c r="Q289" s="19">
        <f ca="1">IF('Stock Price'!$I$11="OK",D289/INDEX(D$5:D$1258,'Stock Price'!$I$9)-1,"")</f>
        <v>-0.33729599032843038</v>
      </c>
      <c r="R289" s="19">
        <f ca="1">IF('Stock Price'!$I$11="OK",E289/INDEX(E$5:E$1258,'Stock Price'!$I$9)-1,"")</f>
        <v>-0.21963070942662788</v>
      </c>
      <c r="S289" s="19">
        <f ca="1">IF('Stock Price'!$I$11="OK",F289/INDEX(F$5:F$1258,'Stock Price'!$I$9)-1,"")</f>
        <v>-7.7130416753058206E-2</v>
      </c>
      <c r="T289" s="19">
        <f ca="1">IF('Stock Price'!$I$11="OK",G289/INDEX(G$5:G$1258,'Stock Price'!$I$9)-1,"")</f>
        <v>0.41552631578947374</v>
      </c>
      <c r="U289" s="19">
        <f ca="1">IF('Stock Price'!$I$11="OK",H289/INDEX(H$5:H$1258,'Stock Price'!$I$9)-1,"")</f>
        <v>-2.0854861437294536E-2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83.962699999999998</v>
      </c>
      <c r="C290" s="18">
        <v>129.75989999999999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-0.39394615273567202</v>
      </c>
      <c r="P290" s="19">
        <f ca="1">IF('Stock Price'!$I$11="OK",C290/INDEX(C$5:C$1258,'Stock Price'!$I$9)-1,"")</f>
        <v>-0.28966798959901474</v>
      </c>
      <c r="Q290" s="19">
        <f ca="1">IF('Stock Price'!$I$11="OK",D290/INDEX(D$5:D$1258,'Stock Price'!$I$9)-1,"")</f>
        <v>-0.32621398347773534</v>
      </c>
      <c r="R290" s="19">
        <f ca="1">IF('Stock Price'!$I$11="OK",E290/INDEX(E$5:E$1258,'Stock Price'!$I$9)-1,"")</f>
        <v>-0.22429543245869787</v>
      </c>
      <c r="S290" s="19">
        <f ca="1">IF('Stock Price'!$I$11="OK",F290/INDEX(F$5:F$1258,'Stock Price'!$I$9)-1,"")</f>
        <v>-7.2361600663487402E-2</v>
      </c>
      <c r="T290" s="19">
        <f ca="1">IF('Stock Price'!$I$11="OK",G290/INDEX(G$5:G$1258,'Stock Price'!$I$9)-1,"")</f>
        <v>0.43157894736842106</v>
      </c>
      <c r="U290" s="19">
        <f ca="1">IF('Stock Price'!$I$11="OK",H290/INDEX(H$5:H$1258,'Stock Price'!$I$9)-1,"")</f>
        <v>-7.89102865194935E-3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84.843100000000007</v>
      </c>
      <c r="C291" s="18">
        <v>130.125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-0.38759130936913522</v>
      </c>
      <c r="P291" s="19">
        <f ca="1">IF('Stock Price'!$I$11="OK",C291/INDEX(C$5:C$1258,'Stock Price'!$I$9)-1,"")</f>
        <v>-0.2876693581497195</v>
      </c>
      <c r="Q291" s="19">
        <f ca="1">IF('Stock Price'!$I$11="OK",D291/INDEX(D$5:D$1258,'Stock Price'!$I$9)-1,"")</f>
        <v>-0.3179528510981261</v>
      </c>
      <c r="R291" s="19">
        <f ca="1">IF('Stock Price'!$I$11="OK",E291/INDEX(E$5:E$1258,'Stock Price'!$I$9)-1,"")</f>
        <v>-0.22526724975704571</v>
      </c>
      <c r="S291" s="19">
        <f ca="1">IF('Stock Price'!$I$11="OK",F291/INDEX(F$5:F$1258,'Stock Price'!$I$9)-1,"")</f>
        <v>-6.5934065934065922E-2</v>
      </c>
      <c r="T291" s="19">
        <f ca="1">IF('Stock Price'!$I$11="OK",G291/INDEX(G$5:G$1258,'Stock Price'!$I$9)-1,"")</f>
        <v>0.43710526315789466</v>
      </c>
      <c r="U291" s="19">
        <f ca="1">IF('Stock Price'!$I$11="OK",H291/INDEX(H$5:H$1258,'Stock Price'!$I$9)-1,"")</f>
        <v>4.2273367778300486E-3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84.446399999999997</v>
      </c>
      <c r="C292" s="18">
        <v>130.56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-0.39045474231268951</v>
      </c>
      <c r="P292" s="19">
        <f ca="1">IF('Stock Price'!$I$11="OK",C292/INDEX(C$5:C$1258,'Stock Price'!$I$9)-1,"")</f>
        <v>-0.28528807992336114</v>
      </c>
      <c r="Q292" s="19">
        <f ca="1">IF('Stock Price'!$I$11="OK",D292/INDEX(D$5:D$1258,'Stock Price'!$I$9)-1,"")</f>
        <v>-0.32117670763651029</v>
      </c>
      <c r="R292" s="19">
        <f ca="1">IF('Stock Price'!$I$11="OK",E292/INDEX(E$5:E$1258,'Stock Price'!$I$9)-1,"")</f>
        <v>-0.2104956268221575</v>
      </c>
      <c r="S292" s="19">
        <f ca="1">IF('Stock Price'!$I$11="OK",F292/INDEX(F$5:F$1258,'Stock Price'!$I$9)-1,"")</f>
        <v>-6.6141405764047256E-2</v>
      </c>
      <c r="T292" s="19">
        <f ca="1">IF('Stock Price'!$I$11="OK",G292/INDEX(G$5:G$1258,'Stock Price'!$I$9)-1,"")</f>
        <v>0.43394736842105264</v>
      </c>
      <c r="U292" s="19">
        <f ca="1">IF('Stock Price'!$I$11="OK",H292/INDEX(H$5:H$1258,'Stock Price'!$I$9)-1,"")</f>
        <v>3.4758102395489043E-3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84.852800000000002</v>
      </c>
      <c r="C293" s="18">
        <v>133.25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-0.38752129348924491</v>
      </c>
      <c r="P293" s="19">
        <f ca="1">IF('Stock Price'!$I$11="OK",C293/INDEX(C$5:C$1258,'Stock Price'!$I$9)-1,"")</f>
        <v>-0.27056247433967429</v>
      </c>
      <c r="Q293" s="19">
        <f ca="1">IF('Stock Price'!$I$11="OK",D293/INDEX(D$5:D$1258,'Stock Price'!$I$9)-1,"")</f>
        <v>-0.31513197662704007</v>
      </c>
      <c r="R293" s="19">
        <f ca="1">IF('Stock Price'!$I$11="OK",E293/INDEX(E$5:E$1258,'Stock Price'!$I$9)-1,"")</f>
        <v>-0.20194363459669584</v>
      </c>
      <c r="S293" s="19">
        <f ca="1">IF('Stock Price'!$I$11="OK",F293/INDEX(F$5:F$1258,'Stock Price'!$I$9)-1,"")</f>
        <v>-5.8884511714700327E-2</v>
      </c>
      <c r="T293" s="19">
        <f ca="1">IF('Stock Price'!$I$11="OK",G293/INDEX(G$5:G$1258,'Stock Price'!$I$9)-1,"")</f>
        <v>0.45921052631578951</v>
      </c>
      <c r="U293" s="19">
        <f ca="1">IF('Stock Price'!$I$11="OK",H293/INDEX(H$5:H$1258,'Stock Price'!$I$9)-1,"")</f>
        <v>9.863785814936632E-3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84.823700000000002</v>
      </c>
      <c r="C294" s="18">
        <v>133.9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-0.38773134112891583</v>
      </c>
      <c r="P294" s="19">
        <f ca="1">IF('Stock Price'!$I$11="OK",C294/INDEX(C$5:C$1258,'Stock Price'!$I$9)-1,"")</f>
        <v>-0.26700424250718491</v>
      </c>
      <c r="Q294" s="19">
        <f ca="1">IF('Stock Price'!$I$11="OK",D294/INDEX(D$5:D$1258,'Stock Price'!$I$9)-1,"")</f>
        <v>-0.31976627040096728</v>
      </c>
      <c r="R294" s="19">
        <f ca="1">IF('Stock Price'!$I$11="OK",E294/INDEX(E$5:E$1258,'Stock Price'!$I$9)-1,"")</f>
        <v>-0.20136054421768701</v>
      </c>
      <c r="S294" s="19">
        <f ca="1">IF('Stock Price'!$I$11="OK",F294/INDEX(F$5:F$1258,'Stock Price'!$I$9)-1,"")</f>
        <v>-5.577441426498031E-2</v>
      </c>
      <c r="T294" s="19">
        <f ca="1">IF('Stock Price'!$I$11="OK",G294/INDEX(G$5:G$1258,'Stock Price'!$I$9)-1,"")</f>
        <v>0.46710526315789469</v>
      </c>
      <c r="U294" s="19">
        <f ca="1">IF('Stock Price'!$I$11="OK",H294/INDEX(H$5:H$1258,'Stock Price'!$I$9)-1,"")</f>
        <v>1.8788163457022167E-2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84.514200000000002</v>
      </c>
      <c r="C295" s="18">
        <v>131.31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-0.38996535296665213</v>
      </c>
      <c r="P295" s="19">
        <f ca="1">IF('Stock Price'!$I$11="OK",C295/INDEX(C$5:C$1258,'Stock Price'!$I$9)-1,"")</f>
        <v>-0.28118242780895031</v>
      </c>
      <c r="Q295" s="19">
        <f ca="1">IF('Stock Price'!$I$11="OK",D295/INDEX(D$5:D$1258,'Stock Price'!$I$9)-1,"")</f>
        <v>-0.30767680838202704</v>
      </c>
      <c r="R295" s="19">
        <f ca="1">IF('Stock Price'!$I$11="OK",E295/INDEX(E$5:E$1258,'Stock Price'!$I$9)-1,"")</f>
        <v>-0.20971817298347917</v>
      </c>
      <c r="S295" s="19">
        <f ca="1">IF('Stock Price'!$I$11="OK",F295/INDEX(F$5:F$1258,'Stock Price'!$I$9)-1,"")</f>
        <v>-4.893219987559605E-2</v>
      </c>
      <c r="T295" s="19">
        <f ca="1">IF('Stock Price'!$I$11="OK",G295/INDEX(G$5:G$1258,'Stock Price'!$I$9)-1,"")</f>
        <v>0.47263157894736851</v>
      </c>
      <c r="U295" s="19">
        <f ca="1">IF('Stock Price'!$I$11="OK",H295/INDEX(H$5:H$1258,'Stock Price'!$I$9)-1,"")</f>
        <v>2.2451855331141468E-2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86.642499999999998</v>
      </c>
      <c r="C296" s="18">
        <v>132.1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-0.37460300274289016</v>
      </c>
      <c r="P296" s="19">
        <f ca="1">IF('Stock Price'!$I$11="OK",C296/INDEX(C$5:C$1258,'Stock Price'!$I$9)-1,"")</f>
        <v>-0.27685780758177103</v>
      </c>
      <c r="Q296" s="19">
        <f ca="1">IF('Stock Price'!$I$11="OK",D296/INDEX(D$5:D$1258,'Stock Price'!$I$9)-1,"")</f>
        <v>-0.30304251460809994</v>
      </c>
      <c r="R296" s="19">
        <f ca="1">IF('Stock Price'!$I$11="OK",E296/INDEX(E$5:E$1258,'Stock Price'!$I$9)-1,"")</f>
        <v>-0.20466472303206995</v>
      </c>
      <c r="S296" s="19">
        <f ca="1">IF('Stock Price'!$I$11="OK",F296/INDEX(F$5:F$1258,'Stock Price'!$I$9)-1,"")</f>
        <v>-5.9713871034625665E-2</v>
      </c>
      <c r="T296" s="19">
        <f ca="1">IF('Stock Price'!$I$11="OK",G296/INDEX(G$5:G$1258,'Stock Price'!$I$9)-1,"")</f>
        <v>0.45736842105263165</v>
      </c>
      <c r="U296" s="19">
        <f ca="1">IF('Stock Price'!$I$11="OK",H296/INDEX(H$5:H$1258,'Stock Price'!$I$9)-1,"")</f>
        <v>3.4476279943635557E-2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86.894000000000005</v>
      </c>
      <c r="C297" s="18">
        <v>138.25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-0.37278764255810592</v>
      </c>
      <c r="P297" s="19">
        <f ca="1">IF('Stock Price'!$I$11="OK",C297/INDEX(C$5:C$1258,'Stock Price'!$I$9)-1,"")</f>
        <v>-0.24319146024360205</v>
      </c>
      <c r="Q297" s="19">
        <f ca="1">IF('Stock Price'!$I$11="OK",D297/INDEX(D$5:D$1258,'Stock Price'!$I$9)-1,"")</f>
        <v>-0.2941769091275438</v>
      </c>
      <c r="R297" s="19">
        <f ca="1">IF('Stock Price'!$I$11="OK",E297/INDEX(E$5:E$1258,'Stock Price'!$I$9)-1,"")</f>
        <v>-0.20038872691933918</v>
      </c>
      <c r="S297" s="19">
        <f ca="1">IF('Stock Price'!$I$11="OK",F297/INDEX(F$5:F$1258,'Stock Price'!$I$9)-1,"")</f>
        <v>-4.893219987559605E-2</v>
      </c>
      <c r="T297" s="19">
        <f ca="1">IF('Stock Price'!$I$11="OK",G297/INDEX(G$5:G$1258,'Stock Price'!$I$9)-1,"")</f>
        <v>0.44815789473684209</v>
      </c>
      <c r="U297" s="19">
        <f ca="1">IF('Stock Price'!$I$11="OK",H297/INDEX(H$5:H$1258,'Stock Price'!$I$9)-1,"")</f>
        <v>3.1470173790511868E-2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87.058499999999995</v>
      </c>
      <c r="C298" s="18">
        <v>137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-0.37160025985275014</v>
      </c>
      <c r="P298" s="19">
        <f ca="1">IF('Stock Price'!$I$11="OK",C298/INDEX(C$5:C$1258,'Stock Price'!$I$9)-1,"")</f>
        <v>-0.25003421376762014</v>
      </c>
      <c r="Q298" s="19">
        <f ca="1">IF('Stock Price'!$I$11="OK",D298/INDEX(D$5:D$1258,'Stock Price'!$I$9)-1,"")</f>
        <v>-0.28772919605077574</v>
      </c>
      <c r="R298" s="19">
        <f ca="1">IF('Stock Price'!$I$11="OK",E298/INDEX(E$5:E$1258,'Stock Price'!$I$9)-1,"")</f>
        <v>-0.20155490767735673</v>
      </c>
      <c r="S298" s="19">
        <f ca="1">IF('Stock Price'!$I$11="OK",F298/INDEX(F$5:F$1258,'Stock Price'!$I$9)-1,"")</f>
        <v>-6.676342525399126E-2</v>
      </c>
      <c r="T298" s="19">
        <f ca="1">IF('Stock Price'!$I$11="OK",G298/INDEX(G$5:G$1258,'Stock Price'!$I$9)-1,"")</f>
        <v>0.4431578947368422</v>
      </c>
      <c r="U298" s="19">
        <f ca="1">IF('Stock Price'!$I$11="OK",H298/INDEX(H$5:H$1258,'Stock Price'!$I$9)-1,"")</f>
        <v>3.3724753405354635E-2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87.996899999999997</v>
      </c>
      <c r="C299" s="18">
        <v>136.75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-0.36482676483326115</v>
      </c>
      <c r="P299" s="19">
        <f ca="1">IF('Stock Price'!$I$11="OK",C299/INDEX(C$5:C$1258,'Stock Price'!$I$9)-1,"")</f>
        <v>-0.25140276447242371</v>
      </c>
      <c r="Q299" s="19">
        <f ca="1">IF('Stock Price'!$I$11="OK",D299/INDEX(D$5:D$1258,'Stock Price'!$I$9)-1,"")</f>
        <v>-0.29155752569010684</v>
      </c>
      <c r="R299" s="19">
        <f ca="1">IF('Stock Price'!$I$11="OK",E299/INDEX(E$5:E$1258,'Stock Price'!$I$9)-1,"")</f>
        <v>-0.20660835762876584</v>
      </c>
      <c r="S299" s="19">
        <f ca="1">IF('Stock Price'!$I$11="OK",F299/INDEX(F$5:F$1258,'Stock Price'!$I$9)-1,"")</f>
        <v>-6.8422143893841936E-2</v>
      </c>
      <c r="T299" s="19">
        <f ca="1">IF('Stock Price'!$I$11="OK",G299/INDEX(G$5:G$1258,'Stock Price'!$I$9)-1,"")</f>
        <v>0.39710526315789485</v>
      </c>
      <c r="U299" s="19">
        <f ca="1">IF('Stock Price'!$I$11="OK",H299/INDEX(H$5:H$1258,'Stock Price'!$I$9)-1,"")</f>
        <v>3.3442930953499372E-2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87.784099999999995</v>
      </c>
      <c r="C300" s="18">
        <v>136.75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-0.36636278331167893</v>
      </c>
      <c r="P300" s="19">
        <f ca="1">IF('Stock Price'!$I$11="OK",C300/INDEX(C$5:C$1258,'Stock Price'!$I$9)-1,"")</f>
        <v>-0.25140276447242371</v>
      </c>
      <c r="Q300" s="19">
        <f ca="1">IF('Stock Price'!$I$11="OK",D300/INDEX(D$5:D$1258,'Stock Price'!$I$9)-1,"")</f>
        <v>-0.23594600040298208</v>
      </c>
      <c r="R300" s="19">
        <f ca="1">IF('Stock Price'!$I$11="OK",E300/INDEX(E$5:E$1258,'Stock Price'!$I$9)-1,"")</f>
        <v>-0.21729834791059277</v>
      </c>
      <c r="S300" s="19">
        <f ca="1">IF('Stock Price'!$I$11="OK",F300/INDEX(F$5:F$1258,'Stock Price'!$I$9)-1,"")</f>
        <v>6.6348745594029257E-3</v>
      </c>
      <c r="T300" s="19">
        <f ca="1">IF('Stock Price'!$I$11="OK",G300/INDEX(G$5:G$1258,'Stock Price'!$I$9)-1,"")</f>
        <v>0.39184210526315799</v>
      </c>
      <c r="U300" s="19">
        <f ca="1">IF('Stock Price'!$I$11="OK",H300/INDEX(H$5:H$1258,'Stock Price'!$I$9)-1,"")</f>
        <v>2.3297322686707478E-2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88.741799999999998</v>
      </c>
      <c r="C301" s="18">
        <v>136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-0.3594499783456041</v>
      </c>
      <c r="P301" s="19">
        <f ca="1">IF('Stock Price'!$I$11="OK",C301/INDEX(C$5:C$1258,'Stock Price'!$I$9)-1,"")</f>
        <v>-0.25550841658683454</v>
      </c>
      <c r="Q301" s="19">
        <f ca="1">IF('Stock Price'!$I$11="OK",D301/INDEX(D$5:D$1258,'Stock Price'!$I$9)-1,"")</f>
        <v>-0.25690106790247835</v>
      </c>
      <c r="R301" s="19">
        <f ca="1">IF('Stock Price'!$I$11="OK",E301/INDEX(E$5:E$1258,'Stock Price'!$I$9)-1,"")</f>
        <v>-0.22351797862001943</v>
      </c>
      <c r="S301" s="19">
        <f ca="1">IF('Stock Price'!$I$11="OK",F301/INDEX(F$5:F$1258,'Stock Price'!$I$9)-1,"")</f>
        <v>-6.0128550694588112E-3</v>
      </c>
      <c r="T301" s="19">
        <f ca="1">IF('Stock Price'!$I$11="OK",G301/INDEX(G$5:G$1258,'Stock Price'!$I$9)-1,"")</f>
        <v>0.38947368421052619</v>
      </c>
      <c r="U301" s="19">
        <f ca="1">IF('Stock Price'!$I$11="OK",H301/INDEX(H$5:H$1258,'Stock Price'!$I$9)-1,"")</f>
        <v>3.4194457491780073E-2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88.596699999999998</v>
      </c>
      <c r="C302" s="18">
        <v>139.04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-0.36049732929117939</v>
      </c>
      <c r="P302" s="19">
        <f ca="1">IF('Stock Price'!$I$11="OK",C302/INDEX(C$5:C$1258,'Stock Price'!$I$9)-1,"")</f>
        <v>-0.23886684001642267</v>
      </c>
      <c r="Q302" s="19">
        <f ca="1">IF('Stock Price'!$I$11="OK",D302/INDEX(D$5:D$1258,'Stock Price'!$I$9)-1,"")</f>
        <v>-0.26254281684465042</v>
      </c>
      <c r="R302" s="19">
        <f ca="1">IF('Stock Price'!$I$11="OK",E302/INDEX(E$5:E$1258,'Stock Price'!$I$9)-1,"")</f>
        <v>-0.21341107871720122</v>
      </c>
      <c r="S302" s="19">
        <f ca="1">IF('Stock Price'!$I$11="OK",F302/INDEX(F$5:F$1258,'Stock Price'!$I$9)-1,"")</f>
        <v>-2.7161517727555373E-2</v>
      </c>
      <c r="T302" s="19">
        <f ca="1">IF('Stock Price'!$I$11="OK",G302/INDEX(G$5:G$1258,'Stock Price'!$I$9)-1,"")</f>
        <v>0.38763157894736833</v>
      </c>
      <c r="U302" s="19">
        <f ca="1">IF('Stock Price'!$I$11="OK",H302/INDEX(H$5:H$1258,'Stock Price'!$I$9)-1,"")</f>
        <v>4.13339596054485E-2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87.987200000000001</v>
      </c>
      <c r="C303" s="18">
        <v>139.44999999999999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-0.36489678071315135</v>
      </c>
      <c r="P303" s="19">
        <f ca="1">IF('Stock Price'!$I$11="OK",C303/INDEX(C$5:C$1258,'Stock Price'!$I$9)-1,"")</f>
        <v>-0.23662241686054475</v>
      </c>
      <c r="Q303" s="19">
        <f ca="1">IF('Stock Price'!$I$11="OK",D303/INDEX(D$5:D$1258,'Stock Price'!$I$9)-1,"")</f>
        <v>-0.27523675196453767</v>
      </c>
      <c r="R303" s="19">
        <f ca="1">IF('Stock Price'!$I$11="OK",E303/INDEX(E$5:E$1258,'Stock Price'!$I$9)-1,"")</f>
        <v>-0.21263362487852289</v>
      </c>
      <c r="S303" s="19">
        <f ca="1">IF('Stock Price'!$I$11="OK",F303/INDEX(F$5:F$1258,'Stock Price'!$I$9)-1,"")</f>
        <v>-4.0845946506323894E-2</v>
      </c>
      <c r="T303" s="19">
        <f ca="1">IF('Stock Price'!$I$11="OK",G303/INDEX(G$5:G$1258,'Stock Price'!$I$9)-1,"")</f>
        <v>0.39157894736842103</v>
      </c>
      <c r="U303" s="19">
        <f ca="1">IF('Stock Price'!$I$11="OK",H303/INDEX(H$5:H$1258,'Stock Price'!$I$9)-1,"")</f>
        <v>2.1888210427430721E-2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87.919499999999999</v>
      </c>
      <c r="C304" s="18">
        <v>138.55009999999999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-0.36538544824599395</v>
      </c>
      <c r="P304" s="19">
        <f ca="1">IF('Stock Price'!$I$11="OK",C304/INDEX(C$5:C$1258,'Stock Price'!$I$9)-1,"")</f>
        <v>-0.24154865197755593</v>
      </c>
      <c r="Q304" s="19">
        <f ca="1">IF('Stock Price'!$I$11="OK",D304/INDEX(D$5:D$1258,'Stock Price'!$I$9)-1,"")</f>
        <v>-0.28047551883941169</v>
      </c>
      <c r="R304" s="19">
        <f ca="1">IF('Stock Price'!$I$11="OK",E304/INDEX(E$5:E$1258,'Stock Price'!$I$9)-1,"")</f>
        <v>-0.213022351797862</v>
      </c>
      <c r="S304" s="19">
        <f ca="1">IF('Stock Price'!$I$11="OK",F304/INDEX(F$5:F$1258,'Stock Price'!$I$9)-1,"")</f>
        <v>-3.2552353307070292E-2</v>
      </c>
      <c r="T304" s="19">
        <f ca="1">IF('Stock Price'!$I$11="OK",G304/INDEX(G$5:G$1258,'Stock Price'!$I$9)-1,"")</f>
        <v>0.37684210526315787</v>
      </c>
      <c r="U304" s="19">
        <f ca="1">IF('Stock Price'!$I$11="OK",H304/INDEX(H$5:H$1258,'Stock Price'!$I$9)-1,"")</f>
        <v>2.3673085955847828E-2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88.238799999999998</v>
      </c>
      <c r="C305" s="18">
        <v>139.5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-0.36308069871517246</v>
      </c>
      <c r="P305" s="19">
        <f ca="1">IF('Stock Price'!$I$11="OK",C305/INDEX(C$5:C$1258,'Stock Price'!$I$9)-1,"")</f>
        <v>-0.23634870671958397</v>
      </c>
      <c r="Q305" s="19">
        <f ca="1">IF('Stock Price'!$I$11="OK",D305/INDEX(D$5:D$1258,'Stock Price'!$I$9)-1,"")</f>
        <v>-0.27160991335885565</v>
      </c>
      <c r="R305" s="19">
        <f ca="1">IF('Stock Price'!$I$11="OK",E305/INDEX(E$5:E$1258,'Stock Price'!$I$9)-1,"")</f>
        <v>-0.19980563654033046</v>
      </c>
      <c r="S305" s="19">
        <f ca="1">IF('Stock Price'!$I$11="OK",F305/INDEX(F$5:F$1258,'Stock Price'!$I$9)-1,"")</f>
        <v>-2.4673439767779359E-2</v>
      </c>
      <c r="T305" s="19">
        <f ca="1">IF('Stock Price'!$I$11="OK",G305/INDEX(G$5:G$1258,'Stock Price'!$I$9)-1,"")</f>
        <v>0.38026315789473686</v>
      </c>
      <c r="U305" s="19">
        <f ca="1">IF('Stock Price'!$I$11="OK",H305/INDEX(H$5:H$1258,'Stock Price'!$I$9)-1,"")</f>
        <v>4.1897604509159247E-2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89.515799999999999</v>
      </c>
      <c r="C306" s="18">
        <v>139.75989999999999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-0.35386314421827625</v>
      </c>
      <c r="P306" s="19">
        <f ca="1">IF('Stock Price'!$I$11="OK",C306/INDEX(C$5:C$1258,'Stock Price'!$I$9)-1,"")</f>
        <v>-0.23492596140687028</v>
      </c>
      <c r="Q306" s="19">
        <f ca="1">IF('Stock Price'!$I$11="OK",D306/INDEX(D$5:D$1258,'Stock Price'!$I$9)-1,"")</f>
        <v>-0.27624420713278264</v>
      </c>
      <c r="R306" s="19">
        <f ca="1">IF('Stock Price'!$I$11="OK",E306/INDEX(E$5:E$1258,'Stock Price'!$I$9)-1,"")</f>
        <v>-0.19883381924198262</v>
      </c>
      <c r="S306" s="19">
        <f ca="1">IF('Stock Price'!$I$11="OK",F306/INDEX(F$5:F$1258,'Stock Price'!$I$9)-1,"")</f>
        <v>-5.8055152394773657E-3</v>
      </c>
      <c r="T306" s="19">
        <f ca="1">IF('Stock Price'!$I$11="OK",G306/INDEX(G$5:G$1258,'Stock Price'!$I$9)-1,"")</f>
        <v>0.36973684210526314</v>
      </c>
      <c r="U306" s="19">
        <f ca="1">IF('Stock Price'!$I$11="OK",H306/INDEX(H$5:H$1258,'Stock Price'!$I$9)-1,"")</f>
        <v>4.7909816815406181E-2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87.929199999999994</v>
      </c>
      <c r="C307" s="18">
        <v>137.97989999999999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-0.36531543236610364</v>
      </c>
      <c r="P307" s="19">
        <f ca="1">IF('Stock Price'!$I$11="OK",C307/INDEX(C$5:C$1258,'Stock Price'!$I$9)-1,"")</f>
        <v>-0.24467004242507195</v>
      </c>
      <c r="Q307" s="19">
        <f ca="1">IF('Stock Price'!$I$11="OK",D307/INDEX(D$5:D$1258,'Stock Price'!$I$9)-1,"")</f>
        <v>-0.28208744710860367</v>
      </c>
      <c r="R307" s="19">
        <f ca="1">IF('Stock Price'!$I$11="OK",E307/INDEX(E$5:E$1258,'Stock Price'!$I$9)-1,"")</f>
        <v>-0.21166180758017494</v>
      </c>
      <c r="S307" s="19">
        <f ca="1">IF('Stock Price'!$I$11="OK",F307/INDEX(F$5:F$1258,'Stock Price'!$I$9)-1,"")</f>
        <v>-2.2185361808003345E-2</v>
      </c>
      <c r="T307" s="19">
        <f ca="1">IF('Stock Price'!$I$11="OK",G307/INDEX(G$5:G$1258,'Stock Price'!$I$9)-1,"")</f>
        <v>0.32842105263157895</v>
      </c>
      <c r="U307" s="19">
        <f ca="1">IF('Stock Price'!$I$11="OK",H307/INDEX(H$5:H$1258,'Stock Price'!$I$9)-1,"")</f>
        <v>2.9873179896664936E-2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87.532499999999999</v>
      </c>
      <c r="C308" s="18">
        <v>135.09989999999999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-0.36817886530965782</v>
      </c>
      <c r="P308" s="19">
        <f ca="1">IF('Stock Price'!$I$11="OK",C308/INDEX(C$5:C$1258,'Stock Price'!$I$9)-1,"")</f>
        <v>-0.2604357465444096</v>
      </c>
      <c r="Q308" s="19">
        <f ca="1">IF('Stock Price'!$I$11="OK",D308/INDEX(D$5:D$1258,'Stock Price'!$I$9)-1,"")</f>
        <v>-0.29578883739673578</v>
      </c>
      <c r="R308" s="19">
        <f ca="1">IF('Stock Price'!$I$11="OK",E308/INDEX(E$5:E$1258,'Stock Price'!$I$9)-1,"")</f>
        <v>-0.21593780369290572</v>
      </c>
      <c r="S308" s="19">
        <f ca="1">IF('Stock Price'!$I$11="OK",F308/INDEX(F$5:F$1258,'Stock Price'!$I$9)-1,"")</f>
        <v>-2.5917478747667477E-2</v>
      </c>
      <c r="T308" s="19">
        <f ca="1">IF('Stock Price'!$I$11="OK",G308/INDEX(G$5:G$1258,'Stock Price'!$I$9)-1,"")</f>
        <v>0.27789473684210542</v>
      </c>
      <c r="U308" s="19">
        <f ca="1">IF('Stock Price'!$I$11="OK",H308/INDEX(H$5:H$1258,'Stock Price'!$I$9)-1,"")</f>
        <v>2.5833724753405285E-2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87.251999999999995</v>
      </c>
      <c r="C309" s="18">
        <v>136.52000000000001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-0.37020355132091809</v>
      </c>
      <c r="P309" s="19">
        <f ca="1">IF('Stock Price'!$I$11="OK",C309/INDEX(C$5:C$1258,'Stock Price'!$I$9)-1,"")</f>
        <v>-0.25266183112084306</v>
      </c>
      <c r="Q309" s="19">
        <f ca="1">IF('Stock Price'!$I$11="OK",D309/INDEX(D$5:D$1258,'Stock Price'!$I$9)-1,"")</f>
        <v>-0.29740076566592799</v>
      </c>
      <c r="R309" s="19">
        <f ca="1">IF('Stock Price'!$I$11="OK",E309/INDEX(E$5:E$1258,'Stock Price'!$I$9)-1,"")</f>
        <v>-0.21963070942662788</v>
      </c>
      <c r="S309" s="19">
        <f ca="1">IF('Stock Price'!$I$11="OK",F309/INDEX(F$5:F$1258,'Stock Price'!$I$9)-1,"")</f>
        <v>-2.5917478747667477E-2</v>
      </c>
      <c r="T309" s="19">
        <f ca="1">IF('Stock Price'!$I$11="OK",G309/INDEX(G$5:G$1258,'Stock Price'!$I$9)-1,"")</f>
        <v>0.28434210526315784</v>
      </c>
      <c r="U309" s="19">
        <f ca="1">IF('Stock Price'!$I$11="OK",H309/INDEX(H$5:H$1258,'Stock Price'!$I$9)-1,"")</f>
        <v>2.8088304368248052E-2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87.426100000000005</v>
      </c>
      <c r="C310" s="18">
        <v>133.63990000000001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-0.36894687454886665</v>
      </c>
      <c r="P310" s="19">
        <f ca="1">IF('Stock Price'!$I$11="OK",C310/INDEX(C$5:C$1258,'Stock Price'!$I$9)-1,"")</f>
        <v>-0.26842808266046259</v>
      </c>
      <c r="Q310" s="19">
        <f ca="1">IF('Stock Price'!$I$11="OK",D310/INDEX(D$5:D$1258,'Stock Price'!$I$9)-1,"")</f>
        <v>-0.29498287326213979</v>
      </c>
      <c r="R310" s="19">
        <f ca="1">IF('Stock Price'!$I$11="OK",E310/INDEX(E$5:E$1258,'Stock Price'!$I$9)-1,"")</f>
        <v>-0.22546161321671532</v>
      </c>
      <c r="S310" s="19">
        <f ca="1">IF('Stock Price'!$I$11="OK",F310/INDEX(F$5:F$1258,'Stock Price'!$I$9)-1,"")</f>
        <v>-2.2185361808003345E-2</v>
      </c>
      <c r="T310" s="19">
        <f ca="1">IF('Stock Price'!$I$11="OK",G310/INDEX(G$5:G$1258,'Stock Price'!$I$9)-1,"")</f>
        <v>0.29921052631578937</v>
      </c>
      <c r="U310" s="19">
        <f ca="1">IF('Stock Price'!$I$11="OK",H310/INDEX(H$5:H$1258,'Stock Price'!$I$9)-1,"")</f>
        <v>3.0624706434945859E-2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87.938900000000004</v>
      </c>
      <c r="C311" s="18">
        <v>134.65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-0.36524541648621334</v>
      </c>
      <c r="P311" s="19">
        <f ca="1">IF('Stock Price'!$I$11="OK",C311/INDEX(C$5:C$1258,'Stock Price'!$I$9)-1,"")</f>
        <v>-0.26289859039277408</v>
      </c>
      <c r="Q311" s="19">
        <f ca="1">IF('Stock Price'!$I$11="OK",D311/INDEX(D$5:D$1258,'Stock Price'!$I$9)-1,"")</f>
        <v>-0.28873665121902081</v>
      </c>
      <c r="R311" s="19">
        <f ca="1">IF('Stock Price'!$I$11="OK",E311/INDEX(E$5:E$1258,'Stock Price'!$I$9)-1,"")</f>
        <v>-0.22390670553935865</v>
      </c>
      <c r="S311" s="19">
        <f ca="1">IF('Stock Price'!$I$11="OK",F311/INDEX(F$5:F$1258,'Stock Price'!$I$9)-1,"")</f>
        <v>8.2935931992556E-4</v>
      </c>
      <c r="T311" s="19">
        <f ca="1">IF('Stock Price'!$I$11="OK",G311/INDEX(G$5:G$1258,'Stock Price'!$I$9)-1,"")</f>
        <v>0.28973684210526307</v>
      </c>
      <c r="U311" s="19">
        <f ca="1">IF('Stock Price'!$I$11="OK",H311/INDEX(H$5:H$1258,'Stock Price'!$I$9)-1,"")</f>
        <v>4.3776420854861442E-2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87.938900000000004</v>
      </c>
      <c r="C312" s="18">
        <v>134.41990000000001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-0.36524541648621334</v>
      </c>
      <c r="P312" s="19">
        <f ca="1">IF('Stock Price'!$I$11="OK",C312/INDEX(C$5:C$1258,'Stock Price'!$I$9)-1,"")</f>
        <v>-0.26415820446147531</v>
      </c>
      <c r="Q312" s="19">
        <f ca="1">IF('Stock Price'!$I$11="OK",D312/INDEX(D$5:D$1258,'Stock Price'!$I$9)-1,"")</f>
        <v>-0.28853516018537173</v>
      </c>
      <c r="R312" s="19">
        <f ca="1">IF('Stock Price'!$I$11="OK",E312/INDEX(E$5:E$1258,'Stock Price'!$I$9)-1,"")</f>
        <v>-0.23187560738581148</v>
      </c>
      <c r="S312" s="19">
        <f ca="1">IF('Stock Price'!$I$11="OK",F312/INDEX(F$5:F$1258,'Stock Price'!$I$9)-1,"")</f>
        <v>-8.2935931992533796E-4</v>
      </c>
      <c r="T312" s="19">
        <f ca="1">IF('Stock Price'!$I$11="OK",G312/INDEX(G$5:G$1258,'Stock Price'!$I$9)-1,"")</f>
        <v>0.27763157894736845</v>
      </c>
      <c r="U312" s="19">
        <f ca="1">IF('Stock Price'!$I$11="OK",H312/INDEX(H$5:H$1258,'Stock Price'!$I$9)-1,"")</f>
        <v>4.4997651479567802E-2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87.909800000000004</v>
      </c>
      <c r="C313" s="18">
        <v>136.4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-0.36545546412588414</v>
      </c>
      <c r="P313" s="19">
        <f ca="1">IF('Stock Price'!$I$11="OK",C313/INDEX(C$5:C$1258,'Stock Price'!$I$9)-1,"")</f>
        <v>-0.25331873545914874</v>
      </c>
      <c r="Q313" s="19">
        <f ca="1">IF('Stock Price'!$I$11="OK",D313/INDEX(D$5:D$1258,'Stock Price'!$I$9)-1,"")</f>
        <v>-0.2903485794882128</v>
      </c>
      <c r="R313" s="19">
        <f ca="1">IF('Stock Price'!$I$11="OK",E313/INDEX(E$5:E$1258,'Stock Price'!$I$9)-1,"")</f>
        <v>-0.23440233236151609</v>
      </c>
      <c r="S313" s="19">
        <f ca="1">IF('Stock Price'!$I$11="OK",F313/INDEX(F$5:F$1258,'Stock Price'!$I$9)-1,"")</f>
        <v>6.0128550694589222E-3</v>
      </c>
      <c r="T313" s="19">
        <f ca="1">IF('Stock Price'!$I$11="OK",G313/INDEX(G$5:G$1258,'Stock Price'!$I$9)-1,"")</f>
        <v>0.27947368421052632</v>
      </c>
      <c r="U313" s="19">
        <f ca="1">IF('Stock Price'!$I$11="OK",H313/INDEX(H$5:H$1258,'Stock Price'!$I$9)-1,"")</f>
        <v>5.0821982151244782E-2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88.1614</v>
      </c>
      <c r="C314" s="18">
        <v>136.66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-0.36363938212790525</v>
      </c>
      <c r="P314" s="19">
        <f ca="1">IF('Stock Price'!$I$11="OK",C314/INDEX(C$5:C$1258,'Stock Price'!$I$9)-1,"")</f>
        <v>-0.25189544272615305</v>
      </c>
      <c r="Q314" s="19">
        <f ca="1">IF('Stock Price'!$I$11="OK",D314/INDEX(D$5:D$1258,'Stock Price'!$I$9)-1,"")</f>
        <v>-0.2933709449929478</v>
      </c>
      <c r="R314" s="19">
        <f ca="1">IF('Stock Price'!$I$11="OK",E314/INDEX(E$5:E$1258,'Stock Price'!$I$9)-1,"")</f>
        <v>-0.23440233236151609</v>
      </c>
      <c r="S314" s="19">
        <f ca="1">IF('Stock Price'!$I$11="OK",F314/INDEX(F$5:F$1258,'Stock Price'!$I$9)-1,"")</f>
        <v>-2.2807381297946794E-3</v>
      </c>
      <c r="T314" s="19">
        <f ca="1">IF('Stock Price'!$I$11="OK",G314/INDEX(G$5:G$1258,'Stock Price'!$I$9)-1,"")</f>
        <v>0.27592105263157896</v>
      </c>
      <c r="U314" s="19">
        <f ca="1">IF('Stock Price'!$I$11="OK",H314/INDEX(H$5:H$1258,'Stock Price'!$I$9)-1,"")</f>
        <v>5.3264443400657502E-2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87.880799999999994</v>
      </c>
      <c r="C315" s="18">
        <v>136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-0.36566478995236029</v>
      </c>
      <c r="P315" s="19">
        <f ca="1">IF('Stock Price'!$I$11="OK",C315/INDEX(C$5:C$1258,'Stock Price'!$I$9)-1,"")</f>
        <v>-0.25550841658683454</v>
      </c>
      <c r="Q315" s="19">
        <f ca="1">IF('Stock Price'!$I$11="OK",D315/INDEX(D$5:D$1258,'Stock Price'!$I$9)-1,"")</f>
        <v>-0.29921418496876895</v>
      </c>
      <c r="R315" s="19">
        <f ca="1">IF('Stock Price'!$I$11="OK",E315/INDEX(E$5:E$1258,'Stock Price'!$I$9)-1,"")</f>
        <v>-0.23867832847424686</v>
      </c>
      <c r="S315" s="19">
        <f ca="1">IF('Stock Price'!$I$11="OK",F315/INDEX(F$5:F$1258,'Stock Price'!$I$9)-1,"")</f>
        <v>-8.9156126891976051E-3</v>
      </c>
      <c r="T315" s="19">
        <f ca="1">IF('Stock Price'!$I$11="OK",G315/INDEX(G$5:G$1258,'Stock Price'!$I$9)-1,"")</f>
        <v>0.28065789473684211</v>
      </c>
      <c r="U315" s="19">
        <f ca="1">IF('Stock Price'!$I$11="OK",H315/INDEX(H$5:H$1258,'Stock Price'!$I$9)-1,"")</f>
        <v>4.3494598403005957E-2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88.616</v>
      </c>
      <c r="C316" s="18">
        <v>135.10990000000001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-0.36035801934459355</v>
      </c>
      <c r="P316" s="19">
        <f ca="1">IF('Stock Price'!$I$11="OK",C316/INDEX(C$5:C$1258,'Stock Price'!$I$9)-1,"")</f>
        <v>-0.26038100451621726</v>
      </c>
      <c r="Q316" s="19">
        <f ca="1">IF('Stock Price'!$I$11="OK",D316/INDEX(D$5:D$1258,'Stock Price'!$I$9)-1,"")</f>
        <v>-0.29216199879105376</v>
      </c>
      <c r="R316" s="19">
        <f ca="1">IF('Stock Price'!$I$11="OK",E316/INDEX(E$5:E$1258,'Stock Price'!$I$9)-1,"")</f>
        <v>-0.23051506316812442</v>
      </c>
      <c r="S316" s="19">
        <f ca="1">IF('Stock Price'!$I$11="OK",F316/INDEX(F$5:F$1258,'Stock Price'!$I$9)-1,"")</f>
        <v>6.6348745594029257E-3</v>
      </c>
      <c r="T316" s="19">
        <f ca="1">IF('Stock Price'!$I$11="OK",G316/INDEX(G$5:G$1258,'Stock Price'!$I$9)-1,"")</f>
        <v>0.29565789473684201</v>
      </c>
      <c r="U316" s="19">
        <f ca="1">IF('Stock Price'!$I$11="OK",H316/INDEX(H$5:H$1258,'Stock Price'!$I$9)-1,"")</f>
        <v>4.1052137153593238E-2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87.764700000000005</v>
      </c>
      <c r="C317" s="18">
        <v>136.22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-0.36650281507145943</v>
      </c>
      <c r="P317" s="19">
        <f ca="1">IF('Stock Price'!$I$11="OK",C317/INDEX(C$5:C$1258,'Stock Price'!$I$9)-1,"")</f>
        <v>-0.25430409196660742</v>
      </c>
      <c r="Q317" s="19">
        <f ca="1">IF('Stock Price'!$I$11="OK",D317/INDEX(D$5:D$1258,'Stock Price'!$I$9)-1,"")</f>
        <v>-0.29196050775740479</v>
      </c>
      <c r="R317" s="19">
        <f ca="1">IF('Stock Price'!$I$11="OK",E317/INDEX(E$5:E$1258,'Stock Price'!$I$9)-1,"")</f>
        <v>-0.23906705539358608</v>
      </c>
      <c r="S317" s="19">
        <f ca="1">IF('Stock Price'!$I$11="OK",F317/INDEX(F$5:F$1258,'Stock Price'!$I$9)-1,"")</f>
        <v>4.1467965996269118E-3</v>
      </c>
      <c r="T317" s="19">
        <f ca="1">IF('Stock Price'!$I$11="OK",G317/INDEX(G$5:G$1258,'Stock Price'!$I$9)-1,"")</f>
        <v>0.27171052631578951</v>
      </c>
      <c r="U317" s="19">
        <f ca="1">IF('Stock Price'!$I$11="OK",H317/INDEX(H$5:H$1258,'Stock Price'!$I$9)-1,"")</f>
        <v>4.2273367778299598E-2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89.206199999999995</v>
      </c>
      <c r="C318" s="18">
        <v>136.44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-0.35609787786920744</v>
      </c>
      <c r="P318" s="19">
        <f ca="1">IF('Stock Price'!$I$11="OK",C318/INDEX(C$5:C$1258,'Stock Price'!$I$9)-1,"")</f>
        <v>-0.25309976734638029</v>
      </c>
      <c r="Q318" s="19">
        <f ca="1">IF('Stock Price'!$I$11="OK",D318/INDEX(D$5:D$1258,'Stock Price'!$I$9)-1,"")</f>
        <v>-0.28893814225266978</v>
      </c>
      <c r="R318" s="19">
        <f ca="1">IF('Stock Price'!$I$11="OK",E318/INDEX(E$5:E$1258,'Stock Price'!$I$9)-1,"")</f>
        <v>-0.23673469387755097</v>
      </c>
      <c r="S318" s="19">
        <f ca="1">IF('Stock Price'!$I$11="OK",F318/INDEX(F$5:F$1258,'Stock Price'!$I$9)-1,"")</f>
        <v>1.59651669085632E-2</v>
      </c>
      <c r="T318" s="19">
        <f ca="1">IF('Stock Price'!$I$11="OK",G318/INDEX(G$5:G$1258,'Stock Price'!$I$9)-1,"")</f>
        <v>0.29539473684210527</v>
      </c>
      <c r="U318" s="19">
        <f ca="1">IF('Stock Price'!$I$11="OK",H318/INDEX(H$5:H$1258,'Stock Price'!$I$9)-1,"")</f>
        <v>4.4058243306716705E-2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88.848200000000006</v>
      </c>
      <c r="C319" s="18">
        <v>138.03989999999999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-0.35868196910639516</v>
      </c>
      <c r="P319" s="19">
        <f ca="1">IF('Stock Price'!$I$11="OK",C319/INDEX(C$5:C$1258,'Stock Price'!$I$9)-1,"")</f>
        <v>-0.24434159025591906</v>
      </c>
      <c r="Q319" s="19">
        <f ca="1">IF('Stock Price'!$I$11="OK",D319/INDEX(D$5:D$1258,'Stock Price'!$I$9)-1,"")</f>
        <v>-0.2941769091275438</v>
      </c>
      <c r="R319" s="19">
        <f ca="1">IF('Stock Price'!$I$11="OK",E319/INDEX(E$5:E$1258,'Stock Price'!$I$9)-1,"")</f>
        <v>-0.22468415937803699</v>
      </c>
      <c r="S319" s="19">
        <f ca="1">IF('Stock Price'!$I$11="OK",F319/INDEX(F$5:F$1258,'Stock Price'!$I$9)-1,"")</f>
        <v>1.0574331329048503E-2</v>
      </c>
      <c r="T319" s="19">
        <f ca="1">IF('Stock Price'!$I$11="OK",G319/INDEX(G$5:G$1258,'Stock Price'!$I$9)-1,"")</f>
        <v>0.30328947368421044</v>
      </c>
      <c r="U319" s="19">
        <f ca="1">IF('Stock Price'!$I$11="OK",H319/INDEX(H$5:H$1258,'Stock Price'!$I$9)-1,"")</f>
        <v>5.2888680131517152E-2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87.842100000000002</v>
      </c>
      <c r="C320" s="18">
        <v>140.96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-0.36594413165872663</v>
      </c>
      <c r="P320" s="19">
        <f ca="1">IF('Stock Price'!$I$11="OK",C320/INDEX(C$5:C$1258,'Stock Price'!$I$9)-1,"")</f>
        <v>-0.22835637060353087</v>
      </c>
      <c r="Q320" s="19">
        <f ca="1">IF('Stock Price'!$I$11="OK",D320/INDEX(D$5:D$1258,'Stock Price'!$I$9)-1,"")</f>
        <v>-0.30525891597823906</v>
      </c>
      <c r="R320" s="19">
        <f ca="1">IF('Stock Price'!$I$11="OK",E320/INDEX(E$5:E$1258,'Stock Price'!$I$9)-1,"")</f>
        <v>-0.24314868804664735</v>
      </c>
      <c r="S320" s="19">
        <f ca="1">IF('Stock Price'!$I$11="OK",F320/INDEX(F$5:F$1258,'Stock Price'!$I$9)-1,"")</f>
        <v>-9.9523118391042775E-3</v>
      </c>
      <c r="T320" s="19">
        <f ca="1">IF('Stock Price'!$I$11="OK",G320/INDEX(G$5:G$1258,'Stock Price'!$I$9)-1,"")</f>
        <v>0.30960526315789472</v>
      </c>
      <c r="U320" s="19">
        <f ca="1">IF('Stock Price'!$I$11="OK",H320/INDEX(H$5:H$1258,'Stock Price'!$I$9)-1,"")</f>
        <v>6.7543447627994357E-2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89.283600000000007</v>
      </c>
      <c r="C321" s="18">
        <v>140.26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-0.35553919445647453</v>
      </c>
      <c r="P321" s="19">
        <f ca="1">IF('Stock Price'!$I$11="OK",C321/INDEX(C$5:C$1258,'Stock Price'!$I$9)-1,"")</f>
        <v>-0.23218831257698103</v>
      </c>
      <c r="Q321" s="19">
        <f ca="1">IF('Stock Price'!$I$11="OK",D321/INDEX(D$5:D$1258,'Stock Price'!$I$9)-1,"")</f>
        <v>-0.2963933104976828</v>
      </c>
      <c r="R321" s="19">
        <f ca="1">IF('Stock Price'!$I$11="OK",E321/INDEX(E$5:E$1258,'Stock Price'!$I$9)-1,"")</f>
        <v>-0.23070942662779403</v>
      </c>
      <c r="S321" s="19">
        <f ca="1">IF('Stock Price'!$I$11="OK",F321/INDEX(F$5:F$1258,'Stock Price'!$I$9)-1,"")</f>
        <v>-1.8660584698320104E-3</v>
      </c>
      <c r="T321" s="19">
        <f ca="1">IF('Stock Price'!$I$11="OK",G321/INDEX(G$5:G$1258,'Stock Price'!$I$9)-1,"")</f>
        <v>0.33026315789473681</v>
      </c>
      <c r="U321" s="19">
        <f ca="1">IF('Stock Price'!$I$11="OK",H321/INDEX(H$5:H$1258,'Stock Price'!$I$9)-1,"")</f>
        <v>7.8816345702207524E-2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87.019800000000004</v>
      </c>
      <c r="C322" s="18">
        <v>140.25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-0.37187960155911648</v>
      </c>
      <c r="P322" s="19">
        <f ca="1">IF('Stock Price'!$I$11="OK",C322/INDEX(C$5:C$1258,'Stock Price'!$I$9)-1,"")</f>
        <v>-0.23224305460517314</v>
      </c>
      <c r="Q322" s="19">
        <f ca="1">IF('Stock Price'!$I$11="OK",D322/INDEX(D$5:D$1258,'Stock Price'!$I$9)-1,"")</f>
        <v>-0.30425146080999399</v>
      </c>
      <c r="R322" s="19">
        <f ca="1">IF('Stock Price'!$I$11="OK",E322/INDEX(E$5:E$1258,'Stock Price'!$I$9)-1,"")</f>
        <v>-0.23459669582118559</v>
      </c>
      <c r="S322" s="19">
        <f ca="1">IF('Stock Price'!$I$11="OK",F322/INDEX(F$5:F$1258,'Stock Price'!$I$9)-1,"")</f>
        <v>5.8055152394775877E-3</v>
      </c>
      <c r="T322" s="19">
        <f ca="1">IF('Stock Price'!$I$11="OK",G322/INDEX(G$5:G$1258,'Stock Price'!$I$9)-1,"")</f>
        <v>0.36473684210526325</v>
      </c>
      <c r="U322" s="19">
        <f ca="1">IF('Stock Price'!$I$11="OK",H322/INDEX(H$5:H$1258,'Stock Price'!$I$9)-1,"")</f>
        <v>3.6918741193048277E-2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87.493799999999993</v>
      </c>
      <c r="C323" s="18">
        <v>143.96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-0.36845820701602428</v>
      </c>
      <c r="P323" s="19">
        <f ca="1">IF('Stock Price'!$I$11="OK",C323/INDEX(C$5:C$1258,'Stock Price'!$I$9)-1,"")</f>
        <v>-0.21193376214588755</v>
      </c>
      <c r="Q323" s="19">
        <f ca="1">IF('Stock Price'!$I$11="OK",D323/INDEX(D$5:D$1258,'Stock Price'!$I$9)-1,"")</f>
        <v>-0.30002014910336494</v>
      </c>
      <c r="R323" s="19">
        <f ca="1">IF('Stock Price'!$I$11="OK",E323/INDEX(E$5:E$1258,'Stock Price'!$I$9)-1,"")</f>
        <v>-0.23109815354713314</v>
      </c>
      <c r="S323" s="19">
        <f ca="1">IF('Stock Price'!$I$11="OK",F323/INDEX(F$5:F$1258,'Stock Price'!$I$9)-1,"")</f>
        <v>1.2233049968899179E-2</v>
      </c>
      <c r="T323" s="19">
        <f ca="1">IF('Stock Price'!$I$11="OK",G323/INDEX(G$5:G$1258,'Stock Price'!$I$9)-1,"")</f>
        <v>0.41999999999999993</v>
      </c>
      <c r="U323" s="19">
        <f ca="1">IF('Stock Price'!$I$11="OK",H323/INDEX(H$5:H$1258,'Stock Price'!$I$9)-1,"")</f>
        <v>4.095819633630815E-2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87.522900000000007</v>
      </c>
      <c r="C324" s="18">
        <v>140.94990000000001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-0.36824815937635336</v>
      </c>
      <c r="P324" s="19">
        <f ca="1">IF('Stock Price'!$I$11="OK",C324/INDEX(C$5:C$1258,'Stock Price'!$I$9)-1,"")</f>
        <v>-0.22841166005200486</v>
      </c>
      <c r="Q324" s="19">
        <f ca="1">IF('Stock Price'!$I$11="OK",D324/INDEX(D$5:D$1258,'Stock Price'!$I$9)-1,"")</f>
        <v>-0.30143058633890796</v>
      </c>
      <c r="R324" s="19">
        <f ca="1">IF('Stock Price'!$I$11="OK",E324/INDEX(E$5:E$1258,'Stock Price'!$I$9)-1,"")</f>
        <v>-0.24159378036929058</v>
      </c>
      <c r="S324" s="19">
        <f ca="1">IF('Stock Price'!$I$11="OK",F324/INDEX(F$5:F$1258,'Stock Price'!$I$9)-1,"")</f>
        <v>1.0574331329048503E-2</v>
      </c>
      <c r="T324" s="19">
        <f ca="1">IF('Stock Price'!$I$11="OK",G324/INDEX(G$5:G$1258,'Stock Price'!$I$9)-1,"")</f>
        <v>0.47131578947368413</v>
      </c>
      <c r="U324" s="19">
        <f ca="1">IF('Stock Price'!$I$11="OK",H324/INDEX(H$5:H$1258,'Stock Price'!$I$9)-1,"")</f>
        <v>4.340065758572087E-2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87.609899999999996</v>
      </c>
      <c r="C325" s="18">
        <v>138.66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-0.36762018189692502</v>
      </c>
      <c r="P325" s="19">
        <f ca="1">IF('Stock Price'!$I$11="OK",C325/INDEX(C$5:C$1258,'Stock Price'!$I$9)-1,"")</f>
        <v>-0.24094703708772414</v>
      </c>
      <c r="Q325" s="19">
        <f ca="1">IF('Stock Price'!$I$11="OK",D325/INDEX(D$5:D$1258,'Stock Price'!$I$9)-1,"")</f>
        <v>-0.29175901672375582</v>
      </c>
      <c r="R325" s="19">
        <f ca="1">IF('Stock Price'!$I$11="OK",E325/INDEX(E$5:E$1258,'Stock Price'!$I$9)-1,"")</f>
        <v>-0.24528668610301274</v>
      </c>
      <c r="S325" s="19">
        <f ca="1">IF('Stock Price'!$I$11="OK",F325/INDEX(F$5:F$1258,'Stock Price'!$I$9)-1,"")</f>
        <v>2.3222060957910129E-2</v>
      </c>
      <c r="T325" s="19">
        <f ca="1">IF('Stock Price'!$I$11="OK",G325/INDEX(G$5:G$1258,'Stock Price'!$I$9)-1,"")</f>
        <v>0.48368421052631594</v>
      </c>
      <c r="U325" s="19">
        <f ca="1">IF('Stock Price'!$I$11="OK",H325/INDEX(H$5:H$1258,'Stock Price'!$I$9)-1,"")</f>
        <v>4.997651479567855E-2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88.093599999999995</v>
      </c>
      <c r="C326" s="18">
        <v>143.4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-0.36412877147394251</v>
      </c>
      <c r="P326" s="19">
        <f ca="1">IF('Stock Price'!$I$11="OK",C326/INDEX(C$5:C$1258,'Stock Price'!$I$9)-1,"")</f>
        <v>-0.21499931572464759</v>
      </c>
      <c r="Q326" s="19">
        <f ca="1">IF('Stock Price'!$I$11="OK",D326/INDEX(D$5:D$1258,'Stock Price'!$I$9)-1,"")</f>
        <v>-0.28712472294982871</v>
      </c>
      <c r="R326" s="19">
        <f ca="1">IF('Stock Price'!$I$11="OK",E326/INDEX(E$5:E$1258,'Stock Price'!$I$9)-1,"")</f>
        <v>-0.23362487852283775</v>
      </c>
      <c r="S326" s="19">
        <f ca="1">IF('Stock Price'!$I$11="OK",F326/INDEX(F$5:F$1258,'Stock Price'!$I$9)-1,"")</f>
        <v>2.1563342318059453E-2</v>
      </c>
      <c r="T326" s="19">
        <f ca="1">IF('Stock Price'!$I$11="OK",G326/INDEX(G$5:G$1258,'Stock Price'!$I$9)-1,"")</f>
        <v>0.51078947368421046</v>
      </c>
      <c r="U326" s="19">
        <f ca="1">IF('Stock Price'!$I$11="OK",H326/INDEX(H$5:H$1258,'Stock Price'!$I$9)-1,"")</f>
        <v>5.4485674025364084E-2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89.370599999999996</v>
      </c>
      <c r="C327" s="18">
        <v>143.625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-0.35491121697704631</v>
      </c>
      <c r="P327" s="19">
        <f ca="1">IF('Stock Price'!$I$11="OK",C327/INDEX(C$5:C$1258,'Stock Price'!$I$9)-1,"")</f>
        <v>-0.21376762009032435</v>
      </c>
      <c r="Q327" s="19">
        <f ca="1">IF('Stock Price'!$I$11="OK",D327/INDEX(D$5:D$1258,'Stock Price'!$I$9)-1,"")</f>
        <v>-0.28349788434414669</v>
      </c>
      <c r="R327" s="19">
        <f ca="1">IF('Stock Price'!$I$11="OK",E327/INDEX(E$5:E$1258,'Stock Price'!$I$9)-1,"")</f>
        <v>-0.22429543245869787</v>
      </c>
      <c r="S327" s="19">
        <f ca="1">IF('Stock Price'!$I$11="OK",F327/INDEX(F$5:F$1258,'Stock Price'!$I$9)-1,"")</f>
        <v>3.3174372797014406E-2</v>
      </c>
      <c r="T327" s="19">
        <f ca="1">IF('Stock Price'!$I$11="OK",G327/INDEX(G$5:G$1258,'Stock Price'!$I$9)-1,"")</f>
        <v>0.50026315789473674</v>
      </c>
      <c r="U327" s="19">
        <f ca="1">IF('Stock Price'!$I$11="OK",H327/INDEX(H$5:H$1258,'Stock Price'!$I$9)-1,"")</f>
        <v>3.7576326914044111E-2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89.157799999999995</v>
      </c>
      <c r="C328" s="18">
        <v>141.19990000000001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-0.35644723545546408</v>
      </c>
      <c r="P328" s="19">
        <f ca="1">IF('Stock Price'!$I$11="OK",C328/INDEX(C$5:C$1258,'Stock Price'!$I$9)-1,"")</f>
        <v>-0.22704310934720129</v>
      </c>
      <c r="Q328" s="19">
        <f ca="1">IF('Stock Price'!$I$11="OK",D328/INDEX(D$5:D$1258,'Stock Price'!$I$9)-1,"")</f>
        <v>-0.29095305258915982</v>
      </c>
      <c r="R328" s="19">
        <f ca="1">IF('Stock Price'!$I$11="OK",E328/INDEX(E$5:E$1258,'Stock Price'!$I$9)-1,"")</f>
        <v>-0.22779397473275032</v>
      </c>
      <c r="S328" s="19">
        <f ca="1">IF('Stock Price'!$I$11="OK",F328/INDEX(F$5:F$1258,'Stock Price'!$I$9)-1,"")</f>
        <v>1.9282604188264552E-2</v>
      </c>
      <c r="T328" s="19">
        <f ca="1">IF('Stock Price'!$I$11="OK",G328/INDEX(G$5:G$1258,'Stock Price'!$I$9)-1,"")</f>
        <v>0.4810526315789474</v>
      </c>
      <c r="U328" s="19">
        <f ca="1">IF('Stock Price'!$I$11="OK",H328/INDEX(H$5:H$1258,'Stock Price'!$I$9)-1,"")</f>
        <v>2.1982151244715809E-2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89.225499999999997</v>
      </c>
      <c r="C329" s="18">
        <v>140.00989999999999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-0.35595856792262159</v>
      </c>
      <c r="P329" s="19">
        <f ca="1">IF('Stock Price'!$I$11="OK",C329/INDEX(C$5:C$1258,'Stock Price'!$I$9)-1,"")</f>
        <v>-0.23355741070206659</v>
      </c>
      <c r="Q329" s="19">
        <f ca="1">IF('Stock Price'!$I$11="OK",D329/INDEX(D$5:D$1258,'Stock Price'!$I$9)-1,"")</f>
        <v>-0.28249042917590172</v>
      </c>
      <c r="R329" s="19">
        <f ca="1">IF('Stock Price'!$I$11="OK",E329/INDEX(E$5:E$1258,'Stock Price'!$I$9)-1,"")</f>
        <v>-0.21807580174927121</v>
      </c>
      <c r="S329" s="19">
        <f ca="1">IF('Stock Price'!$I$11="OK",F329/INDEX(F$5:F$1258,'Stock Price'!$I$9)-1,"")</f>
        <v>2.5088119427742139E-2</v>
      </c>
      <c r="T329" s="19">
        <f ca="1">IF('Stock Price'!$I$11="OK",G329/INDEX(G$5:G$1258,'Stock Price'!$I$9)-1,"")</f>
        <v>0.46631578947368424</v>
      </c>
      <c r="U329" s="19">
        <f ca="1">IF('Stock Price'!$I$11="OK",H329/INDEX(H$5:H$1258,'Stock Price'!$I$9)-1,"")</f>
        <v>3.2409581963363188E-2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89.070700000000002</v>
      </c>
      <c r="C330" s="18">
        <v>136.46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-0.35707593474808719</v>
      </c>
      <c r="P330" s="19">
        <f ca="1">IF('Stock Price'!$I$11="OK",C330/INDEX(C$5:C$1258,'Stock Price'!$I$9)-1,"")</f>
        <v>-0.25299028328999584</v>
      </c>
      <c r="Q330" s="19">
        <f ca="1">IF('Stock Price'!$I$11="OK",D330/INDEX(D$5:D$1258,'Stock Price'!$I$9)-1,"")</f>
        <v>-0.28712472294982871</v>
      </c>
      <c r="R330" s="19">
        <f ca="1">IF('Stock Price'!$I$11="OK",E330/INDEX(E$5:E$1258,'Stock Price'!$I$9)-1,"")</f>
        <v>-0.22176870748299327</v>
      </c>
      <c r="S330" s="19">
        <f ca="1">IF('Stock Price'!$I$11="OK",F330/INDEX(F$5:F$1258,'Stock Price'!$I$9)-1,"")</f>
        <v>1.7623885548413876E-2</v>
      </c>
      <c r="T330" s="19">
        <f ca="1">IF('Stock Price'!$I$11="OK",G330/INDEX(G$5:G$1258,'Stock Price'!$I$9)-1,"")</f>
        <v>0.48394736842105268</v>
      </c>
      <c r="U330" s="19">
        <f ca="1">IF('Stock Price'!$I$11="OK",H330/INDEX(H$5:H$1258,'Stock Price'!$I$9)-1,"")</f>
        <v>3.2785345232503538E-2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89.206199999999995</v>
      </c>
      <c r="C331" s="18">
        <v>133.68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-0.35609787786920744</v>
      </c>
      <c r="P331" s="19">
        <f ca="1">IF('Stock Price'!$I$11="OK",C331/INDEX(C$5:C$1258,'Stock Price'!$I$9)-1,"")</f>
        <v>-0.26820856712741203</v>
      </c>
      <c r="Q331" s="19">
        <f ca="1">IF('Stock Price'!$I$11="OK",D331/INDEX(D$5:D$1258,'Stock Price'!$I$9)-1,"")</f>
        <v>-0.28752770501712677</v>
      </c>
      <c r="R331" s="19">
        <f ca="1">IF('Stock Price'!$I$11="OK",E331/INDEX(E$5:E$1258,'Stock Price'!$I$9)-1,"")</f>
        <v>-0.21904761904761905</v>
      </c>
      <c r="S331" s="19">
        <f ca="1">IF('Stock Price'!$I$11="OK",F331/INDEX(F$5:F$1258,'Stock Price'!$I$9)-1,"")</f>
        <v>8.2935931992536016E-3</v>
      </c>
      <c r="T331" s="19">
        <f ca="1">IF('Stock Price'!$I$11="OK",G331/INDEX(G$5:G$1258,'Stock Price'!$I$9)-1,"")</f>
        <v>0.47263157894736851</v>
      </c>
      <c r="U331" s="19">
        <f ca="1">IF('Stock Price'!$I$11="OK",H331/INDEX(H$5:H$1258,'Stock Price'!$I$9)-1,"")</f>
        <v>3.2221700328792791E-2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89.022400000000005</v>
      </c>
      <c r="C332" s="18">
        <v>129.5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-0.35742457052114907</v>
      </c>
      <c r="P332" s="19">
        <f ca="1">IF('Stock Price'!$I$11="OK",C332/INDEX(C$5:C$1258,'Stock Price'!$I$9)-1,"")</f>
        <v>-0.29109073491172854</v>
      </c>
      <c r="Q332" s="19">
        <f ca="1">IF('Stock Price'!$I$11="OK",D332/INDEX(D$5:D$1258,'Stock Price'!$I$9)-1,"")</f>
        <v>-0.30082611323796093</v>
      </c>
      <c r="R332" s="19">
        <f ca="1">IF('Stock Price'!$I$11="OK",E332/INDEX(E$5:E$1258,'Stock Price'!$I$9)-1,"")</f>
        <v>-0.22351797862001943</v>
      </c>
      <c r="S332" s="19">
        <f ca="1">IF('Stock Price'!$I$11="OK",F332/INDEX(F$5:F$1258,'Stock Price'!$I$9)-1,"")</f>
        <v>6.2201948994402567E-3</v>
      </c>
      <c r="T332" s="19">
        <f ca="1">IF('Stock Price'!$I$11="OK",G332/INDEX(G$5:G$1258,'Stock Price'!$I$9)-1,"")</f>
        <v>0.46105263157894738</v>
      </c>
      <c r="U332" s="19">
        <f ca="1">IF('Stock Price'!$I$11="OK",H332/INDEX(H$5:H$1258,'Stock Price'!$I$9)-1,"")</f>
        <v>1.9445749178017779E-2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89.786600000000007</v>
      </c>
      <c r="C333" s="18">
        <v>131.72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-0.35190847408690618</v>
      </c>
      <c r="P333" s="19">
        <f ca="1">IF('Stock Price'!$I$11="OK",C333/INDEX(C$5:C$1258,'Stock Price'!$I$9)-1,"")</f>
        <v>-0.2789380046530725</v>
      </c>
      <c r="Q333" s="19">
        <f ca="1">IF('Stock Price'!$I$11="OK",D333/INDEX(D$5:D$1258,'Stock Price'!$I$9)-1,"")</f>
        <v>-0.29135603465645776</v>
      </c>
      <c r="R333" s="19">
        <f ca="1">IF('Stock Price'!$I$11="OK",E333/INDEX(E$5:E$1258,'Stock Price'!$I$9)-1,"")</f>
        <v>-0.22157434402332377</v>
      </c>
      <c r="S333" s="19">
        <f ca="1">IF('Stock Price'!$I$11="OK",F333/INDEX(F$5:F$1258,'Stock Price'!$I$9)-1,"")</f>
        <v>1.368442877876852E-2</v>
      </c>
      <c r="T333" s="19">
        <f ca="1">IF('Stock Price'!$I$11="OK",G333/INDEX(G$5:G$1258,'Stock Price'!$I$9)-1,"")</f>
        <v>0.45999999999999996</v>
      </c>
      <c r="U333" s="19">
        <f ca="1">IF('Stock Price'!$I$11="OK",H333/INDEX(H$5:H$1258,'Stock Price'!$I$9)-1,"")</f>
        <v>2.0103334899013614E-2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86.913399999999996</v>
      </c>
      <c r="C334" s="18">
        <v>130.65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-0.37264761079832542</v>
      </c>
      <c r="P334" s="19">
        <f ca="1">IF('Stock Price'!$I$11="OK",C334/INDEX(C$5:C$1258,'Stock Price'!$I$9)-1,"")</f>
        <v>-0.28479540166963191</v>
      </c>
      <c r="Q334" s="19">
        <f ca="1">IF('Stock Price'!$I$11="OK",D334/INDEX(D$5:D$1258,'Stock Price'!$I$9)-1,"")</f>
        <v>-0.28793068708442471</v>
      </c>
      <c r="R334" s="19">
        <f ca="1">IF('Stock Price'!$I$11="OK",E334/INDEX(E$5:E$1258,'Stock Price'!$I$9)-1,"")</f>
        <v>-0.23459669582118559</v>
      </c>
      <c r="S334" s="19">
        <f ca="1">IF('Stock Price'!$I$11="OK",F334/INDEX(F$5:F$1258,'Stock Price'!$I$9)-1,"")</f>
        <v>1.2025710138917844E-2</v>
      </c>
      <c r="T334" s="19">
        <f ca="1">IF('Stock Price'!$I$11="OK",G334/INDEX(G$5:G$1258,'Stock Price'!$I$9)-1,"")</f>
        <v>0.47473684210526312</v>
      </c>
      <c r="U334" s="19">
        <f ca="1">IF('Stock Price'!$I$11="OK",H334/INDEX(H$5:H$1258,'Stock Price'!$I$9)-1,"")</f>
        <v>3.945514325974564E-3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86.574799999999996</v>
      </c>
      <c r="C335" s="18">
        <v>129.81989999999999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-0.37509167027573265</v>
      </c>
      <c r="P335" s="19">
        <f ca="1">IF('Stock Price'!$I$11="OK",C335/INDEX(C$5:C$1258,'Stock Price'!$I$9)-1,"")</f>
        <v>-0.28933953742986185</v>
      </c>
      <c r="Q335" s="19">
        <f ca="1">IF('Stock Price'!$I$11="OK",D335/INDEX(D$5:D$1258,'Stock Price'!$I$9)-1,"")</f>
        <v>-0.28873665121902081</v>
      </c>
      <c r="R335" s="19">
        <f ca="1">IF('Stock Price'!$I$11="OK",E335/INDEX(E$5:E$1258,'Stock Price'!$I$9)-1,"")</f>
        <v>-0.23634596695821186</v>
      </c>
      <c r="S335" s="19">
        <f ca="1">IF('Stock Price'!$I$11="OK",F335/INDEX(F$5:F$1258,'Stock Price'!$I$9)-1,"")</f>
        <v>5.3908355795149188E-3</v>
      </c>
      <c r="T335" s="19">
        <f ca="1">IF('Stock Price'!$I$11="OK",G335/INDEX(G$5:G$1258,'Stock Price'!$I$9)-1,"")</f>
        <v>0.4810526315789474</v>
      </c>
      <c r="U335" s="19">
        <f ca="1">IF('Stock Price'!$I$11="OK",H335/INDEX(H$5:H$1258,'Stock Price'!$I$9)-1,"")</f>
        <v>-1.0051667449506918E-2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86.719899999999996</v>
      </c>
      <c r="C336" s="18">
        <v>129.36000000000001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-0.37404431933015736</v>
      </c>
      <c r="P336" s="19">
        <f ca="1">IF('Stock Price'!$I$11="OK",C336/INDEX(C$5:C$1258,'Stock Price'!$I$9)-1,"")</f>
        <v>-0.29185712330641844</v>
      </c>
      <c r="Q336" s="19">
        <f ca="1">IF('Stock Price'!$I$11="OK",D336/INDEX(D$5:D$1258,'Stock Price'!$I$9)-1,"")</f>
        <v>-0.29236348982470284</v>
      </c>
      <c r="R336" s="19">
        <f ca="1">IF('Stock Price'!$I$11="OK",E336/INDEX(E$5:E$1258,'Stock Price'!$I$9)-1,"")</f>
        <v>-0.24373177842565608</v>
      </c>
      <c r="S336" s="19">
        <f ca="1">IF('Stock Price'!$I$11="OK",F336/INDEX(F$5:F$1258,'Stock Price'!$I$9)-1,"")</f>
        <v>7.0495542193655947E-3</v>
      </c>
      <c r="T336" s="19">
        <f ca="1">IF('Stock Price'!$I$11="OK",G336/INDEX(G$5:G$1258,'Stock Price'!$I$9)-1,"")</f>
        <v>0.49736842105263146</v>
      </c>
      <c r="U336" s="19">
        <f ca="1">IF('Stock Price'!$I$11="OK",H336/INDEX(H$5:H$1258,'Stock Price'!$I$9)-1,"")</f>
        <v>-3.3818694222639278E-3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87.668000000000006</v>
      </c>
      <c r="C337" s="18">
        <v>128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-0.36720080843077807</v>
      </c>
      <c r="P337" s="19">
        <f ca="1">IF('Stock Price'!$I$11="OK",C337/INDEX(C$5:C$1258,'Stock Price'!$I$9)-1,"")</f>
        <v>-0.2993020391405502</v>
      </c>
      <c r="Q337" s="19">
        <f ca="1">IF('Stock Price'!$I$11="OK",D337/INDEX(D$5:D$1258,'Stock Price'!$I$9)-1,"")</f>
        <v>-0.28954261535361681</v>
      </c>
      <c r="R337" s="19">
        <f ca="1">IF('Stock Price'!$I$11="OK",E337/INDEX(E$5:E$1258,'Stock Price'!$I$9)-1,"")</f>
        <v>-0.23906705539358608</v>
      </c>
      <c r="S337" s="19">
        <f ca="1">IF('Stock Price'!$I$11="OK",F337/INDEX(F$5:F$1258,'Stock Price'!$I$9)-1,"")</f>
        <v>1.8867924528301883E-2</v>
      </c>
      <c r="T337" s="19">
        <f ca="1">IF('Stock Price'!$I$11="OK",G337/INDEX(G$5:G$1258,'Stock Price'!$I$9)-1,"")</f>
        <v>0.5</v>
      </c>
      <c r="U337" s="19">
        <f ca="1">IF('Stock Price'!$I$11="OK",H337/INDEX(H$5:H$1258,'Stock Price'!$I$9)-1,"")</f>
        <v>9.0183184593706223E-3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85.355800000000002</v>
      </c>
      <c r="C338" s="18">
        <v>127.8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-0.38389057311967656</v>
      </c>
      <c r="P338" s="19">
        <f ca="1">IF('Stock Price'!$I$11="OK",C338/INDEX(C$5:C$1258,'Stock Price'!$I$9)-1,"")</f>
        <v>-0.3003968797043931</v>
      </c>
      <c r="Q338" s="19">
        <f ca="1">IF('Stock Price'!$I$11="OK",D338/INDEX(D$5:D$1258,'Stock Price'!$I$9)-1,"")</f>
        <v>-0.28490832157968971</v>
      </c>
      <c r="R338" s="19">
        <f ca="1">IF('Stock Price'!$I$11="OK",E338/INDEX(E$5:E$1258,'Stock Price'!$I$9)-1,"")</f>
        <v>-0.25519922254616134</v>
      </c>
      <c r="S338" s="19">
        <f ca="1">IF('Stock Price'!$I$11="OK",F338/INDEX(F$5:F$1258,'Stock Price'!$I$9)-1,"")</f>
        <v>1.0781671159029615E-2</v>
      </c>
      <c r="T338" s="19">
        <f ca="1">IF('Stock Price'!$I$11="OK",G338/INDEX(G$5:G$1258,'Stock Price'!$I$9)-1,"")</f>
        <v>0.48684210526315796</v>
      </c>
      <c r="U338" s="19">
        <f ca="1">IF('Stock Price'!$I$11="OK",H338/INDEX(H$5:H$1258,'Stock Price'!$I$9)-1,"")</f>
        <v>4.9788633161109708E-3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83.295199999999994</v>
      </c>
      <c r="C339" s="18">
        <v>127.08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-0.39876425581059627</v>
      </c>
      <c r="P339" s="19">
        <f ca="1">IF('Stock Price'!$I$11="OK",C339/INDEX(C$5:C$1258,'Stock Price'!$I$9)-1,"")</f>
        <v>-0.30433830573422749</v>
      </c>
      <c r="Q339" s="19">
        <f ca="1">IF('Stock Price'!$I$11="OK",D339/INDEX(D$5:D$1258,'Stock Price'!$I$9)-1,"")</f>
        <v>-0.29216199879105376</v>
      </c>
      <c r="R339" s="19">
        <f ca="1">IF('Stock Price'!$I$11="OK",E339/INDEX(E$5:E$1258,'Stock Price'!$I$9)-1,"")</f>
        <v>-0.26802721088435388</v>
      </c>
      <c r="S339" s="19">
        <f ca="1">IF('Stock Price'!$I$11="OK",F339/INDEX(F$5:F$1258,'Stock Price'!$I$9)-1,"")</f>
        <v>-2.0526643168152447E-2</v>
      </c>
      <c r="T339" s="19">
        <f ca="1">IF('Stock Price'!$I$11="OK",G339/INDEX(G$5:G$1258,'Stock Price'!$I$9)-1,"")</f>
        <v>0.49473684210526314</v>
      </c>
      <c r="U339" s="19">
        <f ca="1">IF('Stock Price'!$I$11="OK",H339/INDEX(H$5:H$1258,'Stock Price'!$I$9)-1,"")</f>
        <v>-2.8088304368248052E-2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83.053399999999996</v>
      </c>
      <c r="C340" s="18">
        <v>128.4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-0.40050960011549008</v>
      </c>
      <c r="P340" s="19">
        <f ca="1">IF('Stock Price'!$I$11="OK",C340/INDEX(C$5:C$1258,'Stock Price'!$I$9)-1,"")</f>
        <v>-0.2971123580128644</v>
      </c>
      <c r="Q340" s="19">
        <f ca="1">IF('Stock Price'!$I$11="OK",D340/INDEX(D$5:D$1258,'Stock Price'!$I$9)-1,"")</f>
        <v>-0.29820672980052398</v>
      </c>
      <c r="R340" s="19">
        <f ca="1">IF('Stock Price'!$I$11="OK",E340/INDEX(E$5:E$1258,'Stock Price'!$I$9)-1,"")</f>
        <v>-0.25928085519922262</v>
      </c>
      <c r="S340" s="19">
        <f ca="1">IF('Stock Price'!$I$11="OK",F340/INDEX(F$5:F$1258,'Stock Price'!$I$9)-1,"")</f>
        <v>-4.5822102425875921E-2</v>
      </c>
      <c r="T340" s="19">
        <f ca="1">IF('Stock Price'!$I$11="OK",G340/INDEX(G$5:G$1258,'Stock Price'!$I$9)-1,"")</f>
        <v>0.49157894736842112</v>
      </c>
      <c r="U340" s="19">
        <f ca="1">IF('Stock Price'!$I$11="OK",H340/INDEX(H$5:H$1258,'Stock Price'!$I$9)-1,"")</f>
        <v>-3.2973226867073824E-2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82.685699999999997</v>
      </c>
      <c r="C341" s="18">
        <v>125.92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-0.40316370723256822</v>
      </c>
      <c r="P341" s="19">
        <f ca="1">IF('Stock Price'!$I$11="OK",C341/INDEX(C$5:C$1258,'Stock Price'!$I$9)-1,"")</f>
        <v>-0.31068838100451623</v>
      </c>
      <c r="Q341" s="19">
        <f ca="1">IF('Stock Price'!$I$11="OK",D341/INDEX(D$5:D$1258,'Stock Price'!$I$9)-1,"")</f>
        <v>-0.28793068708442471</v>
      </c>
      <c r="R341" s="19">
        <f ca="1">IF('Stock Price'!$I$11="OK",E341/INDEX(E$5:E$1258,'Stock Price'!$I$9)-1,"")</f>
        <v>-0.25461613216715262</v>
      </c>
      <c r="S341" s="19">
        <f ca="1">IF('Stock Price'!$I$11="OK",F341/INDEX(F$5:F$1258,'Stock Price'!$I$9)-1,"")</f>
        <v>-4.9139539705577384E-2</v>
      </c>
      <c r="T341" s="19">
        <f ca="1">IF('Stock Price'!$I$11="OK",G341/INDEX(G$5:G$1258,'Stock Price'!$I$9)-1,"")</f>
        <v>0.53131578947368419</v>
      </c>
      <c r="U341" s="19">
        <f ca="1">IF('Stock Price'!$I$11="OK",H341/INDEX(H$5:H$1258,'Stock Price'!$I$9)-1,"")</f>
        <v>-2.2733677782996731E-2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83.5274</v>
      </c>
      <c r="C342" s="18">
        <v>128.69999999999999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-0.39708820557239788</v>
      </c>
      <c r="P342" s="19">
        <f ca="1">IF('Stock Price'!$I$11="OK",C342/INDEX(C$5:C$1258,'Stock Price'!$I$9)-1,"")</f>
        <v>-0.29547009716710015</v>
      </c>
      <c r="Q342" s="19">
        <f ca="1">IF('Stock Price'!$I$11="OK",D342/INDEX(D$5:D$1258,'Stock Price'!$I$9)-1,"")</f>
        <v>-0.27120693129155748</v>
      </c>
      <c r="R342" s="19">
        <f ca="1">IF('Stock Price'!$I$11="OK",E342/INDEX(E$5:E$1258,'Stock Price'!$I$9)-1,"")</f>
        <v>-0.24606413994169107</v>
      </c>
      <c r="S342" s="19">
        <f ca="1">IF('Stock Price'!$I$11="OK",F342/INDEX(F$5:F$1258,'Stock Price'!$I$9)-1,"")</f>
        <v>-2.6124818577648701E-2</v>
      </c>
      <c r="T342" s="19">
        <f ca="1">IF('Stock Price'!$I$11="OK",G342/INDEX(G$5:G$1258,'Stock Price'!$I$9)-1,"")</f>
        <v>0.5513157894736842</v>
      </c>
      <c r="U342" s="19">
        <f ca="1">IF('Stock Price'!$I$11="OK",H342/INDEX(H$5:H$1258,'Stock Price'!$I$9)-1,"")</f>
        <v>-7.2334429309535153E-3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84.0595</v>
      </c>
      <c r="C343" s="18">
        <v>128.01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-0.39324743756315861</v>
      </c>
      <c r="P343" s="19">
        <f ca="1">IF('Stock Price'!$I$11="OK",C343/INDEX(C$5:C$1258,'Stock Price'!$I$9)-1,"")</f>
        <v>-0.29924729711235809</v>
      </c>
      <c r="Q343" s="19">
        <f ca="1">IF('Stock Price'!$I$11="OK",D343/INDEX(D$5:D$1258,'Stock Price'!$I$9)-1,"")</f>
        <v>-0.26818456578682248</v>
      </c>
      <c r="R343" s="19">
        <f ca="1">IF('Stock Price'!$I$11="OK",E343/INDEX(E$5:E$1258,'Stock Price'!$I$9)-1,"")</f>
        <v>-0.24450923226433441</v>
      </c>
      <c r="S343" s="19">
        <f ca="1">IF('Stock Price'!$I$11="OK",F343/INDEX(F$5:F$1258,'Stock Price'!$I$9)-1,"")</f>
        <v>-1.0781671159029615E-2</v>
      </c>
      <c r="T343" s="19">
        <f ca="1">IF('Stock Price'!$I$11="OK",G343/INDEX(G$5:G$1258,'Stock Price'!$I$9)-1,"")</f>
        <v>0.64447368421052631</v>
      </c>
      <c r="U343" s="19">
        <f ca="1">IF('Stock Price'!$I$11="OK",H343/INDEX(H$5:H$1258,'Stock Price'!$I$9)-1,"")</f>
        <v>1.7848755284171069E-3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83.498400000000004</v>
      </c>
      <c r="C344" s="18">
        <v>136.25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-0.39729753139887392</v>
      </c>
      <c r="P344" s="19">
        <f ca="1">IF('Stock Price'!$I$11="OK",C344/INDEX(C$5:C$1258,'Stock Price'!$I$9)-1,"")</f>
        <v>-0.25413986588203097</v>
      </c>
      <c r="Q344" s="19">
        <f ca="1">IF('Stock Price'!$I$11="OK",D344/INDEX(D$5:D$1258,'Stock Price'!$I$9)-1,"")</f>
        <v>-0.26596816441668347</v>
      </c>
      <c r="R344" s="19">
        <f ca="1">IF('Stock Price'!$I$11="OK",E344/INDEX(E$5:E$1258,'Stock Price'!$I$9)-1,"")</f>
        <v>-0.25422740524781351</v>
      </c>
      <c r="S344" s="19">
        <f ca="1">IF('Stock Price'!$I$11="OK",F344/INDEX(F$5:F$1258,'Stock Price'!$I$9)-1,"")</f>
        <v>-3.1100974497200173E-3</v>
      </c>
      <c r="T344" s="19">
        <f ca="1">IF('Stock Price'!$I$11="OK",G344/INDEX(G$5:G$1258,'Stock Price'!$I$9)-1,"")</f>
        <v>0.59026315789473682</v>
      </c>
      <c r="U344" s="19">
        <f ca="1">IF('Stock Price'!$I$11="OK",H344/INDEX(H$5:H$1258,'Stock Price'!$I$9)-1,"")</f>
        <v>2.5364020666980291E-3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83.662800000000004</v>
      </c>
      <c r="C345" s="18">
        <v>139.28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-0.39611087050671279</v>
      </c>
      <c r="P345" s="19">
        <f ca="1">IF('Stock Price'!$I$11="OK",C345/INDEX(C$5:C$1258,'Stock Price'!$I$9)-1,"")</f>
        <v>-0.2375530313398112</v>
      </c>
      <c r="Q345" s="19">
        <f ca="1">IF('Stock Price'!$I$11="OK",D345/INDEX(D$5:D$1258,'Stock Price'!$I$9)-1,"")</f>
        <v>-0.27785613540197462</v>
      </c>
      <c r="R345" s="19">
        <f ca="1">IF('Stock Price'!$I$11="OK",E345/INDEX(E$5:E$1258,'Stock Price'!$I$9)-1,"")</f>
        <v>-0.25928085519922262</v>
      </c>
      <c r="S345" s="19">
        <f ca="1">IF('Stock Price'!$I$11="OK",F345/INDEX(F$5:F$1258,'Stock Price'!$I$9)-1,"")</f>
        <v>-1.4306448268712413E-2</v>
      </c>
      <c r="T345" s="19">
        <f ca="1">IF('Stock Price'!$I$11="OK",G345/INDEX(G$5:G$1258,'Stock Price'!$I$9)-1,"")</f>
        <v>0.5473684210526315</v>
      </c>
      <c r="U345" s="19">
        <f ca="1">IF('Stock Price'!$I$11="OK",H345/INDEX(H$5:H$1258,'Stock Price'!$I$9)-1,"")</f>
        <v>1.9915453264443217E-2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84.639899999999997</v>
      </c>
      <c r="C346" s="18">
        <v>139.28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-0.38905803378085746</v>
      </c>
      <c r="P346" s="19">
        <f ca="1">IF('Stock Price'!$I$11="OK",C346/INDEX(C$5:C$1258,'Stock Price'!$I$9)-1,"")</f>
        <v>-0.2375530313398112</v>
      </c>
      <c r="Q346" s="19">
        <f ca="1">IF('Stock Price'!$I$11="OK",D346/INDEX(D$5:D$1258,'Stock Price'!$I$9)-1,"")</f>
        <v>-0.26999798508966366</v>
      </c>
      <c r="R346" s="19">
        <f ca="1">IF('Stock Price'!$I$11="OK",E346/INDEX(E$5:E$1258,'Stock Price'!$I$9)-1,"")</f>
        <v>-0.26239067055393583</v>
      </c>
      <c r="S346" s="19">
        <f ca="1">IF('Stock Price'!$I$11="OK",F346/INDEX(F$5:F$1258,'Stock Price'!$I$9)-1,"")</f>
        <v>-1.7209205888451096E-2</v>
      </c>
      <c r="T346" s="19">
        <f ca="1">IF('Stock Price'!$I$11="OK",G346/INDEX(G$5:G$1258,'Stock Price'!$I$9)-1,"")</f>
        <v>0.56710526315789456</v>
      </c>
      <c r="U346" s="19">
        <f ca="1">IF('Stock Price'!$I$11="OK",H346/INDEX(H$5:H$1258,'Stock Price'!$I$9)-1,"")</f>
        <v>2.9121653358384236E-2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84.697999999999993</v>
      </c>
      <c r="C347" s="18">
        <v>137.25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-0.38863866031471062</v>
      </c>
      <c r="P347" s="19">
        <f ca="1">IF('Stock Price'!$I$11="OK",C347/INDEX(C$5:C$1258,'Stock Price'!$I$9)-1,"")</f>
        <v>-0.24866566306281657</v>
      </c>
      <c r="Q347" s="19">
        <f ca="1">IF('Stock Price'!$I$11="OK",D347/INDEX(D$5:D$1258,'Stock Price'!$I$9)-1,"")</f>
        <v>-0.27342333266169649</v>
      </c>
      <c r="R347" s="19">
        <f ca="1">IF('Stock Price'!$I$11="OK",E347/INDEX(E$5:E$1258,'Stock Price'!$I$9)-1,"")</f>
        <v>-0.26452866861030122</v>
      </c>
      <c r="S347" s="19">
        <f ca="1">IF('Stock Price'!$I$11="OK",F347/INDEX(F$5:F$1258,'Stock Price'!$I$9)-1,"")</f>
        <v>-1.3062409288824295E-2</v>
      </c>
      <c r="T347" s="19">
        <f ca="1">IF('Stock Price'!$I$11="OK",G347/INDEX(G$5:G$1258,'Stock Price'!$I$9)-1,"")</f>
        <v>0.5910526315789475</v>
      </c>
      <c r="U347" s="19">
        <f ca="1">IF('Stock Price'!$I$11="OK",H347/INDEX(H$5:H$1258,'Stock Price'!$I$9)-1,"")</f>
        <v>2.1512447158290149E-2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84.34</v>
      </c>
      <c r="C348" s="18">
        <v>140.78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-0.39122275155189834</v>
      </c>
      <c r="P348" s="19">
        <f ca="1">IF('Stock Price'!$I$11="OK",C348/INDEX(C$5:C$1258,'Stock Price'!$I$9)-1,"")</f>
        <v>-0.22934172711098955</v>
      </c>
      <c r="Q348" s="19">
        <f ca="1">IF('Stock Price'!$I$11="OK",D348/INDEX(D$5:D$1258,'Stock Price'!$I$9)-1,"")</f>
        <v>-0.28329639331049772</v>
      </c>
      <c r="R348" s="19">
        <f ca="1">IF('Stock Price'!$I$11="OK",E348/INDEX(E$5:E$1258,'Stock Price'!$I$9)-1,"")</f>
        <v>-0.26899902818270172</v>
      </c>
      <c r="S348" s="19">
        <f ca="1">IF('Stock Price'!$I$11="OK",F348/INDEX(F$5:F$1258,'Stock Price'!$I$9)-1,"")</f>
        <v>-2.0319303338171224E-2</v>
      </c>
      <c r="T348" s="19">
        <f ca="1">IF('Stock Price'!$I$11="OK",G348/INDEX(G$5:G$1258,'Stock Price'!$I$9)-1,"")</f>
        <v>0.58263157894736839</v>
      </c>
      <c r="U348" s="19">
        <f ca="1">IF('Stock Price'!$I$11="OK",H348/INDEX(H$5:H$1258,'Stock Price'!$I$9)-1,"")</f>
        <v>1.1554720526068651E-2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83.159800000000004</v>
      </c>
      <c r="C349" s="18">
        <v>137.94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-0.39974159087628114</v>
      </c>
      <c r="P349" s="19">
        <f ca="1">IF('Stock Price'!$I$11="OK",C349/INDEX(C$5:C$1258,'Stock Price'!$I$9)-1,"")</f>
        <v>-0.24488846311755852</v>
      </c>
      <c r="Q349" s="19">
        <f ca="1">IF('Stock Price'!$I$11="OK",D349/INDEX(D$5:D$1258,'Stock Price'!$I$9)-1,"")</f>
        <v>-0.29196050775740479</v>
      </c>
      <c r="R349" s="19">
        <f ca="1">IF('Stock Price'!$I$11="OK",E349/INDEX(E$5:E$1258,'Stock Price'!$I$9)-1,"")</f>
        <v>-0.27677356656948493</v>
      </c>
      <c r="S349" s="19">
        <f ca="1">IF('Stock Price'!$I$11="OK",F349/INDEX(F$5:F$1258,'Stock Price'!$I$9)-1,"")</f>
        <v>-2.9027576197387495E-2</v>
      </c>
      <c r="T349" s="19">
        <f ca="1">IF('Stock Price'!$I$11="OK",G349/INDEX(G$5:G$1258,'Stock Price'!$I$9)-1,"")</f>
        <v>0.56447368421052646</v>
      </c>
      <c r="U349" s="19">
        <f ca="1">IF('Stock Price'!$I$11="OK",H349/INDEX(H$5:H$1258,'Stock Price'!$I$9)-1,"")</f>
        <v>5.6364490371074716E-4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84.214299999999994</v>
      </c>
      <c r="C350" s="18">
        <v>136.4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-0.39213007073769313</v>
      </c>
      <c r="P350" s="19">
        <f ca="1">IF('Stock Price'!$I$11="OK",C350/INDEX(C$5:C$1258,'Stock Price'!$I$9)-1,"")</f>
        <v>-0.25331873545914874</v>
      </c>
      <c r="Q350" s="19">
        <f ca="1">IF('Stock Price'!$I$11="OK",D350/INDEX(D$5:D$1258,'Stock Price'!$I$9)-1,"")</f>
        <v>-0.27705017126737863</v>
      </c>
      <c r="R350" s="19">
        <f ca="1">IF('Stock Price'!$I$11="OK",E350/INDEX(E$5:E$1258,'Stock Price'!$I$9)-1,"")</f>
        <v>-0.26375121477162289</v>
      </c>
      <c r="S350" s="19">
        <f ca="1">IF('Stock Price'!$I$11="OK",F350/INDEX(F$5:F$1258,'Stock Price'!$I$9)-1,"")</f>
        <v>-1.1611030478954953E-2</v>
      </c>
      <c r="T350" s="19">
        <f ca="1">IF('Stock Price'!$I$11="OK",G350/INDEX(G$5:G$1258,'Stock Price'!$I$9)-1,"")</f>
        <v>0.55578947368421039</v>
      </c>
      <c r="U350" s="19">
        <f ca="1">IF('Stock Price'!$I$11="OK",H350/INDEX(H$5:H$1258,'Stock Price'!$I$9)-1,"")</f>
        <v>2.8839830906528752E-2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83.933700000000002</v>
      </c>
      <c r="C351" s="18">
        <v>140.52000000000001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-0.39415547856214805</v>
      </c>
      <c r="P351" s="19">
        <f ca="1">IF('Stock Price'!$I$11="OK",C351/INDEX(C$5:C$1258,'Stock Price'!$I$9)-1,"")</f>
        <v>-0.23076501984398523</v>
      </c>
      <c r="Q351" s="19">
        <f ca="1">IF('Stock Price'!$I$11="OK",D351/INDEX(D$5:D$1258,'Stock Price'!$I$9)-1,"")</f>
        <v>-0.27463227886359065</v>
      </c>
      <c r="R351" s="19">
        <f ca="1">IF('Stock Price'!$I$11="OK",E351/INDEX(E$5:E$1258,'Stock Price'!$I$9)-1,"")</f>
        <v>-0.26355685131195339</v>
      </c>
      <c r="S351" s="19">
        <f ca="1">IF('Stock Price'!$I$11="OK",F351/INDEX(F$5:F$1258,'Stock Price'!$I$9)-1,"")</f>
        <v>-1.3062409288824295E-2</v>
      </c>
      <c r="T351" s="19">
        <f ca="1">IF('Stock Price'!$I$11="OK",G351/INDEX(G$5:G$1258,'Stock Price'!$I$9)-1,"")</f>
        <v>0.55921052631578938</v>
      </c>
      <c r="U351" s="19">
        <f ca="1">IF('Stock Price'!$I$11="OK",H351/INDEX(H$5:H$1258,'Stock Price'!$I$9)-1,"")</f>
        <v>2.4612494128698925E-2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83.856300000000005</v>
      </c>
      <c r="C352" s="18">
        <v>140.04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-0.39471416197488085</v>
      </c>
      <c r="P352" s="19">
        <f ca="1">IF('Stock Price'!$I$11="OK",C352/INDEX(C$5:C$1258,'Stock Price'!$I$9)-1,"")</f>
        <v>-0.23339263719720826</v>
      </c>
      <c r="Q352" s="19">
        <f ca="1">IF('Stock Price'!$I$11="OK",D352/INDEX(D$5:D$1258,'Stock Price'!$I$9)-1,"")</f>
        <v>-0.27987104573846466</v>
      </c>
      <c r="R352" s="19">
        <f ca="1">IF('Stock Price'!$I$11="OK",E352/INDEX(E$5:E$1258,'Stock Price'!$I$9)-1,"")</f>
        <v>-0.26277939747327506</v>
      </c>
      <c r="S352" s="19">
        <f ca="1">IF('Stock Price'!$I$11="OK",F352/INDEX(F$5:F$1258,'Stock Price'!$I$9)-1,"")</f>
        <v>-4.3541364296080243E-3</v>
      </c>
      <c r="T352" s="19">
        <f ca="1">IF('Stock Price'!$I$11="OK",G352/INDEX(G$5:G$1258,'Stock Price'!$I$9)-1,"")</f>
        <v>0.55421052631578949</v>
      </c>
      <c r="U352" s="19">
        <f ca="1">IF('Stock Price'!$I$11="OK",H352/INDEX(H$5:H$1258,'Stock Price'!$I$9)-1,"")</f>
        <v>2.5457961484264935E-2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83.7209</v>
      </c>
      <c r="C353" s="18">
        <v>134.74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-0.39569149704056583</v>
      </c>
      <c r="P353" s="19">
        <f ca="1">IF('Stock Price'!$I$11="OK",C353/INDEX(C$5:C$1258,'Stock Price'!$I$9)-1,"")</f>
        <v>-0.26240591213904474</v>
      </c>
      <c r="Q353" s="19">
        <f ca="1">IF('Stock Price'!$I$11="OK",D353/INDEX(D$5:D$1258,'Stock Price'!$I$9)-1,"")</f>
        <v>-0.28954261535361681</v>
      </c>
      <c r="R353" s="19">
        <f ca="1">IF('Stock Price'!$I$11="OK",E353/INDEX(E$5:E$1258,'Stock Price'!$I$9)-1,"")</f>
        <v>-0.26763848396501466</v>
      </c>
      <c r="S353" s="19">
        <f ca="1">IF('Stock Price'!$I$11="OK",F353/INDEX(F$5:F$1258,'Stock Price'!$I$9)-1,"")</f>
        <v>1.658718639850898E-3</v>
      </c>
      <c r="T353" s="19">
        <f ca="1">IF('Stock Price'!$I$11="OK",G353/INDEX(G$5:G$1258,'Stock Price'!$I$9)-1,"")</f>
        <v>0.57657894736842086</v>
      </c>
      <c r="U353" s="19">
        <f ca="1">IF('Stock Price'!$I$11="OK",H353/INDEX(H$5:H$1258,'Stock Price'!$I$9)-1,"")</f>
        <v>3.8891498356035781E-2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82.8309</v>
      </c>
      <c r="C354" s="18">
        <v>133.83000000000001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-0.40211563447379817</v>
      </c>
      <c r="P354" s="19">
        <f ca="1">IF('Stock Price'!$I$11="OK",C354/INDEX(C$5:C$1258,'Stock Price'!$I$9)-1,"")</f>
        <v>-0.26738743670452991</v>
      </c>
      <c r="Q354" s="19">
        <f ca="1">IF('Stock Price'!$I$11="OK",D354/INDEX(D$5:D$1258,'Stock Price'!$I$9)-1,"")</f>
        <v>-0.303445496675398</v>
      </c>
      <c r="R354" s="19">
        <f ca="1">IF('Stock Price'!$I$11="OK",E354/INDEX(E$5:E$1258,'Stock Price'!$I$9)-1,"")</f>
        <v>-0.28454810495626826</v>
      </c>
      <c r="S354" s="19">
        <f ca="1">IF('Stock Price'!$I$11="OK",F354/INDEX(F$5:F$1258,'Stock Price'!$I$9)-1,"")</f>
        <v>-1.0989010989010839E-2</v>
      </c>
      <c r="T354" s="19">
        <f ca="1">IF('Stock Price'!$I$11="OK",G354/INDEX(G$5:G$1258,'Stock Price'!$I$9)-1,"")</f>
        <v>0.54263157894736835</v>
      </c>
      <c r="U354" s="19">
        <f ca="1">IF('Stock Price'!$I$11="OK",H354/INDEX(H$5:H$1258,'Stock Price'!$I$9)-1,"")</f>
        <v>3.2315641146077878E-2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82.763099999999994</v>
      </c>
      <c r="C355" s="18">
        <v>135.32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-0.40260502381983543</v>
      </c>
      <c r="P355" s="19">
        <f ca="1">IF('Stock Price'!$I$11="OK",C355/INDEX(C$5:C$1258,'Stock Price'!$I$9)-1,"")</f>
        <v>-0.25923087450390048</v>
      </c>
      <c r="Q355" s="19">
        <f ca="1">IF('Stock Price'!$I$11="OK",D355/INDEX(D$5:D$1258,'Stock Price'!$I$9)-1,"")</f>
        <v>-0.29840822083417295</v>
      </c>
      <c r="R355" s="19">
        <f ca="1">IF('Stock Price'!$I$11="OK",E355/INDEX(E$5:E$1258,'Stock Price'!$I$9)-1,"")</f>
        <v>-0.28590864917395531</v>
      </c>
      <c r="S355" s="19">
        <f ca="1">IF('Stock Price'!$I$11="OK",F355/INDEX(F$5:F$1258,'Stock Price'!$I$9)-1,"")</f>
        <v>-7.8789135392908216E-3</v>
      </c>
      <c r="T355" s="19">
        <f ca="1">IF('Stock Price'!$I$11="OK",G355/INDEX(G$5:G$1258,'Stock Price'!$I$9)-1,"")</f>
        <v>0.54157894736842094</v>
      </c>
      <c r="U355" s="19">
        <f ca="1">IF('Stock Price'!$I$11="OK",H355/INDEX(H$5:H$1258,'Stock Price'!$I$9)-1,"")</f>
        <v>2.7336777829967129E-2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81.3797</v>
      </c>
      <c r="C356" s="18">
        <v>129.22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-0.41259058755594047</v>
      </c>
      <c r="P356" s="19">
        <f ca="1">IF('Stock Price'!$I$11="OK",C356/INDEX(C$5:C$1258,'Stock Price'!$I$9)-1,"")</f>
        <v>-0.29262351170110856</v>
      </c>
      <c r="Q356" s="19">
        <f ca="1">IF('Stock Price'!$I$11="OK",D356/INDEX(D$5:D$1258,'Stock Price'!$I$9)-1,"")</f>
        <v>-0.309490227684868</v>
      </c>
      <c r="R356" s="19">
        <f ca="1">IF('Stock Price'!$I$11="OK",E356/INDEX(E$5:E$1258,'Stock Price'!$I$9)-1,"")</f>
        <v>-0.29931972789115657</v>
      </c>
      <c r="S356" s="19">
        <f ca="1">IF('Stock Price'!$I$11="OK",F356/INDEX(F$5:F$1258,'Stock Price'!$I$9)-1,"")</f>
        <v>-2.8612896537424715E-2</v>
      </c>
      <c r="T356" s="19">
        <f ca="1">IF('Stock Price'!$I$11="OK",G356/INDEX(G$5:G$1258,'Stock Price'!$I$9)-1,"")</f>
        <v>0.48131578947368414</v>
      </c>
      <c r="U356" s="19">
        <f ca="1">IF('Stock Price'!$I$11="OK",H356/INDEX(H$5:H$1258,'Stock Price'!$I$9)-1,"")</f>
        <v>-1.972757162987393E-3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81.089500000000001</v>
      </c>
      <c r="C357" s="18">
        <v>128.6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-0.41468528944709104</v>
      </c>
      <c r="P357" s="19">
        <f ca="1">IF('Stock Price'!$I$11="OK",C357/INDEX(C$5:C$1258,'Stock Price'!$I$9)-1,"")</f>
        <v>-0.29601751744902161</v>
      </c>
      <c r="Q357" s="19">
        <f ca="1">IF('Stock Price'!$I$11="OK",D357/INDEX(D$5:D$1258,'Stock Price'!$I$9)-1,"")</f>
        <v>-0.30969171871851708</v>
      </c>
      <c r="R357" s="19">
        <f ca="1">IF('Stock Price'!$I$11="OK",E357/INDEX(E$5:E$1258,'Stock Price'!$I$9)-1,"")</f>
        <v>-0.30106899902818274</v>
      </c>
      <c r="S357" s="19">
        <f ca="1">IF('Stock Price'!$I$11="OK",F357/INDEX(F$5:F$1258,'Stock Price'!$I$9)-1,"")</f>
        <v>-2.5088119427741917E-2</v>
      </c>
      <c r="T357" s="19">
        <f ca="1">IF('Stock Price'!$I$11="OK",G357/INDEX(G$5:G$1258,'Stock Price'!$I$9)-1,"")</f>
        <v>0.48263157894736852</v>
      </c>
      <c r="U357" s="19">
        <f ca="1">IF('Stock Price'!$I$11="OK",H357/INDEX(H$5:H$1258,'Stock Price'!$I$9)-1,"")</f>
        <v>1.8788163457021945E-3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82.347099999999998</v>
      </c>
      <c r="C358" s="18">
        <v>131.56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-0.40560776670997545</v>
      </c>
      <c r="P358" s="19">
        <f ca="1">IF('Stock Price'!$I$11="OK",C358/INDEX(C$5:C$1258,'Stock Price'!$I$9)-1,"")</f>
        <v>-0.27981387710414674</v>
      </c>
      <c r="Q358" s="19">
        <f ca="1">IF('Stock Price'!$I$11="OK",D358/INDEX(D$5:D$1258,'Stock Price'!$I$9)-1,"")</f>
        <v>-0.30324400564174903</v>
      </c>
      <c r="R358" s="19">
        <f ca="1">IF('Stock Price'!$I$11="OK",E358/INDEX(E$5:E$1258,'Stock Price'!$I$9)-1,"")</f>
        <v>-0.29251700680272119</v>
      </c>
      <c r="S358" s="19">
        <f ca="1">IF('Stock Price'!$I$11="OK",F358/INDEX(F$5:F$1258,'Stock Price'!$I$9)-1,"")</f>
        <v>-1.2440389798880291E-2</v>
      </c>
      <c r="T358" s="19">
        <f ca="1">IF('Stock Price'!$I$11="OK",G358/INDEX(G$5:G$1258,'Stock Price'!$I$9)-1,"")</f>
        <v>0.49526315789473685</v>
      </c>
      <c r="U358" s="19">
        <f ca="1">IF('Stock Price'!$I$11="OK",H358/INDEX(H$5:H$1258,'Stock Price'!$I$9)-1,"")</f>
        <v>5.2606857679662333E-3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81.921499999999995</v>
      </c>
      <c r="C359" s="18">
        <v>130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-0.408679803666811</v>
      </c>
      <c r="P359" s="19">
        <f ca="1">IF('Stock Price'!$I$11="OK",C359/INDEX(C$5:C$1258,'Stock Price'!$I$9)-1,"")</f>
        <v>-0.28835363350212129</v>
      </c>
      <c r="Q359" s="19">
        <f ca="1">IF('Stock Price'!$I$11="OK",D359/INDEX(D$5:D$1258,'Stock Price'!$I$9)-1,"")</f>
        <v>-0.30163207737255704</v>
      </c>
      <c r="R359" s="19">
        <f ca="1">IF('Stock Price'!$I$11="OK",E359/INDEX(E$5:E$1258,'Stock Price'!$I$9)-1,"")</f>
        <v>-0.2905733722060253</v>
      </c>
      <c r="S359" s="19">
        <f ca="1">IF('Stock Price'!$I$11="OK",F359/INDEX(F$5:F$1258,'Stock Price'!$I$9)-1,"")</f>
        <v>-9.744972009122943E-3</v>
      </c>
      <c r="T359" s="19">
        <f ca="1">IF('Stock Price'!$I$11="OK",G359/INDEX(G$5:G$1258,'Stock Price'!$I$9)-1,"")</f>
        <v>0.51578947368421058</v>
      </c>
      <c r="U359" s="19">
        <f ca="1">IF('Stock Price'!$I$11="OK",H359/INDEX(H$5:H$1258,'Stock Price'!$I$9)-1,"")</f>
        <v>4.0394551432596515E-3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82.153700000000001</v>
      </c>
      <c r="C360" s="18">
        <v>130.19999999999999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-0.40700375342861261</v>
      </c>
      <c r="P360" s="19">
        <f ca="1">IF('Stock Price'!$I$11="OK",C360/INDEX(C$5:C$1258,'Stock Price'!$I$9)-1,"")</f>
        <v>-0.2872587929382785</v>
      </c>
      <c r="Q360" s="19">
        <f ca="1">IF('Stock Price'!$I$11="OK",D360/INDEX(D$5:D$1258,'Stock Price'!$I$9)-1,"")</f>
        <v>-0.30586338907918598</v>
      </c>
      <c r="R360" s="19">
        <f ca="1">IF('Stock Price'!$I$11="OK",E360/INDEX(E$5:E$1258,'Stock Price'!$I$9)-1,"")</f>
        <v>-0.29504373177842569</v>
      </c>
      <c r="S360" s="19">
        <f ca="1">IF('Stock Price'!$I$11="OK",F360/INDEX(F$5:F$1258,'Stock Price'!$I$9)-1,"")</f>
        <v>-1.0366991499066947E-2</v>
      </c>
      <c r="T360" s="19">
        <f ca="1">IF('Stock Price'!$I$11="OK",G360/INDEX(G$5:G$1258,'Stock Price'!$I$9)-1,"")</f>
        <v>0.51657894736842103</v>
      </c>
      <c r="U360" s="19">
        <f ca="1">IF('Stock Price'!$I$11="OK",H360/INDEX(H$5:H$1258,'Stock Price'!$I$9)-1,"")</f>
        <v>4.3682480037576354E-2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81.244299999999996</v>
      </c>
      <c r="C361" s="18">
        <v>128.9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-0.41356792262162556</v>
      </c>
      <c r="P361" s="19">
        <f ca="1">IF('Stock Price'!$I$11="OK",C361/INDEX(C$5:C$1258,'Stock Price'!$I$9)-1,"")</f>
        <v>-0.29437525660325714</v>
      </c>
      <c r="Q361" s="19">
        <f ca="1">IF('Stock Price'!$I$11="OK",D361/INDEX(D$5:D$1258,'Stock Price'!$I$9)-1,"")</f>
        <v>-0.31432601249244407</v>
      </c>
      <c r="R361" s="19">
        <f ca="1">IF('Stock Price'!$I$11="OK",E361/INDEX(E$5:E$1258,'Stock Price'!$I$9)-1,"")</f>
        <v>-0.31253644314868811</v>
      </c>
      <c r="S361" s="19">
        <f ca="1">IF('Stock Price'!$I$11="OK",F361/INDEX(F$5:F$1258,'Stock Price'!$I$9)-1,"")</f>
        <v>-1.3891768608749633E-2</v>
      </c>
      <c r="T361" s="19">
        <f ca="1">IF('Stock Price'!$I$11="OK",G361/INDEX(G$5:G$1258,'Stock Price'!$I$9)-1,"")</f>
        <v>0.50657894736842102</v>
      </c>
      <c r="U361" s="19">
        <f ca="1">IF('Stock Price'!$I$11="OK",H361/INDEX(H$5:H$1258,'Stock Price'!$I$9)-1,"")</f>
        <v>4.5279473931423064E-2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80.576800000000006</v>
      </c>
      <c r="C362" s="18">
        <v>127.63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-0.4183860256965497</v>
      </c>
      <c r="P362" s="19">
        <f ca="1">IF('Stock Price'!$I$11="OK",C362/INDEX(C$5:C$1258,'Stock Price'!$I$9)-1,"")</f>
        <v>-0.30132749418365956</v>
      </c>
      <c r="Q362" s="19">
        <f ca="1">IF('Stock Price'!$I$11="OK",D362/INDEX(D$5:D$1258,'Stock Price'!$I$9)-1,"")</f>
        <v>-0.32319161797300022</v>
      </c>
      <c r="R362" s="19">
        <f ca="1">IF('Stock Price'!$I$11="OK",E362/INDEX(E$5:E$1258,'Stock Price'!$I$9)-1,"")</f>
        <v>-0.31992225461613222</v>
      </c>
      <c r="S362" s="19">
        <f ca="1">IF('Stock Price'!$I$11="OK",F362/INDEX(F$5:F$1258,'Stock Price'!$I$9)-1,"")</f>
        <v>-2.0733982998133893E-2</v>
      </c>
      <c r="T362" s="19">
        <f ca="1">IF('Stock Price'!$I$11="OK",G362/INDEX(G$5:G$1258,'Stock Price'!$I$9)-1,"")</f>
        <v>0.53868421052631565</v>
      </c>
      <c r="U362" s="19">
        <f ca="1">IF('Stock Price'!$I$11="OK",H362/INDEX(H$5:H$1258,'Stock Price'!$I$9)-1,"")</f>
        <v>1.7191169563175235E-2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77.423000000000002</v>
      </c>
      <c r="C363" s="18">
        <v>127.34990000000001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-0.44115057023242377</v>
      </c>
      <c r="P363" s="19">
        <f ca="1">IF('Stock Price'!$I$11="OK",C363/INDEX(C$5:C$1258,'Stock Price'!$I$9)-1,"")</f>
        <v>-0.30286081839332146</v>
      </c>
      <c r="Q363" s="19">
        <f ca="1">IF('Stock Price'!$I$11="OK",D363/INDEX(D$5:D$1258,'Stock Price'!$I$9)-1,"")</f>
        <v>-0.32500503727584129</v>
      </c>
      <c r="R363" s="19">
        <f ca="1">IF('Stock Price'!$I$11="OK",E363/INDEX(E$5:E$1258,'Stock Price'!$I$9)-1,"")</f>
        <v>-0.317201166180758</v>
      </c>
      <c r="S363" s="19">
        <f ca="1">IF('Stock Price'!$I$11="OK",F363/INDEX(F$5:F$1258,'Stock Price'!$I$9)-1,"")</f>
        <v>-2.4466099937798025E-2</v>
      </c>
      <c r="T363" s="19">
        <f ca="1">IF('Stock Price'!$I$11="OK",G363/INDEX(G$5:G$1258,'Stock Price'!$I$9)-1,"")</f>
        <v>0.526842105263158</v>
      </c>
      <c r="U363" s="19">
        <f ca="1">IF('Stock Price'!$I$11="OK",H363/INDEX(H$5:H$1258,'Stock Price'!$I$9)-1,"")</f>
        <v>1.0803193987787507E-2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78.042100000000005</v>
      </c>
      <c r="C364" s="18">
        <v>129.84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-0.43668182474375627</v>
      </c>
      <c r="P364" s="19">
        <f ca="1">IF('Stock Price'!$I$11="OK",C364/INDEX(C$5:C$1258,'Stock Price'!$I$9)-1,"")</f>
        <v>-0.28922950595319563</v>
      </c>
      <c r="Q364" s="19">
        <f ca="1">IF('Stock Price'!$I$11="OK",D364/INDEX(D$5:D$1258,'Stock Price'!$I$9)-1,"")</f>
        <v>-0.32500503727584129</v>
      </c>
      <c r="R364" s="19">
        <f ca="1">IF('Stock Price'!$I$11="OK",E364/INDEX(E$5:E$1258,'Stock Price'!$I$9)-1,"")</f>
        <v>-0.30515063168124401</v>
      </c>
      <c r="S364" s="19">
        <f ca="1">IF('Stock Price'!$I$11="OK",F364/INDEX(F$5:F$1258,'Stock Price'!$I$9)-1,"")</f>
        <v>-1.969728384822711E-2</v>
      </c>
      <c r="T364" s="19">
        <f ca="1">IF('Stock Price'!$I$11="OK",G364/INDEX(G$5:G$1258,'Stock Price'!$I$9)-1,"")</f>
        <v>0.51842105263157912</v>
      </c>
      <c r="U364" s="19">
        <f ca="1">IF('Stock Price'!$I$11="OK",H364/INDEX(H$5:H$1258,'Stock Price'!$I$9)-1,"")</f>
        <v>1.1648661343353739E-2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78.951499999999996</v>
      </c>
      <c r="C365" s="18">
        <v>129.25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-0.43011765555074344</v>
      </c>
      <c r="P365" s="19">
        <f ca="1">IF('Stock Price'!$I$11="OK",C365/INDEX(C$5:C$1258,'Stock Price'!$I$9)-1,"")</f>
        <v>-0.29245928561653212</v>
      </c>
      <c r="Q365" s="19">
        <f ca="1">IF('Stock Price'!$I$11="OK",D365/INDEX(D$5:D$1258,'Stock Price'!$I$9)-1,"")</f>
        <v>-0.32460205520854324</v>
      </c>
      <c r="R365" s="19">
        <f ca="1">IF('Stock Price'!$I$11="OK",E365/INDEX(E$5:E$1258,'Stock Price'!$I$9)-1,"")</f>
        <v>-0.29348882410106902</v>
      </c>
      <c r="S365" s="19">
        <f ca="1">IF('Stock Price'!$I$11="OK",F365/INDEX(F$5:F$1258,'Stock Price'!$I$9)-1,"")</f>
        <v>-2.4880779597760694E-2</v>
      </c>
      <c r="T365" s="19">
        <f ca="1">IF('Stock Price'!$I$11="OK",G365/INDEX(G$5:G$1258,'Stock Price'!$I$9)-1,"")</f>
        <v>0.47526315789473683</v>
      </c>
      <c r="U365" s="19">
        <f ca="1">IF('Stock Price'!$I$11="OK",H365/INDEX(H$5:H$1258,'Stock Price'!$I$9)-1,"")</f>
        <v>-6.7637388445279667E-3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79.415800000000004</v>
      </c>
      <c r="C366" s="18">
        <v>131.24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-0.42676627688754143</v>
      </c>
      <c r="P366" s="19">
        <f ca="1">IF('Stock Price'!$I$11="OK",C366/INDEX(C$5:C$1258,'Stock Price'!$I$9)-1,"")</f>
        <v>-0.28156562200629531</v>
      </c>
      <c r="Q366" s="19">
        <f ca="1">IF('Stock Price'!$I$11="OK",D366/INDEX(D$5:D$1258,'Stock Price'!$I$9)-1,"")</f>
        <v>-0.32057223453556327</v>
      </c>
      <c r="R366" s="19">
        <f ca="1">IF('Stock Price'!$I$11="OK",E366/INDEX(E$5:E$1258,'Stock Price'!$I$9)-1,"")</f>
        <v>-0.29310009718172991</v>
      </c>
      <c r="S366" s="19">
        <f ca="1">IF('Stock Price'!$I$11="OK",F366/INDEX(F$5:F$1258,'Stock Price'!$I$9)-1,"")</f>
        <v>-7.6715737093094871E-3</v>
      </c>
      <c r="T366" s="19">
        <f ca="1">IF('Stock Price'!$I$11="OK",G366/INDEX(G$5:G$1258,'Stock Price'!$I$9)-1,"")</f>
        <v>0.50578947368421057</v>
      </c>
      <c r="U366" s="19">
        <f ca="1">IF('Stock Price'!$I$11="OK",H366/INDEX(H$5:H$1258,'Stock Price'!$I$9)-1,"")</f>
        <v>4.8849224988256612E-3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79.4255</v>
      </c>
      <c r="C367" s="18">
        <v>127.84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-0.42669626100765123</v>
      </c>
      <c r="P367" s="19">
        <f ca="1">IF('Stock Price'!$I$11="OK",C367/INDEX(C$5:C$1258,'Stock Price'!$I$9)-1,"")</f>
        <v>-0.30017791159162455</v>
      </c>
      <c r="Q367" s="19">
        <f ca="1">IF('Stock Price'!$I$11="OK",D367/INDEX(D$5:D$1258,'Stock Price'!$I$9)-1,"")</f>
        <v>-0.3233931090066493</v>
      </c>
      <c r="R367" s="19">
        <f ca="1">IF('Stock Price'!$I$11="OK",E367/INDEX(E$5:E$1258,'Stock Price'!$I$9)-1,"")</f>
        <v>-0.30106899902818274</v>
      </c>
      <c r="S367" s="19">
        <f ca="1">IF('Stock Price'!$I$11="OK",F367/INDEX(F$5:F$1258,'Stock Price'!$I$9)-1,"")</f>
        <v>-1.3684428778768298E-2</v>
      </c>
      <c r="T367" s="19">
        <f ca="1">IF('Stock Price'!$I$11="OK",G367/INDEX(G$5:G$1258,'Stock Price'!$I$9)-1,"")</f>
        <v>0.46710526315789469</v>
      </c>
      <c r="U367" s="19">
        <f ca="1">IF('Stock Price'!$I$11="OK",H367/INDEX(H$5:H$1258,'Stock Price'!$I$9)-1,"")</f>
        <v>1.1085016439642992E-2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80.083399999999997</v>
      </c>
      <c r="C368" s="18">
        <v>130.06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-0.42194745199942252</v>
      </c>
      <c r="P368" s="19">
        <f ca="1">IF('Stock Price'!$I$11="OK",C368/INDEX(C$5:C$1258,'Stock Price'!$I$9)-1,"")</f>
        <v>-0.28802518133296839</v>
      </c>
      <c r="Q368" s="19">
        <f ca="1">IF('Stock Price'!$I$11="OK",D368/INDEX(D$5:D$1258,'Stock Price'!$I$9)-1,"")</f>
        <v>-0.31855732419907312</v>
      </c>
      <c r="R368" s="19">
        <f ca="1">IF('Stock Price'!$I$11="OK",E368/INDEX(E$5:E$1258,'Stock Price'!$I$9)-1,"")</f>
        <v>-0.31933916423712339</v>
      </c>
      <c r="S368" s="19">
        <f ca="1">IF('Stock Price'!$I$11="OK",F368/INDEX(F$5:F$1258,'Stock Price'!$I$9)-1,"")</f>
        <v>-2.2807381297946794E-3</v>
      </c>
      <c r="T368" s="19">
        <f ca="1">IF('Stock Price'!$I$11="OK",G368/INDEX(G$5:G$1258,'Stock Price'!$I$9)-1,"")</f>
        <v>0.4676315789473684</v>
      </c>
      <c r="U368" s="19">
        <f ca="1">IF('Stock Price'!$I$11="OK",H368/INDEX(H$5:H$1258,'Stock Price'!$I$9)-1,"")</f>
        <v>8.3607327383747876E-3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79.512600000000006</v>
      </c>
      <c r="C369" s="18">
        <v>130.55500000000001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-0.42606756171502802</v>
      </c>
      <c r="P369" s="19">
        <f ca="1">IF('Stock Price'!$I$11="OK",C369/INDEX(C$5:C$1258,'Stock Price'!$I$9)-1,"")</f>
        <v>-0.28531545093745725</v>
      </c>
      <c r="Q369" s="19">
        <f ca="1">IF('Stock Price'!$I$11="OK",D369/INDEX(D$5:D$1258,'Stock Price'!$I$9)-1,"")</f>
        <v>-0.31352004835784808</v>
      </c>
      <c r="R369" s="19">
        <f ca="1">IF('Stock Price'!$I$11="OK",E369/INDEX(E$5:E$1258,'Stock Price'!$I$9)-1,"")</f>
        <v>-0.31836734693877555</v>
      </c>
      <c r="S369" s="19">
        <f ca="1">IF('Stock Price'!$I$11="OK",F369/INDEX(F$5:F$1258,'Stock Price'!$I$9)-1,"")</f>
        <v>-1.0159651669085501E-2</v>
      </c>
      <c r="T369" s="19">
        <f ca="1">IF('Stock Price'!$I$11="OK",G369/INDEX(G$5:G$1258,'Stock Price'!$I$9)-1,"")</f>
        <v>0.46868421052631581</v>
      </c>
      <c r="U369" s="19">
        <f ca="1">IF('Stock Price'!$I$11="OK",H369/INDEX(H$5:H$1258,'Stock Price'!$I$9)-1,"")</f>
        <v>-2.2076092062001007E-2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80.712199999999996</v>
      </c>
      <c r="C370" s="18">
        <v>133.12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-0.41740869063086472</v>
      </c>
      <c r="P370" s="19">
        <f ca="1">IF('Stock Price'!$I$11="OK",C370/INDEX(C$5:C$1258,'Stock Price'!$I$9)-1,"")</f>
        <v>-0.27127412070617218</v>
      </c>
      <c r="Q370" s="19">
        <f ca="1">IF('Stock Price'!$I$11="OK",D370/INDEX(D$5:D$1258,'Stock Price'!$I$9)-1,"")</f>
        <v>-0.29619181946403395</v>
      </c>
      <c r="R370" s="19">
        <f ca="1">IF('Stock Price'!$I$11="OK",E370/INDEX(E$5:E$1258,'Stock Price'!$I$9)-1,"")</f>
        <v>-0.3170068027210885</v>
      </c>
      <c r="S370" s="19">
        <f ca="1">IF('Stock Price'!$I$11="OK",F370/INDEX(F$5:F$1258,'Stock Price'!$I$9)-1,"")</f>
        <v>-4.7688160895706933E-3</v>
      </c>
      <c r="T370" s="19">
        <f ca="1">IF('Stock Price'!$I$11="OK",G370/INDEX(G$5:G$1258,'Stock Price'!$I$9)-1,"")</f>
        <v>0.47447368421052638</v>
      </c>
      <c r="U370" s="19">
        <f ca="1">IF('Stock Price'!$I$11="OK",H370/INDEX(H$5:H$1258,'Stock Price'!$I$9)-1,"")</f>
        <v>-5.6364490371066944E-3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80.944400000000002</v>
      </c>
      <c r="C371" s="18">
        <v>134.74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-0.41573264039266633</v>
      </c>
      <c r="P371" s="19">
        <f ca="1">IF('Stock Price'!$I$11="OK",C371/INDEX(C$5:C$1258,'Stock Price'!$I$9)-1,"")</f>
        <v>-0.26240591213904474</v>
      </c>
      <c r="Q371" s="19">
        <f ca="1">IF('Stock Price'!$I$11="OK",D371/INDEX(D$5:D$1258,'Stock Price'!$I$9)-1,"")</f>
        <v>-0.29377392706024597</v>
      </c>
      <c r="R371" s="19">
        <f ca="1">IF('Stock Price'!$I$11="OK",E371/INDEX(E$5:E$1258,'Stock Price'!$I$9)-1,"")</f>
        <v>-0.30767735665694862</v>
      </c>
      <c r="S371" s="19">
        <f ca="1">IF('Stock Price'!$I$11="OK",F371/INDEX(F$5:F$1258,'Stock Price'!$I$9)-1,"")</f>
        <v>6.8422143893842602E-3</v>
      </c>
      <c r="T371" s="19">
        <f ca="1">IF('Stock Price'!$I$11="OK",G371/INDEX(G$5:G$1258,'Stock Price'!$I$9)-1,"")</f>
        <v>0.50473684210526315</v>
      </c>
      <c r="U371" s="19">
        <f ca="1">IF('Stock Price'!$I$11="OK",H371/INDEX(H$5:H$1258,'Stock Price'!$I$9)-1,"")</f>
        <v>-8.5486143729449626E-3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79.290099999999995</v>
      </c>
      <c r="C372" s="18">
        <v>135.56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-0.42767359607333622</v>
      </c>
      <c r="P372" s="19">
        <f ca="1">IF('Stock Price'!$I$11="OK",C372/INDEX(C$5:C$1258,'Stock Price'!$I$9)-1,"")</f>
        <v>-0.2579170658272889</v>
      </c>
      <c r="Q372" s="19">
        <f ca="1">IF('Stock Price'!$I$11="OK",D372/INDEX(D$5:D$1258,'Stock Price'!$I$9)-1,"")</f>
        <v>-0.29679629256498097</v>
      </c>
      <c r="R372" s="19">
        <f ca="1">IF('Stock Price'!$I$11="OK",E372/INDEX(E$5:E$1258,'Stock Price'!$I$9)-1,"")</f>
        <v>-0.31370262390670556</v>
      </c>
      <c r="S372" s="19">
        <f ca="1">IF('Stock Price'!$I$11="OK",F372/INDEX(F$5:F$1258,'Stock Price'!$I$9)-1,"")</f>
        <v>1.1611030478954953E-2</v>
      </c>
      <c r="T372" s="19">
        <f ca="1">IF('Stock Price'!$I$11="OK",G372/INDEX(G$5:G$1258,'Stock Price'!$I$9)-1,"")</f>
        <v>0.49026315789473696</v>
      </c>
      <c r="U372" s="19">
        <f ca="1">IF('Stock Price'!$I$11="OK",H372/INDEX(H$5:H$1258,'Stock Price'!$I$9)-1,"")</f>
        <v>-1.9257867543447604E-2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79.822199999999995</v>
      </c>
      <c r="C373" s="18">
        <v>133.78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-0.42383282806409706</v>
      </c>
      <c r="P373" s="19">
        <f ca="1">IF('Stock Price'!$I$11="OK",C373/INDEX(C$5:C$1258,'Stock Price'!$I$9)-1,"")</f>
        <v>-0.26766114684549069</v>
      </c>
      <c r="Q373" s="19">
        <f ca="1">IF('Stock Price'!$I$11="OK",D373/INDEX(D$5:D$1258,'Stock Price'!$I$9)-1,"")</f>
        <v>-0.2903485794882128</v>
      </c>
      <c r="R373" s="19">
        <f ca="1">IF('Stock Price'!$I$11="OK",E373/INDEX(E$5:E$1258,'Stock Price'!$I$9)-1,"")</f>
        <v>-0.31933916423712339</v>
      </c>
      <c r="S373" s="19">
        <f ca="1">IF('Stock Price'!$I$11="OK",F373/INDEX(F$5:F$1258,'Stock Price'!$I$9)-1,"")</f>
        <v>7.2568940493468848E-2</v>
      </c>
      <c r="T373" s="19">
        <f ca="1">IF('Stock Price'!$I$11="OK",G373/INDEX(G$5:G$1258,'Stock Price'!$I$9)-1,"")</f>
        <v>0.47210526315789458</v>
      </c>
      <c r="U373" s="19">
        <f ca="1">IF('Stock Price'!$I$11="OK",H373/INDEX(H$5:H$1258,'Stock Price'!$I$9)-1,"")</f>
        <v>-2.0854861437294536E-2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80.867000000000004</v>
      </c>
      <c r="C374" s="18">
        <v>136.69999999999999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-0.41629132380539913</v>
      </c>
      <c r="P374" s="19">
        <f ca="1">IF('Stock Price'!$I$11="OK",C374/INDEX(C$5:C$1258,'Stock Price'!$I$9)-1,"")</f>
        <v>-0.25167647461338449</v>
      </c>
      <c r="Q374" s="19">
        <f ca="1">IF('Stock Price'!$I$11="OK",D374/INDEX(D$5:D$1258,'Stock Price'!$I$9)-1,"")</f>
        <v>-0.30727382631472899</v>
      </c>
      <c r="R374" s="19">
        <f ca="1">IF('Stock Price'!$I$11="OK",E374/INDEX(E$5:E$1258,'Stock Price'!$I$9)-1,"")</f>
        <v>-0.31253644314868811</v>
      </c>
      <c r="S374" s="19">
        <f ca="1">IF('Stock Price'!$I$11="OK",F374/INDEX(F$5:F$1258,'Stock Price'!$I$9)-1,"")</f>
        <v>9.0814845531826727E-2</v>
      </c>
      <c r="T374" s="19">
        <f ca="1">IF('Stock Price'!$I$11="OK",G374/INDEX(G$5:G$1258,'Stock Price'!$I$9)-1,"")</f>
        <v>0.46184210526315783</v>
      </c>
      <c r="U374" s="19">
        <f ca="1">IF('Stock Price'!$I$11="OK",H374/INDEX(H$5:H$1258,'Stock Price'!$I$9)-1,"")</f>
        <v>-1.5500234852043215E-2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87.338999999999999</v>
      </c>
      <c r="C375" s="18">
        <v>137.3425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-0.36957557384148976</v>
      </c>
      <c r="P375" s="19">
        <f ca="1">IF('Stock Price'!$I$11="OK",C375/INDEX(C$5:C$1258,'Stock Price'!$I$9)-1,"")</f>
        <v>-0.24815929930203917</v>
      </c>
      <c r="Q375" s="19">
        <f ca="1">IF('Stock Price'!$I$11="OK",D375/INDEX(D$5:D$1258,'Stock Price'!$I$9)-1,"")</f>
        <v>-0.29397541809389482</v>
      </c>
      <c r="R375" s="19">
        <f ca="1">IF('Stock Price'!$I$11="OK",E375/INDEX(E$5:E$1258,'Stock Price'!$I$9)-1,"")</f>
        <v>-0.31778425655976672</v>
      </c>
      <c r="S375" s="19">
        <f ca="1">IF('Stock Price'!$I$11="OK",F375/INDEX(F$5:F$1258,'Stock Price'!$I$9)-1,"")</f>
        <v>0.10346257516068835</v>
      </c>
      <c r="T375" s="19">
        <f ca="1">IF('Stock Price'!$I$11="OK",G375/INDEX(G$5:G$1258,'Stock Price'!$I$9)-1,"")</f>
        <v>0.47368421052631571</v>
      </c>
      <c r="U375" s="19">
        <f ca="1">IF('Stock Price'!$I$11="OK",H375/INDEX(H$5:H$1258,'Stock Price'!$I$9)-1,"")</f>
        <v>4.5091592296853111E-3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87.987200000000001</v>
      </c>
      <c r="C376" s="18">
        <v>138.68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-0.36489678071315135</v>
      </c>
      <c r="P376" s="19">
        <f ca="1">IF('Stock Price'!$I$11="OK",C376/INDEX(C$5:C$1258,'Stock Price'!$I$9)-1,"")</f>
        <v>-0.2408375530313398</v>
      </c>
      <c r="Q376" s="19">
        <f ca="1">IF('Stock Price'!$I$11="OK",D376/INDEX(D$5:D$1258,'Stock Price'!$I$9)-1,"")</f>
        <v>-0.29276647189200078</v>
      </c>
      <c r="R376" s="19">
        <f ca="1">IF('Stock Price'!$I$11="OK",E376/INDEX(E$5:E$1258,'Stock Price'!$I$9)-1,"")</f>
        <v>-0.3220602526724976</v>
      </c>
      <c r="S376" s="19">
        <f ca="1">IF('Stock Price'!$I$11="OK",F376/INDEX(F$5:F$1258,'Stock Price'!$I$9)-1,"")</f>
        <v>0.12357453866887824</v>
      </c>
      <c r="T376" s="19">
        <f ca="1">IF('Stock Price'!$I$11="OK",G376/INDEX(G$5:G$1258,'Stock Price'!$I$9)-1,"")</f>
        <v>0.49657894736842101</v>
      </c>
      <c r="U376" s="19">
        <f ca="1">IF('Stock Price'!$I$11="OK",H376/INDEX(H$5:H$1258,'Stock Price'!$I$9)-1,"")</f>
        <v>-8.6425551902301612E-3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87.251999999999995</v>
      </c>
      <c r="C377" s="18">
        <v>136.30000000000001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-0.37020355132091809</v>
      </c>
      <c r="P377" s="19">
        <f ca="1">IF('Stock Price'!$I$11="OK",C377/INDEX(C$5:C$1258,'Stock Price'!$I$9)-1,"")</f>
        <v>-0.25386615574107019</v>
      </c>
      <c r="Q377" s="19">
        <f ca="1">IF('Stock Price'!$I$11="OK",D377/INDEX(D$5:D$1258,'Stock Price'!$I$9)-1,"")</f>
        <v>-0.29357243602659677</v>
      </c>
      <c r="R377" s="19">
        <f ca="1">IF('Stock Price'!$I$11="OK",E377/INDEX(E$5:E$1258,'Stock Price'!$I$9)-1,"")</f>
        <v>-0.31098153547133134</v>
      </c>
      <c r="S377" s="19">
        <f ca="1">IF('Stock Price'!$I$11="OK",F377/INDEX(F$5:F$1258,'Stock Price'!$I$9)-1,"")</f>
        <v>0.12896537424839316</v>
      </c>
      <c r="T377" s="19">
        <f ca="1">IF('Stock Price'!$I$11="OK",G377/INDEX(G$5:G$1258,'Stock Price'!$I$9)-1,"")</f>
        <v>0.50710526315789473</v>
      </c>
      <c r="U377" s="19">
        <f ca="1">IF('Stock Price'!$I$11="OK",H377/INDEX(H$5:H$1258,'Stock Price'!$I$9)-1,"")</f>
        <v>-1.4372945044621943E-2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88.596699999999998</v>
      </c>
      <c r="C378" s="18">
        <v>139.30000000000001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-0.36049732929117939</v>
      </c>
      <c r="P378" s="19">
        <f ca="1">IF('Stock Price'!$I$11="OK",C378/INDEX(C$5:C$1258,'Stock Price'!$I$9)-1,"")</f>
        <v>-0.23744354728342687</v>
      </c>
      <c r="Q378" s="19">
        <f ca="1">IF('Stock Price'!$I$11="OK",D378/INDEX(D$5:D$1258,'Stock Price'!$I$9)-1,"")</f>
        <v>-0.28934112431996772</v>
      </c>
      <c r="R378" s="19">
        <f ca="1">IF('Stock Price'!$I$11="OK",E378/INDEX(E$5:E$1258,'Stock Price'!$I$9)-1,"")</f>
        <v>-0.30417881438289607</v>
      </c>
      <c r="S378" s="19">
        <f ca="1">IF('Stock Price'!$I$11="OK",F378/INDEX(F$5:F$1258,'Stock Price'!$I$9)-1,"")</f>
        <v>0.11901306240928888</v>
      </c>
      <c r="T378" s="19">
        <f ca="1">IF('Stock Price'!$I$11="OK",G378/INDEX(G$5:G$1258,'Stock Price'!$I$9)-1,"")</f>
        <v>0.52052631578947373</v>
      </c>
      <c r="U378" s="19">
        <f ca="1">IF('Stock Price'!$I$11="OK",H378/INDEX(H$5:H$1258,'Stock Price'!$I$9)-1,"")</f>
        <v>-4.9788633161108597E-3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89.003</v>
      </c>
      <c r="C379" s="18">
        <v>140.16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-0.35756460228092968</v>
      </c>
      <c r="P379" s="19">
        <f ca="1">IF('Stock Price'!$I$11="OK",C379/INDEX(C$5:C$1258,'Stock Price'!$I$9)-1,"")</f>
        <v>-0.23273573285890248</v>
      </c>
      <c r="Q379" s="19">
        <f ca="1">IF('Stock Price'!$I$11="OK",D379/INDEX(D$5:D$1258,'Stock Price'!$I$9)-1,"")</f>
        <v>-0.28309490227684875</v>
      </c>
      <c r="R379" s="19">
        <f ca="1">IF('Stock Price'!$I$11="OK",E379/INDEX(E$5:E$1258,'Stock Price'!$I$9)-1,"")</f>
        <v>-0.30301263362487862</v>
      </c>
      <c r="S379" s="19">
        <f ca="1">IF('Stock Price'!$I$11="OK",F379/INDEX(F$5:F$1258,'Stock Price'!$I$9)-1,"")</f>
        <v>0.12834335475844916</v>
      </c>
      <c r="T379" s="19">
        <f ca="1">IF('Stock Price'!$I$11="OK",G379/INDEX(G$5:G$1258,'Stock Price'!$I$9)-1,"")</f>
        <v>0.54526315789473689</v>
      </c>
      <c r="U379" s="19">
        <f ca="1">IF('Stock Price'!$I$11="OK",H379/INDEX(H$5:H$1258,'Stock Price'!$I$9)-1,"")</f>
        <v>-5.6364490371063614E-4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89.506100000000004</v>
      </c>
      <c r="C380" s="18">
        <v>137.5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-0.35393316009816655</v>
      </c>
      <c r="P380" s="19">
        <f ca="1">IF('Stock Price'!$I$11="OK",C380/INDEX(C$5:C$1258,'Stock Price'!$I$9)-1,"")</f>
        <v>-0.24729711235801288</v>
      </c>
      <c r="Q380" s="19">
        <f ca="1">IF('Stock Price'!$I$11="OK",D380/INDEX(D$5:D$1258,'Stock Price'!$I$9)-1,"")</f>
        <v>-0.27563973403183561</v>
      </c>
      <c r="R380" s="19">
        <f ca="1">IF('Stock Price'!$I$11="OK",E380/INDEX(E$5:E$1258,'Stock Price'!$I$9)-1,"")</f>
        <v>-0.30379008746355685</v>
      </c>
      <c r="S380" s="19">
        <f ca="1">IF('Stock Price'!$I$11="OK",F380/INDEX(F$5:F$1258,'Stock Price'!$I$9)-1,"")</f>
        <v>0.12336719883889713</v>
      </c>
      <c r="T380" s="19">
        <f ca="1">IF('Stock Price'!$I$11="OK",G380/INDEX(G$5:G$1258,'Stock Price'!$I$9)-1,"")</f>
        <v>0.55473684210526319</v>
      </c>
      <c r="U380" s="19">
        <f ca="1">IF('Stock Price'!$I$11="OK",H380/INDEX(H$5:H$1258,'Stock Price'!$I$9)-1,"")</f>
        <v>2.2733677782996731E-2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90.434799999999996</v>
      </c>
      <c r="C381" s="18">
        <v>141.44999999999999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-0.34722968095856788</v>
      </c>
      <c r="P381" s="19">
        <f ca="1">IF('Stock Price'!$I$11="OK",C381/INDEX(C$5:C$1258,'Stock Price'!$I$9)-1,"")</f>
        <v>-0.22567401122211594</v>
      </c>
      <c r="Q381" s="19">
        <f ca="1">IF('Stock Price'!$I$11="OK",D381/INDEX(D$5:D$1258,'Stock Price'!$I$9)-1,"")</f>
        <v>-0.26355027201289549</v>
      </c>
      <c r="R381" s="19">
        <f ca="1">IF('Stock Price'!$I$11="OK",E381/INDEX(E$5:E$1258,'Stock Price'!$I$9)-1,"")</f>
        <v>-0.29815354713313902</v>
      </c>
      <c r="S381" s="19">
        <f ca="1">IF('Stock Price'!$I$11="OK",F381/INDEX(F$5:F$1258,'Stock Price'!$I$9)-1,"")</f>
        <v>0.12398921832884113</v>
      </c>
      <c r="T381" s="19">
        <f ca="1">IF('Stock Price'!$I$11="OK",G381/INDEX(G$5:G$1258,'Stock Price'!$I$9)-1,"")</f>
        <v>0.54789473684210521</v>
      </c>
      <c r="U381" s="19">
        <f ca="1">IF('Stock Price'!$I$11="OK",H381/INDEX(H$5:H$1258,'Stock Price'!$I$9)-1,"")</f>
        <v>2.2357914513856159E-2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91.972999999999999</v>
      </c>
      <c r="C382" s="18">
        <v>142.84989999999999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-0.33612675039699724</v>
      </c>
      <c r="P382" s="19">
        <f ca="1">IF('Stock Price'!$I$11="OK",C382/INDEX(C$5:C$1258,'Stock Price'!$I$9)-1,"")</f>
        <v>-0.21801067469549762</v>
      </c>
      <c r="Q382" s="19">
        <f ca="1">IF('Stock Price'!$I$11="OK",D382/INDEX(D$5:D$1258,'Stock Price'!$I$9)-1,"")</f>
        <v>-0.24541607898448514</v>
      </c>
      <c r="R382" s="19">
        <f ca="1">IF('Stock Price'!$I$11="OK",E382/INDEX(E$5:E$1258,'Stock Price'!$I$9)-1,"")</f>
        <v>-0.27774538386783298</v>
      </c>
      <c r="S382" s="19">
        <f ca="1">IF('Stock Price'!$I$11="OK",F382/INDEX(F$5:F$1258,'Stock Price'!$I$9)-1,"")</f>
        <v>0.13705162761766543</v>
      </c>
      <c r="T382" s="19">
        <f ca="1">IF('Stock Price'!$I$11="OK",G382/INDEX(G$5:G$1258,'Stock Price'!$I$9)-1,"")</f>
        <v>0.56631578947368433</v>
      </c>
      <c r="U382" s="19">
        <f ca="1">IF('Stock Price'!$I$11="OK",H382/INDEX(H$5:H$1258,'Stock Price'!$I$9)-1,"")</f>
        <v>5.129168623767022E-2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93.124200000000002</v>
      </c>
      <c r="C383" s="18">
        <v>142.84989999999999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-0.32781723689909048</v>
      </c>
      <c r="P383" s="19">
        <f ca="1">IF('Stock Price'!$I$11="OK",C383/INDEX(C$5:C$1258,'Stock Price'!$I$9)-1,"")</f>
        <v>-0.21801067469549762</v>
      </c>
      <c r="Q383" s="19">
        <f ca="1">IF('Stock Price'!$I$11="OK",D383/INDEX(D$5:D$1258,'Stock Price'!$I$9)-1,"")</f>
        <v>-0.23433407213379009</v>
      </c>
      <c r="R383" s="19">
        <f ca="1">IF('Stock Price'!$I$11="OK",E383/INDEX(E$5:E$1258,'Stock Price'!$I$9)-1,"")</f>
        <v>-0.25850340136054428</v>
      </c>
      <c r="S383" s="19">
        <f ca="1">IF('Stock Price'!$I$11="OK",F383/INDEX(F$5:F$1258,'Stock Price'!$I$9)-1,"")</f>
        <v>0.15965166908563133</v>
      </c>
      <c r="T383" s="19">
        <f ca="1">IF('Stock Price'!$I$11="OK",G383/INDEX(G$5:G$1258,'Stock Price'!$I$9)-1,"")</f>
        <v>0.59368421052631581</v>
      </c>
      <c r="U383" s="19">
        <f ca="1">IF('Stock Price'!$I$11="OK",H383/INDEX(H$5:H$1258,'Stock Price'!$I$9)-1,"")</f>
        <v>5.5237200563644784E-2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92.582499999999996</v>
      </c>
      <c r="C384" s="18">
        <v>144.76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-0.33172729897502529</v>
      </c>
      <c r="P384" s="19">
        <f ca="1">IF('Stock Price'!$I$11="OK",C384/INDEX(C$5:C$1258,'Stock Price'!$I$9)-1,"")</f>
        <v>-0.20755439989051605</v>
      </c>
      <c r="Q384" s="19">
        <f ca="1">IF('Stock Price'!$I$11="OK",D384/INDEX(D$5:D$1258,'Stock Price'!$I$9)-1,"")</f>
        <v>-0.23695345557122716</v>
      </c>
      <c r="R384" s="19">
        <f ca="1">IF('Stock Price'!$I$11="OK",E384/INDEX(E$5:E$1258,'Stock Price'!$I$9)-1,"")</f>
        <v>-0.26044703595724017</v>
      </c>
      <c r="S384" s="19">
        <f ca="1">IF('Stock Price'!$I$11="OK",F384/INDEX(F$5:F$1258,'Stock Price'!$I$9)-1,"")</f>
        <v>0.14016172506738567</v>
      </c>
      <c r="T384" s="19">
        <f ca="1">IF('Stock Price'!$I$11="OK",G384/INDEX(G$5:G$1258,'Stock Price'!$I$9)-1,"")</f>
        <v>0.59368421052631581</v>
      </c>
      <c r="U384" s="19">
        <f ca="1">IF('Stock Price'!$I$11="OK",H384/INDEX(H$5:H$1258,'Stock Price'!$I$9)-1,"")</f>
        <v>5.78675434476279E-2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92.679199999999994</v>
      </c>
      <c r="C385" s="18">
        <v>142.75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-0.33102930561570665</v>
      </c>
      <c r="P385" s="19">
        <f ca="1">IF('Stock Price'!$I$11="OK",C385/INDEX(C$5:C$1258,'Stock Price'!$I$9)-1,"")</f>
        <v>-0.21855754755713708</v>
      </c>
      <c r="Q385" s="19">
        <f ca="1">IF('Stock Price'!$I$11="OK",D385/INDEX(D$5:D$1258,'Stock Price'!$I$9)-1,"")</f>
        <v>-0.24743098932097518</v>
      </c>
      <c r="R385" s="19">
        <f ca="1">IF('Stock Price'!$I$11="OK",E385/INDEX(E$5:E$1258,'Stock Price'!$I$9)-1,"")</f>
        <v>-0.26316812439261428</v>
      </c>
      <c r="S385" s="19">
        <f ca="1">IF('Stock Price'!$I$11="OK",F385/INDEX(F$5:F$1258,'Stock Price'!$I$9)-1,"")</f>
        <v>0.14493054115695636</v>
      </c>
      <c r="T385" s="19">
        <f ca="1">IF('Stock Price'!$I$11="OK",G385/INDEX(G$5:G$1258,'Stock Price'!$I$9)-1,"")</f>
        <v>0.58736842105263154</v>
      </c>
      <c r="U385" s="19">
        <f ca="1">IF('Stock Price'!$I$11="OK",H385/INDEX(H$5:H$1258,'Stock Price'!$I$9)-1,"")</f>
        <v>5.6740253640206628E-2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93.327399999999997</v>
      </c>
      <c r="C386" s="18">
        <v>147.25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-0.32635051248736824</v>
      </c>
      <c r="P386" s="19">
        <f ca="1">IF('Stock Price'!$I$11="OK",C386/INDEX(C$5:C$1258,'Stock Price'!$I$9)-1,"")</f>
        <v>-0.19392363487067199</v>
      </c>
      <c r="Q386" s="19">
        <f ca="1">IF('Stock Price'!$I$11="OK",D386/INDEX(D$5:D$1258,'Stock Price'!$I$9)-1,"")</f>
        <v>-0.24017731210961113</v>
      </c>
      <c r="R386" s="19">
        <f ca="1">IF('Stock Price'!$I$11="OK",E386/INDEX(E$5:E$1258,'Stock Price'!$I$9)-1,"")</f>
        <v>-0.2518950437317784</v>
      </c>
      <c r="S386" s="19">
        <f ca="1">IF('Stock Price'!$I$11="OK",F386/INDEX(F$5:F$1258,'Stock Price'!$I$9)-1,"")</f>
        <v>0.15695625129587398</v>
      </c>
      <c r="T386" s="19">
        <f ca="1">IF('Stock Price'!$I$11="OK",G386/INDEX(G$5:G$1258,'Stock Price'!$I$9)-1,"")</f>
        <v>0.58131578947368423</v>
      </c>
      <c r="U386" s="19">
        <f ca="1">IF('Stock Price'!$I$11="OK",H386/INDEX(H$5:H$1258,'Stock Price'!$I$9)-1,"")</f>
        <v>6.8576796618130542E-2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95.020399999999995</v>
      </c>
      <c r="C387" s="18">
        <v>149.65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-0.31413021510033201</v>
      </c>
      <c r="P387" s="19">
        <f ca="1">IF('Stock Price'!$I$11="OK",C387/INDEX(C$5:C$1258,'Stock Price'!$I$9)-1,"")</f>
        <v>-0.18078554810455727</v>
      </c>
      <c r="Q387" s="19">
        <f ca="1">IF('Stock Price'!$I$11="OK",D387/INDEX(D$5:D$1258,'Stock Price'!$I$9)-1,"")</f>
        <v>-0.22788635905702204</v>
      </c>
      <c r="R387" s="19">
        <f ca="1">IF('Stock Price'!$I$11="OK",E387/INDEX(E$5:E$1258,'Stock Price'!$I$9)-1,"")</f>
        <v>-0.24178814382896019</v>
      </c>
      <c r="S387" s="19">
        <f ca="1">IF('Stock Price'!$I$11="OK",F387/INDEX(F$5:F$1258,'Stock Price'!$I$9)-1,"")</f>
        <v>0.16317644619531424</v>
      </c>
      <c r="T387" s="19">
        <f ca="1">IF('Stock Price'!$I$11="OK",G387/INDEX(G$5:G$1258,'Stock Price'!$I$9)-1,"")</f>
        <v>0.60657894736842088</v>
      </c>
      <c r="U387" s="19">
        <f ca="1">IF('Stock Price'!$I$11="OK",H387/INDEX(H$5:H$1258,'Stock Price'!$I$9)-1,"")</f>
        <v>8.5767966181305777E-2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94.691500000000005</v>
      </c>
      <c r="C388" s="18">
        <v>146.08000000000001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-0.31650425869784893</v>
      </c>
      <c r="P388" s="19">
        <f ca="1">IF('Stock Price'!$I$11="OK",C388/INDEX(C$5:C$1258,'Stock Price'!$I$9)-1,"")</f>
        <v>-0.20032845216915285</v>
      </c>
      <c r="Q388" s="19">
        <f ca="1">IF('Stock Price'!$I$11="OK",D388/INDEX(D$5:D$1258,'Stock Price'!$I$9)-1,"")</f>
        <v>-0.23896836590771708</v>
      </c>
      <c r="R388" s="19">
        <f ca="1">IF('Stock Price'!$I$11="OK",E388/INDEX(E$5:E$1258,'Stock Price'!$I$9)-1,"")</f>
        <v>-0.24723032069970852</v>
      </c>
      <c r="S388" s="19">
        <f ca="1">IF('Stock Price'!$I$11="OK",F388/INDEX(F$5:F$1258,'Stock Price'!$I$9)-1,"")</f>
        <v>0.16421314534522091</v>
      </c>
      <c r="T388" s="19">
        <f ca="1">IF('Stock Price'!$I$11="OK",G388/INDEX(G$5:G$1258,'Stock Price'!$I$9)-1,"")</f>
        <v>0.61473684210526325</v>
      </c>
      <c r="U388" s="19">
        <f ca="1">IF('Stock Price'!$I$11="OK",H388/INDEX(H$5:H$1258,'Stock Price'!$I$9)-1,"")</f>
        <v>8.3231564114607748E-2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94.778499999999994</v>
      </c>
      <c r="C389" s="18">
        <v>146.78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-0.31587628121842071</v>
      </c>
      <c r="P389" s="19">
        <f ca="1">IF('Stock Price'!$I$11="OK",C389/INDEX(C$5:C$1258,'Stock Price'!$I$9)-1,"")</f>
        <v>-0.1964965101957028</v>
      </c>
      <c r="Q389" s="19">
        <f ca="1">IF('Stock Price'!$I$11="OK",D389/INDEX(D$5:D$1258,'Stock Price'!$I$9)-1,"")</f>
        <v>-0.24662502518637919</v>
      </c>
      <c r="R389" s="19">
        <f ca="1">IF('Stock Price'!$I$11="OK",E389/INDEX(E$5:E$1258,'Stock Price'!$I$9)-1,"")</f>
        <v>-0.24956268221574351</v>
      </c>
      <c r="S389" s="19">
        <f ca="1">IF('Stock Price'!$I$11="OK",F389/INDEX(F$5:F$1258,'Stock Price'!$I$9)-1,"")</f>
        <v>0.15902964959568733</v>
      </c>
      <c r="T389" s="19">
        <f ca="1">IF('Stock Price'!$I$11="OK",G389/INDEX(G$5:G$1258,'Stock Price'!$I$9)-1,"")</f>
        <v>0.61894736842105269</v>
      </c>
      <c r="U389" s="19">
        <f ca="1">IF('Stock Price'!$I$11="OK",H389/INDEX(H$5:H$1258,'Stock Price'!$I$9)-1,"")</f>
        <v>8.0413339596054456E-2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94.149699999999996</v>
      </c>
      <c r="C390" s="18">
        <v>148.88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-0.3204150425869785</v>
      </c>
      <c r="P390" s="19">
        <f ca="1">IF('Stock Price'!$I$11="OK",C390/INDEX(C$5:C$1258,'Stock Price'!$I$9)-1,"")</f>
        <v>-0.18500068427535243</v>
      </c>
      <c r="Q390" s="19">
        <f ca="1">IF('Stock Price'!$I$11="OK",D390/INDEX(D$5:D$1258,'Stock Price'!$I$9)-1,"")</f>
        <v>-0.25891597823896839</v>
      </c>
      <c r="R390" s="19">
        <f ca="1">IF('Stock Price'!$I$11="OK",E390/INDEX(E$5:E$1258,'Stock Price'!$I$9)-1,"")</f>
        <v>-0.25092322643343057</v>
      </c>
      <c r="S390" s="19">
        <f ca="1">IF('Stock Price'!$I$11="OK",F390/INDEX(F$5:F$1258,'Stock Price'!$I$9)-1,"")</f>
        <v>0.14451586149699369</v>
      </c>
      <c r="T390" s="19">
        <f ca="1">IF('Stock Price'!$I$11="OK",G390/INDEX(G$5:G$1258,'Stock Price'!$I$9)-1,"")</f>
        <v>0.61578947368421044</v>
      </c>
      <c r="U390" s="19">
        <f ca="1">IF('Stock Price'!$I$11="OK",H390/INDEX(H$5:H$1258,'Stock Price'!$I$9)-1,"")</f>
        <v>7.8722404884922437E-2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94.826899999999995</v>
      </c>
      <c r="C391" s="18">
        <v>147.78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-0.31552692363216395</v>
      </c>
      <c r="P391" s="19">
        <f ca="1">IF('Stock Price'!$I$11="OK",C391/INDEX(C$5:C$1258,'Stock Price'!$I$9)-1,"")</f>
        <v>-0.1910223073764884</v>
      </c>
      <c r="Q391" s="19">
        <f ca="1">IF('Stock Price'!$I$11="OK",D391/INDEX(D$5:D$1258,'Stock Price'!$I$9)-1,"")</f>
        <v>-0.25589361273423339</v>
      </c>
      <c r="R391" s="19">
        <f ca="1">IF('Stock Price'!$I$11="OK",E391/INDEX(E$5:E$1258,'Stock Price'!$I$9)-1,"")</f>
        <v>-0.25306122448979596</v>
      </c>
      <c r="S391" s="19">
        <f ca="1">IF('Stock Price'!$I$11="OK",F391/INDEX(F$5:F$1258,'Stock Price'!$I$9)-1,"")</f>
        <v>0.15529753265602331</v>
      </c>
      <c r="T391" s="19">
        <f ca="1">IF('Stock Price'!$I$11="OK",G391/INDEX(G$5:G$1258,'Stock Price'!$I$9)-1,"")</f>
        <v>0.61289473684210516</v>
      </c>
      <c r="U391" s="19">
        <f ca="1">IF('Stock Price'!$I$11="OK",H391/INDEX(H$5:H$1258,'Stock Price'!$I$9)-1,"")</f>
        <v>7.2146547674964756E-2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95.388000000000005</v>
      </c>
      <c r="C392" s="18">
        <v>147.60990000000001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-0.31147682979644864</v>
      </c>
      <c r="P392" s="19">
        <f ca="1">IF('Stock Price'!$I$11="OK",C392/INDEX(C$5:C$1258,'Stock Price'!$I$9)-1,"")</f>
        <v>-0.19195346927603663</v>
      </c>
      <c r="Q392" s="19">
        <f ca="1">IF('Stock Price'!$I$11="OK",D392/INDEX(D$5:D$1258,'Stock Price'!$I$9)-1,"")</f>
        <v>-0.26536369131573645</v>
      </c>
      <c r="R392" s="19">
        <f ca="1">IF('Stock Price'!$I$11="OK",E392/INDEX(E$5:E$1258,'Stock Price'!$I$9)-1,"")</f>
        <v>-0.24295432458697763</v>
      </c>
      <c r="S392" s="19">
        <f ca="1">IF('Stock Price'!$I$11="OK",F392/INDEX(F$5:F$1258,'Stock Price'!$I$9)-1,"")</f>
        <v>0.15011403690648972</v>
      </c>
      <c r="T392" s="19">
        <f ca="1">IF('Stock Price'!$I$11="OK",G392/INDEX(G$5:G$1258,'Stock Price'!$I$9)-1,"")</f>
        <v>0.60499999999999998</v>
      </c>
      <c r="U392" s="19">
        <f ca="1">IF('Stock Price'!$I$11="OK",H392/INDEX(H$5:H$1258,'Stock Price'!$I$9)-1,"")</f>
        <v>7.2522310944105106E-2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97.032600000000002</v>
      </c>
      <c r="C393" s="18">
        <v>151.74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-0.29960588999566906</v>
      </c>
      <c r="P393" s="19">
        <f ca="1">IF('Stock Price'!$I$11="OK",C393/INDEX(C$5:C$1258,'Stock Price'!$I$9)-1,"")</f>
        <v>-0.16934446421239913</v>
      </c>
      <c r="Q393" s="19">
        <f ca="1">IF('Stock Price'!$I$11="OK",D393/INDEX(D$5:D$1258,'Stock Price'!$I$9)-1,"")</f>
        <v>-0.26032641547451141</v>
      </c>
      <c r="R393" s="19">
        <f ca="1">IF('Stock Price'!$I$11="OK",E393/INDEX(E$5:E$1258,'Stock Price'!$I$9)-1,"")</f>
        <v>-0.23284742468415942</v>
      </c>
      <c r="S393" s="19">
        <f ca="1">IF('Stock Price'!$I$11="OK",F393/INDEX(F$5:F$1258,'Stock Price'!$I$9)-1,"")</f>
        <v>0.17561683599419453</v>
      </c>
      <c r="T393" s="19">
        <f ca="1">IF('Stock Price'!$I$11="OK",G393/INDEX(G$5:G$1258,'Stock Price'!$I$9)-1,"")</f>
        <v>0.59710526315789458</v>
      </c>
      <c r="U393" s="19">
        <f ca="1">IF('Stock Price'!$I$11="OK",H393/INDEX(H$5:H$1258,'Stock Price'!$I$9)-1,"")</f>
        <v>8.3795209018318495E-2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97.313199999999995</v>
      </c>
      <c r="C394" s="18">
        <v>153.1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-0.29758048217121413</v>
      </c>
      <c r="P394" s="19">
        <f ca="1">IF('Stock Price'!$I$11="OK",C394/INDEX(C$5:C$1258,'Stock Price'!$I$9)-1,"")</f>
        <v>-0.16189954837826748</v>
      </c>
      <c r="Q394" s="19">
        <f ca="1">IF('Stock Price'!$I$11="OK",D394/INDEX(D$5:D$1258,'Stock Price'!$I$9)-1,"")</f>
        <v>-0.26153536167640545</v>
      </c>
      <c r="R394" s="19">
        <f ca="1">IF('Stock Price'!$I$11="OK",E394/INDEX(E$5:E$1258,'Stock Price'!$I$9)-1,"")</f>
        <v>-0.22934888241010698</v>
      </c>
      <c r="S394" s="19">
        <f ca="1">IF('Stock Price'!$I$11="OK",F394/INDEX(F$5:F$1258,'Stock Price'!$I$9)-1,"")</f>
        <v>0.17375077752436252</v>
      </c>
      <c r="T394" s="19">
        <f ca="1">IF('Stock Price'!$I$11="OK",G394/INDEX(G$5:G$1258,'Stock Price'!$I$9)-1,"")</f>
        <v>0.59026315789473682</v>
      </c>
      <c r="U394" s="19">
        <f ca="1">IF('Stock Price'!$I$11="OK",H394/INDEX(H$5:H$1258,'Stock Price'!$I$9)-1,"")</f>
        <v>8.9149835603569594E-2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100.6508</v>
      </c>
      <c r="C395" s="18">
        <v>151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-0.27348924498339822</v>
      </c>
      <c r="P395" s="19">
        <f ca="1">IF('Stock Price'!$I$11="OK",C395/INDEX(C$5:C$1258,'Stock Price'!$I$9)-1,"")</f>
        <v>-0.17339537429861784</v>
      </c>
      <c r="Q395" s="19">
        <f ca="1">IF('Stock Price'!$I$11="OK",D395/INDEX(D$5:D$1258,'Stock Price'!$I$9)-1,"")</f>
        <v>-0.25629659480153144</v>
      </c>
      <c r="R395" s="19">
        <f ca="1">IF('Stock Price'!$I$11="OK",E395/INDEX(E$5:E$1258,'Stock Price'!$I$9)-1,"")</f>
        <v>-0.22546161321671532</v>
      </c>
      <c r="S395" s="19">
        <f ca="1">IF('Stock Price'!$I$11="OK",F395/INDEX(F$5:F$1258,'Stock Price'!$I$9)-1,"")</f>
        <v>0.18556914783329881</v>
      </c>
      <c r="T395" s="19">
        <f ca="1">IF('Stock Price'!$I$11="OK",G395/INDEX(G$5:G$1258,'Stock Price'!$I$9)-1,"")</f>
        <v>0.59026315789473682</v>
      </c>
      <c r="U395" s="19">
        <f ca="1">IF('Stock Price'!$I$11="OK",H395/INDEX(H$5:H$1258,'Stock Price'!$I$9)-1,"")</f>
        <v>9.4692343823391312E-2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99.199700000000007</v>
      </c>
      <c r="C396" s="18">
        <v>147.15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-0.28396347625234575</v>
      </c>
      <c r="P396" s="19">
        <f ca="1">IF('Stock Price'!$I$11="OK",C396/INDEX(C$5:C$1258,'Stock Price'!$I$9)-1,"")</f>
        <v>-0.19447105515259344</v>
      </c>
      <c r="Q396" s="19">
        <f ca="1">IF('Stock Price'!$I$11="OK",D396/INDEX(D$5:D$1258,'Stock Price'!$I$9)-1,"")</f>
        <v>-0.27604271609913367</v>
      </c>
      <c r="R396" s="19">
        <f ca="1">IF('Stock Price'!$I$11="OK",E396/INDEX(E$5:E$1258,'Stock Price'!$I$9)-1,"")</f>
        <v>-0.24820213799805646</v>
      </c>
      <c r="S396" s="19">
        <f ca="1">IF('Stock Price'!$I$11="OK",F396/INDEX(F$5:F$1258,'Stock Price'!$I$9)-1,"")</f>
        <v>0.16566452415509025</v>
      </c>
      <c r="T396" s="19">
        <f ca="1">IF('Stock Price'!$I$11="OK",G396/INDEX(G$5:G$1258,'Stock Price'!$I$9)-1,"")</f>
        <v>0.58184210526315794</v>
      </c>
      <c r="U396" s="19">
        <f ca="1">IF('Stock Price'!$I$11="OK",H396/INDEX(H$5:H$1258,'Stock Price'!$I$9)-1,"")</f>
        <v>6.5570690465007075E-2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99.306100000000001</v>
      </c>
      <c r="C397" s="18">
        <v>146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-0.28319546701313691</v>
      </c>
      <c r="P397" s="19">
        <f ca="1">IF('Stock Price'!$I$11="OK",C397/INDEX(C$5:C$1258,'Stock Price'!$I$9)-1,"")</f>
        <v>-0.20076638839469008</v>
      </c>
      <c r="Q397" s="19">
        <f ca="1">IF('Stock Price'!$I$11="OK",D397/INDEX(D$5:D$1258,'Stock Price'!$I$9)-1,"")</f>
        <v>-0.27443078782994168</v>
      </c>
      <c r="R397" s="19">
        <f ca="1">IF('Stock Price'!$I$11="OK",E397/INDEX(E$5:E$1258,'Stock Price'!$I$9)-1,"")</f>
        <v>-0.24859086491739568</v>
      </c>
      <c r="S397" s="19">
        <f ca="1">IF('Stock Price'!$I$11="OK",F397/INDEX(F$5:F$1258,'Stock Price'!$I$9)-1,"")</f>
        <v>0.16296910636533291</v>
      </c>
      <c r="T397" s="19">
        <f ca="1">IF('Stock Price'!$I$11="OK",G397/INDEX(G$5:G$1258,'Stock Price'!$I$9)-1,"")</f>
        <v>0.57157894736842096</v>
      </c>
      <c r="U397" s="19">
        <f ca="1">IF('Stock Price'!$I$11="OK",H397/INDEX(H$5:H$1258,'Stock Price'!$I$9)-1,"")</f>
        <v>8.1822451855330991E-2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99.228700000000003</v>
      </c>
      <c r="C398" s="18">
        <v>146.55000000000001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-0.28375415042586971</v>
      </c>
      <c r="P398" s="19">
        <f ca="1">IF('Stock Price'!$I$11="OK",C398/INDEX(C$5:C$1258,'Stock Price'!$I$9)-1,"")</f>
        <v>-0.19775557684412204</v>
      </c>
      <c r="Q398" s="19">
        <f ca="1">IF('Stock Price'!$I$11="OK",D398/INDEX(D$5:D$1258,'Stock Price'!$I$9)-1,"")</f>
        <v>-0.27402780576264363</v>
      </c>
      <c r="R398" s="19">
        <f ca="1">IF('Stock Price'!$I$11="OK",E398/INDEX(E$5:E$1258,'Stock Price'!$I$9)-1,"")</f>
        <v>-0.23770651117589903</v>
      </c>
      <c r="S398" s="19">
        <f ca="1">IF('Stock Price'!$I$11="OK",F398/INDEX(F$5:F$1258,'Stock Price'!$I$9)-1,"")</f>
        <v>0.11237818784988596</v>
      </c>
      <c r="T398" s="19">
        <f ca="1">IF('Stock Price'!$I$11="OK",G398/INDEX(G$5:G$1258,'Stock Price'!$I$9)-1,"")</f>
        <v>0.57263157894736838</v>
      </c>
      <c r="U398" s="19">
        <f ca="1">IF('Stock Price'!$I$11="OK",H398/INDEX(H$5:H$1258,'Stock Price'!$I$9)-1,"")</f>
        <v>8.4734617191169592E-2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99.199700000000007</v>
      </c>
      <c r="C399" s="18">
        <v>146.31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-0.28396347625234575</v>
      </c>
      <c r="P399" s="19">
        <f ca="1">IF('Stock Price'!$I$11="OK",C399/INDEX(C$5:C$1258,'Stock Price'!$I$9)-1,"")</f>
        <v>-0.19906938552073361</v>
      </c>
      <c r="Q399" s="19">
        <f ca="1">IF('Stock Price'!$I$11="OK",D399/INDEX(D$5:D$1258,'Stock Price'!$I$9)-1,"")</f>
        <v>-0.27060245819061046</v>
      </c>
      <c r="R399" s="19">
        <f ca="1">IF('Stock Price'!$I$11="OK",E399/INDEX(E$5:E$1258,'Stock Price'!$I$9)-1,"")</f>
        <v>-0.23712342079689019</v>
      </c>
      <c r="S399" s="19">
        <f ca="1">IF('Stock Price'!$I$11="OK",F399/INDEX(F$5:F$1258,'Stock Price'!$I$9)-1,"")</f>
        <v>0.10802405142027793</v>
      </c>
      <c r="T399" s="19">
        <f ca="1">IF('Stock Price'!$I$11="OK",G399/INDEX(G$5:G$1258,'Stock Price'!$I$9)-1,"")</f>
        <v>0.57263157894736838</v>
      </c>
      <c r="U399" s="19">
        <f ca="1">IF('Stock Price'!$I$11="OK",H399/INDEX(H$5:H$1258,'Stock Price'!$I$9)-1,"")</f>
        <v>9.2907468294974205E-2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100.1671</v>
      </c>
      <c r="C400" s="18">
        <v>146.15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-0.27698065540638073</v>
      </c>
      <c r="P400" s="19">
        <f ca="1">IF('Stock Price'!$I$11="OK",C400/INDEX(C$5:C$1258,'Stock Price'!$I$9)-1,"")</f>
        <v>-0.19994525797180784</v>
      </c>
      <c r="Q400" s="19">
        <f ca="1">IF('Stock Price'!$I$11="OK",D400/INDEX(D$5:D$1258,'Stock Price'!$I$9)-1,"")</f>
        <v>-0.26758009268587546</v>
      </c>
      <c r="R400" s="19">
        <f ca="1">IF('Stock Price'!$I$11="OK",E400/INDEX(E$5:E$1258,'Stock Price'!$I$9)-1,"")</f>
        <v>-0.23323615160349853</v>
      </c>
      <c r="S400" s="19">
        <f ca="1">IF('Stock Price'!$I$11="OK",F400/INDEX(F$5:F$1258,'Stock Price'!$I$9)-1,"")</f>
        <v>0.10615799295044592</v>
      </c>
      <c r="T400" s="19">
        <f ca="1">IF('Stock Price'!$I$11="OK",G400/INDEX(G$5:G$1258,'Stock Price'!$I$9)-1,"")</f>
        <v>0.50526315789473686</v>
      </c>
      <c r="U400" s="19">
        <f ca="1">IF('Stock Price'!$I$11="OK",H400/INDEX(H$5:H$1258,'Stock Price'!$I$9)-1,"")</f>
        <v>0.10746829497416632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101.0474</v>
      </c>
      <c r="C401" s="18">
        <v>151.30000000000001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-0.27062653385303881</v>
      </c>
      <c r="P401" s="19">
        <f ca="1">IF('Stock Price'!$I$11="OK",C401/INDEX(C$5:C$1258,'Stock Price'!$I$9)-1,"")</f>
        <v>-0.17175311345285338</v>
      </c>
      <c r="Q401" s="19">
        <f ca="1">IF('Stock Price'!$I$11="OK",D401/INDEX(D$5:D$1258,'Stock Price'!$I$9)-1,"")</f>
        <v>-0.25770703203707435</v>
      </c>
      <c r="R401" s="19">
        <f ca="1">IF('Stock Price'!$I$11="OK",E401/INDEX(E$5:E$1258,'Stock Price'!$I$9)-1,"")</f>
        <v>-0.23148688046647237</v>
      </c>
      <c r="S401" s="19">
        <f ca="1">IF('Stock Price'!$I$11="OK",F401/INDEX(F$5:F$1258,'Stock Price'!$I$9)-1,"")</f>
        <v>0.12419655815882247</v>
      </c>
      <c r="T401" s="19">
        <f ca="1">IF('Stock Price'!$I$11="OK",G401/INDEX(G$5:G$1258,'Stock Price'!$I$9)-1,"")</f>
        <v>0.50526315789473686</v>
      </c>
      <c r="U401" s="19">
        <f ca="1">IF('Stock Price'!$I$11="OK",H401/INDEX(H$5:H$1258,'Stock Price'!$I$9)-1,"")</f>
        <v>0.11056834194457488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101.2119</v>
      </c>
      <c r="C402" s="18">
        <v>150.5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-0.26943915114768291</v>
      </c>
      <c r="P402" s="19">
        <f ca="1">IF('Stock Price'!$I$11="OK",C402/INDEX(C$5:C$1258,'Stock Price'!$I$9)-1,"")</f>
        <v>-0.17613247570822499</v>
      </c>
      <c r="Q402" s="19">
        <f ca="1">IF('Stock Price'!$I$11="OK",D402/INDEX(D$5:D$1258,'Stock Price'!$I$9)-1,"")</f>
        <v>-0.26032641547451141</v>
      </c>
      <c r="R402" s="19">
        <f ca="1">IF('Stock Price'!$I$11="OK",E402/INDEX(E$5:E$1258,'Stock Price'!$I$9)-1,"")</f>
        <v>-0.22954324586977648</v>
      </c>
      <c r="S402" s="19">
        <f ca="1">IF('Stock Price'!$I$11="OK",F402/INDEX(F$5:F$1258,'Stock Price'!$I$9)-1,"")</f>
        <v>0.13477088948787053</v>
      </c>
      <c r="T402" s="19">
        <f ca="1">IF('Stock Price'!$I$11="OK",G402/INDEX(G$5:G$1258,'Stock Price'!$I$9)-1,"")</f>
        <v>0.52894736842105261</v>
      </c>
      <c r="U402" s="19">
        <f ca="1">IF('Stock Price'!$I$11="OK",H402/INDEX(H$5:H$1258,'Stock Price'!$I$9)-1,"")</f>
        <v>0.10258337247534044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101.3087</v>
      </c>
      <c r="C403" s="18">
        <v>148.5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-0.26874043597516961</v>
      </c>
      <c r="P403" s="19">
        <f ca="1">IF('Stock Price'!$I$11="OK",C403/INDEX(C$5:C$1258,'Stock Price'!$I$9)-1,"")</f>
        <v>-0.1870808813466539</v>
      </c>
      <c r="Q403" s="19">
        <f ca="1">IF('Stock Price'!$I$11="OK",D403/INDEX(D$5:D$1258,'Stock Price'!$I$9)-1,"")</f>
        <v>-0.25488615756598842</v>
      </c>
      <c r="R403" s="19">
        <f ca="1">IF('Stock Price'!$I$11="OK",E403/INDEX(E$5:E$1258,'Stock Price'!$I$9)-1,"")</f>
        <v>-0.22662779397473276</v>
      </c>
      <c r="S403" s="19">
        <f ca="1">IF('Stock Price'!$I$11="OK",F403/INDEX(F$5:F$1258,'Stock Price'!$I$9)-1,"")</f>
        <v>0.15633423180592998</v>
      </c>
      <c r="T403" s="19">
        <f ca="1">IF('Stock Price'!$I$11="OK",G403/INDEX(G$5:G$1258,'Stock Price'!$I$9)-1,"")</f>
        <v>0.54473684210526319</v>
      </c>
      <c r="U403" s="19">
        <f ca="1">IF('Stock Price'!$I$11="OK",H403/INDEX(H$5:H$1258,'Stock Price'!$I$9)-1,"")</f>
        <v>0.10549553781117904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101.49250000000001</v>
      </c>
      <c r="C404" s="18">
        <v>147.05009999999999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-0.26741374332322787</v>
      </c>
      <c r="P404" s="19">
        <f ca="1">IF('Stock Price'!$I$11="OK",C404/INDEX(C$5:C$1258,'Stock Price'!$I$9)-1,"")</f>
        <v>-0.19501792801423301</v>
      </c>
      <c r="Q404" s="19">
        <f ca="1">IF('Stock Price'!$I$11="OK",D404/INDEX(D$5:D$1258,'Stock Price'!$I$9)-1,"")</f>
        <v>-0.25911746927261736</v>
      </c>
      <c r="R404" s="19">
        <f ca="1">IF('Stock Price'!$I$11="OK",E404/INDEX(E$5:E$1258,'Stock Price'!$I$9)-1,"")</f>
        <v>-0.22332361516034993</v>
      </c>
      <c r="S404" s="19">
        <f ca="1">IF('Stock Price'!$I$11="OK",F404/INDEX(F$5:F$1258,'Stock Price'!$I$9)-1,"")</f>
        <v>0.13891768608749744</v>
      </c>
      <c r="T404" s="19">
        <f ca="1">IF('Stock Price'!$I$11="OK",G404/INDEX(G$5:G$1258,'Stock Price'!$I$9)-1,"")</f>
        <v>0.53447368421052643</v>
      </c>
      <c r="U404" s="19">
        <f ca="1">IF('Stock Price'!$I$11="OK",H404/INDEX(H$5:H$1258,'Stock Price'!$I$9)-1,"")</f>
        <v>0.11207139502113672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101.2893</v>
      </c>
      <c r="C405" s="18">
        <v>149.09989999999999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-0.26888046773495022</v>
      </c>
      <c r="P405" s="19">
        <f ca="1">IF('Stock Price'!$I$11="OK",C405/INDEX(C$5:C$1258,'Stock Price'!$I$9)-1,"")</f>
        <v>-0.18379690707540719</v>
      </c>
      <c r="Q405" s="19">
        <f ca="1">IF('Stock Price'!$I$11="OK",D405/INDEX(D$5:D$1258,'Stock Price'!$I$9)-1,"")</f>
        <v>-0.26556518234938542</v>
      </c>
      <c r="R405" s="19">
        <f ca="1">IF('Stock Price'!$I$11="OK",E405/INDEX(E$5:E$1258,'Stock Price'!$I$9)-1,"")</f>
        <v>-0.22643343051506326</v>
      </c>
      <c r="S405" s="19">
        <f ca="1">IF('Stock Price'!$I$11="OK",F405/INDEX(F$5:F$1258,'Stock Price'!$I$9)-1,"")</f>
        <v>0.14264980302716168</v>
      </c>
      <c r="T405" s="19">
        <f ca="1">IF('Stock Price'!$I$11="OK",G405/INDEX(G$5:G$1258,'Stock Price'!$I$9)-1,"")</f>
        <v>0.53499999999999992</v>
      </c>
      <c r="U405" s="19">
        <f ca="1">IF('Stock Price'!$I$11="OK",H405/INDEX(H$5:H$1258,'Stock Price'!$I$9)-1,"")</f>
        <v>0.10314701737905119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100.2542</v>
      </c>
      <c r="C406" s="18">
        <v>151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-0.27635195611375774</v>
      </c>
      <c r="P406" s="19">
        <f ca="1">IF('Stock Price'!$I$11="OK",C406/INDEX(C$5:C$1258,'Stock Price'!$I$9)-1,"")</f>
        <v>-0.17339537429861784</v>
      </c>
      <c r="Q406" s="19">
        <f ca="1">IF('Stock Price'!$I$11="OK",D406/INDEX(D$5:D$1258,'Stock Price'!$I$9)-1,"")</f>
        <v>-0.26395325408019343</v>
      </c>
      <c r="R406" s="19">
        <f ca="1">IF('Stock Price'!$I$11="OK",E406/INDEX(E$5:E$1258,'Stock Price'!$I$9)-1,"")</f>
        <v>-0.23129251700680287</v>
      </c>
      <c r="S406" s="19">
        <f ca="1">IF('Stock Price'!$I$11="OK",F406/INDEX(F$5:F$1258,'Stock Price'!$I$9)-1,"")</f>
        <v>0.13145345220816917</v>
      </c>
      <c r="T406" s="19">
        <f ca="1">IF('Stock Price'!$I$11="OK",G406/INDEX(G$5:G$1258,'Stock Price'!$I$9)-1,"")</f>
        <v>0.5339473684210525</v>
      </c>
      <c r="U406" s="19">
        <f ca="1">IF('Stock Price'!$I$11="OK",H406/INDEX(H$5:H$1258,'Stock Price'!$I$9)-1,"")</f>
        <v>0.10756223579145141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100.051</v>
      </c>
      <c r="C407" s="18">
        <v>150.63999999999999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-0.27781868052547998</v>
      </c>
      <c r="P407" s="19">
        <f ca="1">IF('Stock Price'!$I$11="OK",C407/INDEX(C$5:C$1258,'Stock Price'!$I$9)-1,"")</f>
        <v>-0.17536608731353509</v>
      </c>
      <c r="Q407" s="19">
        <f ca="1">IF('Stock Price'!$I$11="OK",D407/INDEX(D$5:D$1258,'Stock Price'!$I$9)-1,"")</f>
        <v>-0.26899052992141848</v>
      </c>
      <c r="R407" s="19">
        <f ca="1">IF('Stock Price'!$I$11="OK",E407/INDEX(E$5:E$1258,'Stock Price'!$I$9)-1,"")</f>
        <v>-0.23109815354713314</v>
      </c>
      <c r="S407" s="19">
        <f ca="1">IF('Stock Price'!$I$11="OK",F407/INDEX(F$5:F$1258,'Stock Price'!$I$9)-1,"")</f>
        <v>0.12751399543852382</v>
      </c>
      <c r="T407" s="19">
        <f ca="1">IF('Stock Price'!$I$11="OK",G407/INDEX(G$5:G$1258,'Stock Price'!$I$9)-1,"")</f>
        <v>0.41947368421052622</v>
      </c>
      <c r="U407" s="19">
        <f ca="1">IF('Stock Price'!$I$11="OK",H407/INDEX(H$5:H$1258,'Stock Price'!$I$9)-1,"")</f>
        <v>0.10427430718647246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99.780100000000004</v>
      </c>
      <c r="C408" s="18">
        <v>145.80009999999999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-0.27977407247004471</v>
      </c>
      <c r="P408" s="19">
        <f ca="1">IF('Stock Price'!$I$11="OK",C408/INDEX(C$5:C$1258,'Stock Price'!$I$9)-1,"")</f>
        <v>-0.2018606815382511</v>
      </c>
      <c r="Q408" s="19">
        <f ca="1">IF('Stock Price'!$I$11="OK",D408/INDEX(D$5:D$1258,'Stock Price'!$I$9)-1,"")</f>
        <v>-0.26395325408019343</v>
      </c>
      <c r="R408" s="19">
        <f ca="1">IF('Stock Price'!$I$11="OK",E408/INDEX(E$5:E$1258,'Stock Price'!$I$9)-1,"")</f>
        <v>-0.22585034013605454</v>
      </c>
      <c r="S408" s="19">
        <f ca="1">IF('Stock Price'!$I$11="OK",F408/INDEX(F$5:F$1258,'Stock Price'!$I$9)-1,"")</f>
        <v>0.12233049968899046</v>
      </c>
      <c r="T408" s="19">
        <f ca="1">IF('Stock Price'!$I$11="OK",G408/INDEX(G$5:G$1258,'Stock Price'!$I$9)-1,"")</f>
        <v>0.41394736842105262</v>
      </c>
      <c r="U408" s="19">
        <f ca="1">IF('Stock Price'!$I$11="OK",H408/INDEX(H$5:H$1258,'Stock Price'!$I$9)-1,"")</f>
        <v>0.10042273367778298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99.760800000000003</v>
      </c>
      <c r="C409" s="18">
        <v>149.44990000000001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-0.27991338241663055</v>
      </c>
      <c r="P409" s="19">
        <f ca="1">IF('Stock Price'!$I$11="OK",C409/INDEX(C$5:C$1258,'Stock Price'!$I$9)-1,"")</f>
        <v>-0.18188093608868205</v>
      </c>
      <c r="Q409" s="19">
        <f ca="1">IF('Stock Price'!$I$11="OK",D409/INDEX(D$5:D$1258,'Stock Price'!$I$9)-1,"")</f>
        <v>-0.25891597823896839</v>
      </c>
      <c r="R409" s="19">
        <f ca="1">IF('Stock Price'!$I$11="OK",E409/INDEX(E$5:E$1258,'Stock Price'!$I$9)-1,"")</f>
        <v>-0.22662779397473276</v>
      </c>
      <c r="S409" s="19">
        <f ca="1">IF('Stock Price'!$I$11="OK",F409/INDEX(F$5:F$1258,'Stock Price'!$I$9)-1,"")</f>
        <v>0.13083143271822517</v>
      </c>
      <c r="T409" s="19">
        <f ca="1">IF('Stock Price'!$I$11="OK",G409/INDEX(G$5:G$1258,'Stock Price'!$I$9)-1,"")</f>
        <v>0.40263157894736845</v>
      </c>
      <c r="U409" s="19">
        <f ca="1">IF('Stock Price'!$I$11="OK",H409/INDEX(H$5:H$1258,'Stock Price'!$I$9)-1,"")</f>
        <v>9.3189290746829467E-2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99.460899999999995</v>
      </c>
      <c r="C410" s="18">
        <v>151.19999999999999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-0.28207810018767143</v>
      </c>
      <c r="P410" s="19">
        <f ca="1">IF('Stock Price'!$I$11="OK",C410/INDEX(C$5:C$1258,'Stock Price'!$I$9)-1,"")</f>
        <v>-0.17230053373477494</v>
      </c>
      <c r="Q410" s="19">
        <f ca="1">IF('Stock Price'!$I$11="OK",D410/INDEX(D$5:D$1258,'Stock Price'!$I$9)-1,"")</f>
        <v>-0.26516220028208748</v>
      </c>
      <c r="R410" s="19">
        <f ca="1">IF('Stock Price'!$I$11="OK",E410/INDEX(E$5:E$1258,'Stock Price'!$I$9)-1,"")</f>
        <v>-0.23595724003887264</v>
      </c>
      <c r="S410" s="19">
        <f ca="1">IF('Stock Price'!$I$11="OK",F410/INDEX(F$5:F$1258,'Stock Price'!$I$9)-1,"")</f>
        <v>0.13103877254820651</v>
      </c>
      <c r="T410" s="19">
        <f ca="1">IF('Stock Price'!$I$11="OK",G410/INDEX(G$5:G$1258,'Stock Price'!$I$9)-1,"")</f>
        <v>0.41184210526315779</v>
      </c>
      <c r="U410" s="19">
        <f ca="1">IF('Stock Price'!$I$11="OK",H410/INDEX(H$5:H$1258,'Stock Price'!$I$9)-1,"")</f>
        <v>9.0465007045561263E-2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97.922700000000006</v>
      </c>
      <c r="C411" s="18">
        <v>147.19999999999999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-0.29318103074924207</v>
      </c>
      <c r="P411" s="19">
        <f ca="1">IF('Stock Price'!$I$11="OK",C411/INDEX(C$5:C$1258,'Stock Price'!$I$9)-1,"")</f>
        <v>-0.19419734501163277</v>
      </c>
      <c r="Q411" s="19">
        <f ca="1">IF('Stock Price'!$I$11="OK",D411/INDEX(D$5:D$1258,'Stock Price'!$I$9)-1,"")</f>
        <v>-0.27181140439250451</v>
      </c>
      <c r="R411" s="19">
        <f ca="1">IF('Stock Price'!$I$11="OK",E411/INDEX(E$5:E$1258,'Stock Price'!$I$9)-1,"")</f>
        <v>-0.22604470359572404</v>
      </c>
      <c r="S411" s="19">
        <f ca="1">IF('Stock Price'!$I$11="OK",F411/INDEX(F$5:F$1258,'Stock Price'!$I$9)-1,"")</f>
        <v>0.1132075471698113</v>
      </c>
      <c r="T411" s="19">
        <f ca="1">IF('Stock Price'!$I$11="OK",G411/INDEX(G$5:G$1258,'Stock Price'!$I$9)-1,"")</f>
        <v>0.41552631578947374</v>
      </c>
      <c r="U411" s="19">
        <f ca="1">IF('Stock Price'!$I$11="OK",H411/INDEX(H$5:H$1258,'Stock Price'!$I$9)-1,"")</f>
        <v>7.8064819163926824E-2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97.081000000000003</v>
      </c>
      <c r="C412" s="18">
        <v>146.44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-0.29925653240941241</v>
      </c>
      <c r="P412" s="19">
        <f ca="1">IF('Stock Price'!$I$11="OK",C412/INDEX(C$5:C$1258,'Stock Price'!$I$9)-1,"")</f>
        <v>-0.19835773915423571</v>
      </c>
      <c r="Q412" s="19">
        <f ca="1">IF('Stock Price'!$I$11="OK",D412/INDEX(D$5:D$1258,'Stock Price'!$I$9)-1,"")</f>
        <v>-0.29055007052186177</v>
      </c>
      <c r="R412" s="19">
        <f ca="1">IF('Stock Price'!$I$11="OK",E412/INDEX(E$5:E$1258,'Stock Price'!$I$9)-1,"")</f>
        <v>-0.23051506316812442</v>
      </c>
      <c r="S412" s="19">
        <f ca="1">IF('Stock Price'!$I$11="OK",F412/INDEX(F$5:F$1258,'Stock Price'!$I$9)-1,"")</f>
        <v>0.1167323242794942</v>
      </c>
      <c r="T412" s="19">
        <f ca="1">IF('Stock Price'!$I$11="OK",G412/INDEX(G$5:G$1258,'Stock Price'!$I$9)-1,"")</f>
        <v>0.42394736842105263</v>
      </c>
      <c r="U412" s="19">
        <f ca="1">IF('Stock Price'!$I$11="OK",H412/INDEX(H$5:H$1258,'Stock Price'!$I$9)-1,"")</f>
        <v>7.0925317050258396E-2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97.525999999999996</v>
      </c>
      <c r="C413" s="18">
        <v>150.96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-0.29604446369279624</v>
      </c>
      <c r="P413" s="19">
        <f ca="1">IF('Stock Price'!$I$11="OK",C413/INDEX(C$5:C$1258,'Stock Price'!$I$9)-1,"")</f>
        <v>-0.1736143424113864</v>
      </c>
      <c r="Q413" s="19">
        <f ca="1">IF('Stock Price'!$I$11="OK",D413/INDEX(D$5:D$1258,'Stock Price'!$I$9)-1,"")</f>
        <v>-0.28249042917590172</v>
      </c>
      <c r="R413" s="19">
        <f ca="1">IF('Stock Price'!$I$11="OK",E413/INDEX(E$5:E$1258,'Stock Price'!$I$9)-1,"")</f>
        <v>-0.22215743440233238</v>
      </c>
      <c r="S413" s="19">
        <f ca="1">IF('Stock Price'!$I$11="OK",F413/INDEX(F$5:F$1258,'Stock Price'!$I$9)-1,"")</f>
        <v>0.14099108438731101</v>
      </c>
      <c r="T413" s="19">
        <f ca="1">IF('Stock Price'!$I$11="OK",G413/INDEX(G$5:G$1258,'Stock Price'!$I$9)-1,"")</f>
        <v>0.43657894736842118</v>
      </c>
      <c r="U413" s="19">
        <f ca="1">IF('Stock Price'!$I$11="OK",H413/INDEX(H$5:H$1258,'Stock Price'!$I$9)-1,"")</f>
        <v>8.4922498825739767E-2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97.458299999999994</v>
      </c>
      <c r="C414" s="18">
        <v>147.9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-0.29653313122563885</v>
      </c>
      <c r="P414" s="19">
        <f ca="1">IF('Stock Price'!$I$11="OK",C414/INDEX(C$5:C$1258,'Stock Price'!$I$9)-1,"")</f>
        <v>-0.19036540303818261</v>
      </c>
      <c r="Q414" s="19">
        <f ca="1">IF('Stock Price'!$I$11="OK",D414/INDEX(D$5:D$1258,'Stock Price'!$I$9)-1,"")</f>
        <v>-0.28772919605077574</v>
      </c>
      <c r="R414" s="19">
        <f ca="1">IF('Stock Price'!$I$11="OK",E414/INDEX(E$5:E$1258,'Stock Price'!$I$9)-1,"")</f>
        <v>-0.22721088435374159</v>
      </c>
      <c r="S414" s="19">
        <f ca="1">IF('Stock Price'!$I$11="OK",F414/INDEX(F$5:F$1258,'Stock Price'!$I$9)-1,"")</f>
        <v>0.11922040223927022</v>
      </c>
      <c r="T414" s="19">
        <f ca="1">IF('Stock Price'!$I$11="OK",G414/INDEX(G$5:G$1258,'Stock Price'!$I$9)-1,"")</f>
        <v>0.41894736842105273</v>
      </c>
      <c r="U414" s="19">
        <f ca="1">IF('Stock Price'!$I$11="OK",H414/INDEX(H$5:H$1258,'Stock Price'!$I$9)-1,"")</f>
        <v>7.5528417097228573E-2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96.984300000000005</v>
      </c>
      <c r="C415" s="18">
        <v>147.94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-0.29995452576873094</v>
      </c>
      <c r="P415" s="19">
        <f ca="1">IF('Stock Price'!$I$11="OK",C415/INDEX(C$5:C$1258,'Stock Price'!$I$9)-1,"")</f>
        <v>-0.19014643492541405</v>
      </c>
      <c r="Q415" s="19">
        <f ca="1">IF('Stock Price'!$I$11="OK",D415/INDEX(D$5:D$1258,'Stock Price'!$I$9)-1,"")</f>
        <v>-0.28631875881523272</v>
      </c>
      <c r="R415" s="19">
        <f ca="1">IF('Stock Price'!$I$11="OK",E415/INDEX(E$5:E$1258,'Stock Price'!$I$9)-1,"")</f>
        <v>-0.22934888241010698</v>
      </c>
      <c r="S415" s="19">
        <f ca="1">IF('Stock Price'!$I$11="OK",F415/INDEX(F$5:F$1258,'Stock Price'!$I$9)-1,"")</f>
        <v>0.12772133526850515</v>
      </c>
      <c r="T415" s="19">
        <f ca="1">IF('Stock Price'!$I$11="OK",G415/INDEX(G$5:G$1258,'Stock Price'!$I$9)-1,"")</f>
        <v>0.4223684210526315</v>
      </c>
      <c r="U415" s="19">
        <f ca="1">IF('Stock Price'!$I$11="OK",H415/INDEX(H$5:H$1258,'Stock Price'!$I$9)-1,"")</f>
        <v>6.4067637388445231E-2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96.7714</v>
      </c>
      <c r="C416" s="18">
        <v>143.75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-0.3014912660603436</v>
      </c>
      <c r="P416" s="19">
        <f ca="1">IF('Stock Price'!$I$11="OK",C416/INDEX(C$5:C$1258,'Stock Price'!$I$9)-1,"")</f>
        <v>-0.21308334473792256</v>
      </c>
      <c r="Q416" s="19">
        <f ca="1">IF('Stock Price'!$I$11="OK",D416/INDEX(D$5:D$1258,'Stock Price'!$I$9)-1,"")</f>
        <v>-0.30102760427161002</v>
      </c>
      <c r="R416" s="19">
        <f ca="1">IF('Stock Price'!$I$11="OK",E416/INDEX(E$5:E$1258,'Stock Price'!$I$9)-1,"")</f>
        <v>-0.22546161321671532</v>
      </c>
      <c r="S416" s="19">
        <f ca="1">IF('Stock Price'!$I$11="OK",F416/INDEX(F$5:F$1258,'Stock Price'!$I$9)-1,"")</f>
        <v>0.11901306240928888</v>
      </c>
      <c r="T416" s="19">
        <f ca="1">IF('Stock Price'!$I$11="OK",G416/INDEX(G$5:G$1258,'Stock Price'!$I$9)-1,"")</f>
        <v>0.41999999999999993</v>
      </c>
      <c r="U416" s="19">
        <f ca="1">IF('Stock Price'!$I$11="OK",H416/INDEX(H$5:H$1258,'Stock Price'!$I$9)-1,"")</f>
        <v>6.7167684358853785E-2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94.594700000000003</v>
      </c>
      <c r="C417" s="18">
        <v>145.26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-0.31720297387036234</v>
      </c>
      <c r="P417" s="19">
        <f ca="1">IF('Stock Price'!$I$11="OK",C417/INDEX(C$5:C$1258,'Stock Price'!$I$9)-1,"")</f>
        <v>-0.20481729848090879</v>
      </c>
      <c r="Q417" s="19">
        <f ca="1">IF('Stock Price'!$I$11="OK",D417/INDEX(D$5:D$1258,'Stock Price'!$I$9)-1,"")</f>
        <v>-0.31271408422325209</v>
      </c>
      <c r="R417" s="19">
        <f ca="1">IF('Stock Price'!$I$11="OK",E417/INDEX(E$5:E$1258,'Stock Price'!$I$9)-1,"")</f>
        <v>-0.22448979591836737</v>
      </c>
      <c r="S417" s="19">
        <f ca="1">IF('Stock Price'!$I$11="OK",F417/INDEX(F$5:F$1258,'Stock Price'!$I$9)-1,"")</f>
        <v>9.0400165871864058E-2</v>
      </c>
      <c r="T417" s="19">
        <f ca="1">IF('Stock Price'!$I$11="OK",G417/INDEX(G$5:G$1258,'Stock Price'!$I$9)-1,"")</f>
        <v>0.40473684210526328</v>
      </c>
      <c r="U417" s="19">
        <f ca="1">IF('Stock Price'!$I$11="OK",H417/INDEX(H$5:H$1258,'Stock Price'!$I$9)-1,"")</f>
        <v>5.4955378111789521E-2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94.6721</v>
      </c>
      <c r="C418" s="18">
        <v>144.55000000000001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-0.31664429045762954</v>
      </c>
      <c r="P418" s="19">
        <f ca="1">IF('Stock Price'!$I$11="OK",C418/INDEX(C$5:C$1258,'Stock Price'!$I$9)-1,"")</f>
        <v>-0.20870398248255095</v>
      </c>
      <c r="Q418" s="19">
        <f ca="1">IF('Stock Price'!$I$11="OK",D418/INDEX(D$5:D$1258,'Stock Price'!$I$9)-1,"")</f>
        <v>-0.31009470078581503</v>
      </c>
      <c r="R418" s="19">
        <f ca="1">IF('Stock Price'!$I$11="OK",E418/INDEX(E$5:E$1258,'Stock Price'!$I$9)-1,"")</f>
        <v>-0.21749271137026249</v>
      </c>
      <c r="S418" s="19">
        <f ca="1">IF('Stock Price'!$I$11="OK",F418/INDEX(F$5:F$1258,'Stock Price'!$I$9)-1,"")</f>
        <v>8.8741447232013382E-2</v>
      </c>
      <c r="T418" s="19">
        <f ca="1">IF('Stock Price'!$I$11="OK",G418/INDEX(G$5:G$1258,'Stock Price'!$I$9)-1,"")</f>
        <v>0.43157894736842106</v>
      </c>
      <c r="U418" s="19">
        <f ca="1">IF('Stock Price'!$I$11="OK",H418/INDEX(H$5:H$1258,'Stock Price'!$I$9)-1,"")</f>
        <v>4.340065758572087E-2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93.404799999999994</v>
      </c>
      <c r="C419" s="18">
        <v>141.13990000000001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-0.32579182907463544</v>
      </c>
      <c r="P419" s="19">
        <f ca="1">IF('Stock Price'!$I$11="OK",C419/INDEX(C$5:C$1258,'Stock Price'!$I$9)-1,"")</f>
        <v>-0.22737156151635418</v>
      </c>
      <c r="Q419" s="19">
        <f ca="1">IF('Stock Price'!$I$11="OK",D419/INDEX(D$5:D$1258,'Stock Price'!$I$9)-1,"")</f>
        <v>-0.31775136006447713</v>
      </c>
      <c r="R419" s="19">
        <f ca="1">IF('Stock Price'!$I$11="OK",E419/INDEX(E$5:E$1258,'Stock Price'!$I$9)-1,"")</f>
        <v>-0.22546161321671532</v>
      </c>
      <c r="S419" s="19">
        <f ca="1">IF('Stock Price'!$I$11="OK",F419/INDEX(F$5:F$1258,'Stock Price'!$I$9)-1,"")</f>
        <v>4.6029442255857367E-2</v>
      </c>
      <c r="T419" s="19">
        <f ca="1">IF('Stock Price'!$I$11="OK",G419/INDEX(G$5:G$1258,'Stock Price'!$I$9)-1,"")</f>
        <v>0.40578947368421048</v>
      </c>
      <c r="U419" s="19">
        <f ca="1">IF('Stock Price'!$I$11="OK",H419/INDEX(H$5:H$1258,'Stock Price'!$I$9)-1,"")</f>
        <v>2.5551902301550022E-2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93.114599999999996</v>
      </c>
      <c r="C420" s="18">
        <v>146.08000000000001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-0.32788653096578602</v>
      </c>
      <c r="P420" s="19">
        <f ca="1">IF('Stock Price'!$I$11="OK",C420/INDEX(C$5:C$1258,'Stock Price'!$I$9)-1,"")</f>
        <v>-0.20032845216915285</v>
      </c>
      <c r="Q420" s="19">
        <f ca="1">IF('Stock Price'!$I$11="OK",D420/INDEX(D$5:D$1258,'Stock Price'!$I$9)-1,"")</f>
        <v>-0.32299012693935125</v>
      </c>
      <c r="R420" s="19">
        <f ca="1">IF('Stock Price'!$I$11="OK",E420/INDEX(E$5:E$1258,'Stock Price'!$I$9)-1,"")</f>
        <v>-0.23051506316812442</v>
      </c>
      <c r="S420" s="19">
        <f ca="1">IF('Stock Price'!$I$11="OK",F420/INDEX(F$5:F$1258,'Stock Price'!$I$9)-1,"")</f>
        <v>5.7847812564793877E-2</v>
      </c>
      <c r="T420" s="19">
        <f ca="1">IF('Stock Price'!$I$11="OK",G420/INDEX(G$5:G$1258,'Stock Price'!$I$9)-1,"")</f>
        <v>0.37210526315789472</v>
      </c>
      <c r="U420" s="19">
        <f ca="1">IF('Stock Price'!$I$11="OK",H420/INDEX(H$5:H$1258,'Stock Price'!$I$9)-1,"")</f>
        <v>3.7200563644903761E-2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93.946600000000004</v>
      </c>
      <c r="C421" s="18">
        <v>147.69999999999999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-0.32188104518550598</v>
      </c>
      <c r="P421" s="19">
        <f ca="1">IF('Stock Price'!$I$11="OK",C421/INDEX(C$5:C$1258,'Stock Price'!$I$9)-1,"")</f>
        <v>-0.19146024360202551</v>
      </c>
      <c r="Q421" s="19">
        <f ca="1">IF('Stock Price'!$I$11="OK",D421/INDEX(D$5:D$1258,'Stock Price'!$I$9)-1,"")</f>
        <v>-0.31896030626637129</v>
      </c>
      <c r="R421" s="19">
        <f ca="1">IF('Stock Price'!$I$11="OK",E421/INDEX(E$5:E$1258,'Stock Price'!$I$9)-1,"")</f>
        <v>-0.22312925170068032</v>
      </c>
      <c r="S421" s="19">
        <f ca="1">IF('Stock Price'!$I$11="OK",F421/INDEX(F$5:F$1258,'Stock Price'!$I$9)-1,"")</f>
        <v>4.6236782085838701E-2</v>
      </c>
      <c r="T421" s="19">
        <f ca="1">IF('Stock Price'!$I$11="OK",G421/INDEX(G$5:G$1258,'Stock Price'!$I$9)-1,"")</f>
        <v>0.36578947368421044</v>
      </c>
      <c r="U421" s="19">
        <f ca="1">IF('Stock Price'!$I$11="OK",H421/INDEX(H$5:H$1258,'Stock Price'!$I$9)-1,"")</f>
        <v>4.2085486143729423E-2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95.687899999999999</v>
      </c>
      <c r="C422" s="18">
        <v>147.12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-0.30931211202540776</v>
      </c>
      <c r="P422" s="19">
        <f ca="1">IF('Stock Price'!$I$11="OK",C422/INDEX(C$5:C$1258,'Stock Price'!$I$9)-1,"")</f>
        <v>-0.19463528123716989</v>
      </c>
      <c r="Q422" s="19">
        <f ca="1">IF('Stock Price'!$I$11="OK",D422/INDEX(D$5:D$1258,'Stock Price'!$I$9)-1,"")</f>
        <v>-0.31271408422325209</v>
      </c>
      <c r="R422" s="19">
        <f ca="1">IF('Stock Price'!$I$11="OK",E422/INDEX(E$5:E$1258,'Stock Price'!$I$9)-1,"")</f>
        <v>-0.21496598639455788</v>
      </c>
      <c r="S422" s="19">
        <f ca="1">IF('Stock Price'!$I$11="OK",F422/INDEX(F$5:F$1258,'Stock Price'!$I$9)-1,"")</f>
        <v>5.764047273481232E-2</v>
      </c>
      <c r="T422" s="19">
        <f ca="1">IF('Stock Price'!$I$11="OK",G422/INDEX(G$5:G$1258,'Stock Price'!$I$9)-1,"")</f>
        <v>0.3844736842105263</v>
      </c>
      <c r="U422" s="19">
        <f ca="1">IF('Stock Price'!$I$11="OK",H422/INDEX(H$5:H$1258,'Stock Price'!$I$9)-1,"")</f>
        <v>5.7022076092061891E-2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96.132900000000006</v>
      </c>
      <c r="C423" s="18">
        <v>145.1875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-0.30610004330879159</v>
      </c>
      <c r="P423" s="19">
        <f ca="1">IF('Stock Price'!$I$11="OK",C423/INDEX(C$5:C$1258,'Stock Price'!$I$9)-1,"")</f>
        <v>-0.20521417818530185</v>
      </c>
      <c r="Q423" s="19">
        <f ca="1">IF('Stock Price'!$I$11="OK",D423/INDEX(D$5:D$1258,'Stock Price'!$I$9)-1,"")</f>
        <v>-0.30928873665121903</v>
      </c>
      <c r="R423" s="19">
        <f ca="1">IF('Stock Price'!$I$11="OK",E423/INDEX(E$5:E$1258,'Stock Price'!$I$9)-1,"")</f>
        <v>-0.21846452866861032</v>
      </c>
      <c r="S423" s="19">
        <f ca="1">IF('Stock Price'!$I$11="OK",F423/INDEX(F$5:F$1258,'Stock Price'!$I$9)-1,"")</f>
        <v>5.3908355795148299E-2</v>
      </c>
      <c r="T423" s="19">
        <f ca="1">IF('Stock Price'!$I$11="OK",G423/INDEX(G$5:G$1258,'Stock Price'!$I$9)-1,"")</f>
        <v>0.37157894736842101</v>
      </c>
      <c r="U423" s="19">
        <f ca="1">IF('Stock Price'!$I$11="OK",H423/INDEX(H$5:H$1258,'Stock Price'!$I$9)-1,"")</f>
        <v>6.2564584311883387E-2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96.413499999999999</v>
      </c>
      <c r="C424" s="18">
        <v>145.44999999999999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-0.30407463548433666</v>
      </c>
      <c r="P424" s="19">
        <f ca="1">IF('Stock Price'!$I$11="OK",C424/INDEX(C$5:C$1258,'Stock Price'!$I$9)-1,"")</f>
        <v>-0.20377719994525811</v>
      </c>
      <c r="Q424" s="19">
        <f ca="1">IF('Stock Price'!$I$11="OK",D424/INDEX(D$5:D$1258,'Stock Price'!$I$9)-1,"")</f>
        <v>-0.30243804150715303</v>
      </c>
      <c r="R424" s="19">
        <f ca="1">IF('Stock Price'!$I$11="OK",E424/INDEX(E$5:E$1258,'Stock Price'!$I$9)-1,"")</f>
        <v>-0.21846452866861032</v>
      </c>
      <c r="S424" s="19">
        <f ca="1">IF('Stock Price'!$I$11="OK",F424/INDEX(F$5:F$1258,'Stock Price'!$I$9)-1,"")</f>
        <v>6.759278457391682E-2</v>
      </c>
      <c r="T424" s="19">
        <f ca="1">IF('Stock Price'!$I$11="OK",G424/INDEX(G$5:G$1258,'Stock Price'!$I$9)-1,"")</f>
        <v>0.37578947368421045</v>
      </c>
      <c r="U424" s="19">
        <f ca="1">IF('Stock Price'!$I$11="OK",H424/INDEX(H$5:H$1258,'Stock Price'!$I$9)-1,"")</f>
        <v>3.3442930953499372E-2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95.291300000000007</v>
      </c>
      <c r="C425" s="18">
        <v>146.9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-0.31217482315576717</v>
      </c>
      <c r="P425" s="19">
        <f ca="1">IF('Stock Price'!$I$11="OK",C425/INDEX(C$5:C$1258,'Stock Price'!$I$9)-1,"")</f>
        <v>-0.19583960585739701</v>
      </c>
      <c r="Q425" s="19">
        <f ca="1">IF('Stock Price'!$I$11="OK",D425/INDEX(D$5:D$1258,'Stock Price'!$I$9)-1,"")</f>
        <v>-0.30767680838202704</v>
      </c>
      <c r="R425" s="19">
        <f ca="1">IF('Stock Price'!$I$11="OK",E425/INDEX(E$5:E$1258,'Stock Price'!$I$9)-1,"")</f>
        <v>-0.23343051506316825</v>
      </c>
      <c r="S425" s="19">
        <f ca="1">IF('Stock Price'!$I$11="OK",F425/INDEX(F$5:F$1258,'Stock Price'!$I$9)-1,"")</f>
        <v>5.4945054945054972E-2</v>
      </c>
      <c r="T425" s="19">
        <f ca="1">IF('Stock Price'!$I$11="OK",G425/INDEX(G$5:G$1258,'Stock Price'!$I$9)-1,"")</f>
        <v>0.37184210526315797</v>
      </c>
      <c r="U425" s="19">
        <f ca="1">IF('Stock Price'!$I$11="OK",H425/INDEX(H$5:H$1258,'Stock Price'!$I$9)-1,"")</f>
        <v>2.0291216533583789E-2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97.371200000000002</v>
      </c>
      <c r="C426" s="18">
        <v>144.5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-0.29716183051826184</v>
      </c>
      <c r="P426" s="19">
        <f ca="1">IF('Stock Price'!$I$11="OK",C426/INDEX(C$5:C$1258,'Stock Price'!$I$9)-1,"")</f>
        <v>-0.20897769262351173</v>
      </c>
      <c r="Q426" s="19">
        <f ca="1">IF('Stock Price'!$I$11="OK",D426/INDEX(D$5:D$1258,'Stock Price'!$I$9)-1,"")</f>
        <v>-0.30042313117066299</v>
      </c>
      <c r="R426" s="19">
        <f ca="1">IF('Stock Price'!$I$11="OK",E426/INDEX(E$5:E$1258,'Stock Price'!$I$9)-1,"")</f>
        <v>-0.23420796890184647</v>
      </c>
      <c r="S426" s="19">
        <f ca="1">IF('Stock Price'!$I$11="OK",F426/INDEX(F$5:F$1258,'Stock Price'!$I$9)-1,"")</f>
        <v>6.8629483723823492E-2</v>
      </c>
      <c r="T426" s="19">
        <f ca="1">IF('Stock Price'!$I$11="OK",G426/INDEX(G$5:G$1258,'Stock Price'!$I$9)-1,"")</f>
        <v>0.36710526315789482</v>
      </c>
      <c r="U426" s="19">
        <f ca="1">IF('Stock Price'!$I$11="OK",H426/INDEX(H$5:H$1258,'Stock Price'!$I$9)-1,"")</f>
        <v>3.635509628933753E-2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97.642099999999999</v>
      </c>
      <c r="C427" s="18">
        <v>149.30000000000001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-0.29520643857369711</v>
      </c>
      <c r="P427" s="19">
        <f ca="1">IF('Stock Price'!$I$11="OK",C427/INDEX(C$5:C$1258,'Stock Price'!$I$9)-1,"")</f>
        <v>-0.18270151909128229</v>
      </c>
      <c r="Q427" s="19">
        <f ca="1">IF('Stock Price'!$I$11="OK",D427/INDEX(D$5:D$1258,'Stock Price'!$I$9)-1,"")</f>
        <v>-0.299617167036067</v>
      </c>
      <c r="R427" s="19">
        <f ca="1">IF('Stock Price'!$I$11="OK",E427/INDEX(E$5:E$1258,'Stock Price'!$I$9)-1,"")</f>
        <v>-0.23906705539358608</v>
      </c>
      <c r="S427" s="19">
        <f ca="1">IF('Stock Price'!$I$11="OK",F427/INDEX(F$5:F$1258,'Stock Price'!$I$9)-1,"")</f>
        <v>6.2409288824383236E-2</v>
      </c>
      <c r="T427" s="19">
        <f ca="1">IF('Stock Price'!$I$11="OK",G427/INDEX(G$5:G$1258,'Stock Price'!$I$9)-1,"")</f>
        <v>0.34605263157894739</v>
      </c>
      <c r="U427" s="19">
        <f ca="1">IF('Stock Price'!$I$11="OK",H427/INDEX(H$5:H$1258,'Stock Price'!$I$9)-1,"")</f>
        <v>4.0018788163456831E-2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96.742400000000004</v>
      </c>
      <c r="C428" s="18">
        <v>148.86000000000001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-0.30170059188681964</v>
      </c>
      <c r="P428" s="19">
        <f ca="1">IF('Stock Price'!$I$11="OK",C428/INDEX(C$5:C$1258,'Stock Price'!$I$9)-1,"")</f>
        <v>-0.18511016833173666</v>
      </c>
      <c r="Q428" s="19">
        <f ca="1">IF('Stock Price'!$I$11="OK",D428/INDEX(D$5:D$1258,'Stock Price'!$I$9)-1,"")</f>
        <v>-0.30707233528108002</v>
      </c>
      <c r="R428" s="19">
        <f ca="1">IF('Stock Price'!$I$11="OK",E428/INDEX(E$5:E$1258,'Stock Price'!$I$9)-1,"")</f>
        <v>-0.24820213799805646</v>
      </c>
      <c r="S428" s="19">
        <f ca="1">IF('Stock Price'!$I$11="OK",F428/INDEX(F$5:F$1258,'Stock Price'!$I$9)-1,"")</f>
        <v>5.764047273481232E-2</v>
      </c>
      <c r="T428" s="19">
        <f ca="1">IF('Stock Price'!$I$11="OK",G428/INDEX(G$5:G$1258,'Stock Price'!$I$9)-1,"")</f>
        <v>0.34499999999999997</v>
      </c>
      <c r="U428" s="19">
        <f ca="1">IF('Stock Price'!$I$11="OK",H428/INDEX(H$5:H$1258,'Stock Price'!$I$9)-1,"")</f>
        <v>3.2033818694222616E-2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96.084599999999995</v>
      </c>
      <c r="C429" s="18">
        <v>149.5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-0.30644867908185358</v>
      </c>
      <c r="P429" s="19">
        <f ca="1">IF('Stock Price'!$I$11="OK",C429/INDEX(C$5:C$1258,'Stock Price'!$I$9)-1,"")</f>
        <v>-0.1816066785274395</v>
      </c>
      <c r="Q429" s="19">
        <f ca="1">IF('Stock Price'!$I$11="OK",D429/INDEX(D$5:D$1258,'Stock Price'!$I$9)-1,"")</f>
        <v>-0.30203505943985498</v>
      </c>
      <c r="R429" s="19">
        <f ca="1">IF('Stock Price'!$I$11="OK",E429/INDEX(E$5:E$1258,'Stock Price'!$I$9)-1,"")</f>
        <v>-0.24723032069970852</v>
      </c>
      <c r="S429" s="19">
        <f ca="1">IF('Stock Price'!$I$11="OK",F429/INDEX(F$5:F$1258,'Stock Price'!$I$9)-1,"")</f>
        <v>4.748082106572693E-2</v>
      </c>
      <c r="T429" s="19">
        <f ca="1">IF('Stock Price'!$I$11="OK",G429/INDEX(G$5:G$1258,'Stock Price'!$I$9)-1,"")</f>
        <v>0.34947368421052638</v>
      </c>
      <c r="U429" s="19">
        <f ca="1">IF('Stock Price'!$I$11="OK",H429/INDEX(H$5:H$1258,'Stock Price'!$I$9)-1,"")</f>
        <v>3.3255049318928975E-2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96.4328</v>
      </c>
      <c r="C430" s="18">
        <v>146.875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-0.30393532553775082</v>
      </c>
      <c r="P430" s="19">
        <f ca="1">IF('Stock Price'!$I$11="OK",C430/INDEX(C$5:C$1258,'Stock Price'!$I$9)-1,"")</f>
        <v>-0.19597646092787746</v>
      </c>
      <c r="Q430" s="19">
        <f ca="1">IF('Stock Price'!$I$11="OK",D430/INDEX(D$5:D$1258,'Stock Price'!$I$9)-1,"")</f>
        <v>-0.30546040701188804</v>
      </c>
      <c r="R430" s="19">
        <f ca="1">IF('Stock Price'!$I$11="OK",E430/INDEX(E$5:E$1258,'Stock Price'!$I$9)-1,"")</f>
        <v>-0.25966958211856173</v>
      </c>
      <c r="S430" s="19">
        <f ca="1">IF('Stock Price'!$I$11="OK",F430/INDEX(F$5:F$1258,'Stock Price'!$I$9)-1,"")</f>
        <v>5.162761766535362E-2</v>
      </c>
      <c r="T430" s="19">
        <f ca="1">IF('Stock Price'!$I$11="OK",G430/INDEX(G$5:G$1258,'Stock Price'!$I$9)-1,"")</f>
        <v>0.36315789473684212</v>
      </c>
      <c r="U430" s="19">
        <f ca="1">IF('Stock Price'!$I$11="OK",H430/INDEX(H$5:H$1258,'Stock Price'!$I$9)-1,"")</f>
        <v>2.0760920620009227E-2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98.087100000000007</v>
      </c>
      <c r="C431" s="18">
        <v>149.25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-0.29199436985708094</v>
      </c>
      <c r="P431" s="19">
        <f ca="1">IF('Stock Price'!$I$11="OK",C431/INDEX(C$5:C$1258,'Stock Price'!$I$9)-1,"")</f>
        <v>-0.18297522923224308</v>
      </c>
      <c r="Q431" s="19">
        <f ca="1">IF('Stock Price'!$I$11="OK",D431/INDEX(D$5:D$1258,'Stock Price'!$I$9)-1,"")</f>
        <v>-0.28934112431996772</v>
      </c>
      <c r="R431" s="19">
        <f ca="1">IF('Stock Price'!$I$11="OK",E431/INDEX(E$5:E$1258,'Stock Price'!$I$9)-1,"")</f>
        <v>-0.24917395529640429</v>
      </c>
      <c r="S431" s="19">
        <f ca="1">IF('Stock Price'!$I$11="OK",F431/INDEX(F$5:F$1258,'Stock Price'!$I$9)-1,"")</f>
        <v>7.3812979473356854E-2</v>
      </c>
      <c r="T431" s="19">
        <f ca="1">IF('Stock Price'!$I$11="OK",G431/INDEX(G$5:G$1258,'Stock Price'!$I$9)-1,"")</f>
        <v>0.36342105263157909</v>
      </c>
      <c r="U431" s="19">
        <f ca="1">IF('Stock Price'!$I$11="OK",H431/INDEX(H$5:H$1258,'Stock Price'!$I$9)-1,"")</f>
        <v>2.7712541099107479E-2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98.512799999999999</v>
      </c>
      <c r="C432" s="18">
        <v>149.51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-0.28892161108705061</v>
      </c>
      <c r="P432" s="19">
        <f ca="1">IF('Stock Price'!$I$11="OK",C432/INDEX(C$5:C$1258,'Stock Price'!$I$9)-1,"")</f>
        <v>-0.18155193649924739</v>
      </c>
      <c r="Q432" s="19">
        <f ca="1">IF('Stock Price'!$I$11="OK",D432/INDEX(D$5:D$1258,'Stock Price'!$I$9)-1,"")</f>
        <v>-0.29175901672375582</v>
      </c>
      <c r="R432" s="19">
        <f ca="1">IF('Stock Price'!$I$11="OK",E432/INDEX(E$5:E$1258,'Stock Price'!$I$9)-1,"")</f>
        <v>-0.2419825072886298</v>
      </c>
      <c r="S432" s="19">
        <f ca="1">IF('Stock Price'!$I$11="OK",F432/INDEX(F$5:F$1258,'Stock Price'!$I$9)-1,"")</f>
        <v>7.8996475222890439E-2</v>
      </c>
      <c r="T432" s="19">
        <f ca="1">IF('Stock Price'!$I$11="OK",G432/INDEX(G$5:G$1258,'Stock Price'!$I$9)-1,"")</f>
        <v>0.37710526315789461</v>
      </c>
      <c r="U432" s="19">
        <f ca="1">IF('Stock Price'!$I$11="OK",H432/INDEX(H$5:H$1258,'Stock Price'!$I$9)-1,"")</f>
        <v>2.6961014560826557E-2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97.535700000000006</v>
      </c>
      <c r="C433" s="18">
        <v>149.25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-0.29597444781290594</v>
      </c>
      <c r="P433" s="19">
        <f ca="1">IF('Stock Price'!$I$11="OK",C433/INDEX(C$5:C$1258,'Stock Price'!$I$9)-1,"")</f>
        <v>-0.18297522923224308</v>
      </c>
      <c r="Q433" s="19">
        <f ca="1">IF('Stock Price'!$I$11="OK",D433/INDEX(D$5:D$1258,'Stock Price'!$I$9)-1,"")</f>
        <v>-0.30243804150715303</v>
      </c>
      <c r="R433" s="19">
        <f ca="1">IF('Stock Price'!$I$11="OK",E433/INDEX(E$5:E$1258,'Stock Price'!$I$9)-1,"")</f>
        <v>-0.25247813411078723</v>
      </c>
      <c r="S433" s="19">
        <f ca="1">IF('Stock Price'!$I$11="OK",F433/INDEX(F$5:F$1258,'Stock Price'!$I$9)-1,"")</f>
        <v>0.10097449720091234</v>
      </c>
      <c r="T433" s="19">
        <f ca="1">IF('Stock Price'!$I$11="OK",G433/INDEX(G$5:G$1258,'Stock Price'!$I$9)-1,"")</f>
        <v>0.33921052631578941</v>
      </c>
      <c r="U433" s="19">
        <f ca="1">IF('Stock Price'!$I$11="OK",H433/INDEX(H$5:H$1258,'Stock Price'!$I$9)-1,"")</f>
        <v>3.5509628933771742E-2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97.622799999999998</v>
      </c>
      <c r="C434" s="18">
        <v>148.66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-0.29534574852028295</v>
      </c>
      <c r="P434" s="19">
        <f ca="1">IF('Stock Price'!$I$11="OK",C434/INDEX(C$5:C$1258,'Stock Price'!$I$9)-1,"")</f>
        <v>-0.18620500889557967</v>
      </c>
      <c r="Q434" s="19">
        <f ca="1">IF('Stock Price'!$I$11="OK",D434/INDEX(D$5:D$1258,'Stock Price'!$I$9)-1,"")</f>
        <v>-0.29175901672375582</v>
      </c>
      <c r="R434" s="19">
        <f ca="1">IF('Stock Price'!$I$11="OK",E434/INDEX(E$5:E$1258,'Stock Price'!$I$9)-1,"")</f>
        <v>-0.25694849368318762</v>
      </c>
      <c r="S434" s="19">
        <f ca="1">IF('Stock Price'!$I$11="OK",F434/INDEX(F$5:F$1258,'Stock Price'!$I$9)-1,"")</f>
        <v>0.11217084801990462</v>
      </c>
      <c r="T434" s="19">
        <f ca="1">IF('Stock Price'!$I$11="OK",G434/INDEX(G$5:G$1258,'Stock Price'!$I$9)-1,"")</f>
        <v>0.3386842105263157</v>
      </c>
      <c r="U434" s="19">
        <f ca="1">IF('Stock Price'!$I$11="OK",H434/INDEX(H$5:H$1258,'Stock Price'!$I$9)-1,"")</f>
        <v>4.424612494128688E-2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97.264799999999994</v>
      </c>
      <c r="C435" s="18">
        <v>146.68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-0.29792983975747078</v>
      </c>
      <c r="P435" s="19">
        <f ca="1">IF('Stock Price'!$I$11="OK",C435/INDEX(C$5:C$1258,'Stock Price'!$I$9)-1,"")</f>
        <v>-0.19704393047762425</v>
      </c>
      <c r="Q435" s="19">
        <f ca="1">IF('Stock Price'!$I$11="OK",D435/INDEX(D$5:D$1258,'Stock Price'!$I$9)-1,"")</f>
        <v>-0.30122909530525899</v>
      </c>
      <c r="R435" s="19">
        <f ca="1">IF('Stock Price'!$I$11="OK",E435/INDEX(E$5:E$1258,'Stock Price'!$I$9)-1,"")</f>
        <v>-0.25617103984450917</v>
      </c>
      <c r="S435" s="19">
        <f ca="1">IF('Stock Price'!$I$11="OK",F435/INDEX(F$5:F$1258,'Stock Price'!$I$9)-1,"")</f>
        <v>0.10512129380053903</v>
      </c>
      <c r="T435" s="19">
        <f ca="1">IF('Stock Price'!$I$11="OK",G435/INDEX(G$5:G$1258,'Stock Price'!$I$9)-1,"")</f>
        <v>0.32894736842105265</v>
      </c>
      <c r="U435" s="19">
        <f ca="1">IF('Stock Price'!$I$11="OK",H435/INDEX(H$5:H$1258,'Stock Price'!$I$9)-1,"")</f>
        <v>6.829497416627528E-2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97.409899999999993</v>
      </c>
      <c r="C436" s="18">
        <v>146.15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-0.2968824888118955</v>
      </c>
      <c r="P436" s="19">
        <f ca="1">IF('Stock Price'!$I$11="OK",C436/INDEX(C$5:C$1258,'Stock Price'!$I$9)-1,"")</f>
        <v>-0.19994525797180784</v>
      </c>
      <c r="Q436" s="19">
        <f ca="1">IF('Stock Price'!$I$11="OK",D436/INDEX(D$5:D$1258,'Stock Price'!$I$9)-1,"")</f>
        <v>-0.26697561958492844</v>
      </c>
      <c r="R436" s="19">
        <f ca="1">IF('Stock Price'!$I$11="OK",E436/INDEX(E$5:E$1258,'Stock Price'!$I$9)-1,"")</f>
        <v>-0.25306122448979596</v>
      </c>
      <c r="S436" s="19">
        <f ca="1">IF('Stock Price'!$I$11="OK",F436/INDEX(F$5:F$1258,'Stock Price'!$I$9)-1,"")</f>
        <v>0.10512129380053903</v>
      </c>
      <c r="T436" s="19">
        <f ca="1">IF('Stock Price'!$I$11="OK",G436/INDEX(G$5:G$1258,'Stock Price'!$I$9)-1,"")</f>
        <v>0.32894736842105265</v>
      </c>
      <c r="U436" s="19">
        <f ca="1">IF('Stock Price'!$I$11="OK",H436/INDEX(H$5:H$1258,'Stock Price'!$I$9)-1,"")</f>
        <v>7.656176608736498E-2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96.2684</v>
      </c>
      <c r="C437" s="18">
        <v>142.75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-0.30512198642991195</v>
      </c>
      <c r="P437" s="19">
        <f ca="1">IF('Stock Price'!$I$11="OK",C437/INDEX(C$5:C$1258,'Stock Price'!$I$9)-1,"")</f>
        <v>-0.21855754755713708</v>
      </c>
      <c r="Q437" s="19">
        <f ca="1">IF('Stock Price'!$I$11="OK",D437/INDEX(D$5:D$1258,'Stock Price'!$I$9)-1,"")</f>
        <v>-0.26919202095506745</v>
      </c>
      <c r="R437" s="19">
        <f ca="1">IF('Stock Price'!$I$11="OK",E437/INDEX(E$5:E$1258,'Stock Price'!$I$9)-1,"")</f>
        <v>-0.25597667638483967</v>
      </c>
      <c r="S437" s="19">
        <f ca="1">IF('Stock Price'!$I$11="OK",F437/INDEX(F$5:F$1258,'Stock Price'!$I$9)-1,"")</f>
        <v>0.10885341074020327</v>
      </c>
      <c r="T437" s="19">
        <f ca="1">IF('Stock Price'!$I$11="OK",G437/INDEX(G$5:G$1258,'Stock Price'!$I$9)-1,"")</f>
        <v>0.3181578947368422</v>
      </c>
      <c r="U437" s="19">
        <f ca="1">IF('Stock Price'!$I$11="OK",H437/INDEX(H$5:H$1258,'Stock Price'!$I$9)-1,"")</f>
        <v>6.2282761860028124E-2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95.949100000000001</v>
      </c>
      <c r="C438" s="18">
        <v>142.75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-0.30742673596073333</v>
      </c>
      <c r="P438" s="19">
        <f ca="1">IF('Stock Price'!$I$11="OK",C438/INDEX(C$5:C$1258,'Stock Price'!$I$9)-1,"")</f>
        <v>-0.21855754755713708</v>
      </c>
      <c r="Q438" s="19">
        <f ca="1">IF('Stock Price'!$I$11="OK",D438/INDEX(D$5:D$1258,'Stock Price'!$I$9)-1,"")</f>
        <v>-0.27946806367116672</v>
      </c>
      <c r="R438" s="19">
        <f ca="1">IF('Stock Price'!$I$11="OK",E438/INDEX(E$5:E$1258,'Stock Price'!$I$9)-1,"")</f>
        <v>-0.22915451895043748</v>
      </c>
      <c r="S438" s="19">
        <f ca="1">IF('Stock Price'!$I$11="OK",F438/INDEX(F$5:F$1258,'Stock Price'!$I$9)-1,"")</f>
        <v>0.11279286750984885</v>
      </c>
      <c r="T438" s="19">
        <f ca="1">IF('Stock Price'!$I$11="OK",G438/INDEX(G$5:G$1258,'Stock Price'!$I$9)-1,"")</f>
        <v>0.32263157894736838</v>
      </c>
      <c r="U438" s="19">
        <f ca="1">IF('Stock Price'!$I$11="OK",H438/INDEX(H$5:H$1258,'Stock Price'!$I$9)-1,"")</f>
        <v>6.4537341474870669E-2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95.233199999999997</v>
      </c>
      <c r="C439" s="18">
        <v>140.4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-0.31259419662191423</v>
      </c>
      <c r="P439" s="19">
        <f ca="1">IF('Stock Price'!$I$11="OK",C439/INDEX(C$5:C$1258,'Stock Price'!$I$9)-1,"")</f>
        <v>-0.23142192418229102</v>
      </c>
      <c r="Q439" s="19">
        <f ca="1">IF('Stock Price'!$I$11="OK",D439/INDEX(D$5:D$1258,'Stock Price'!$I$9)-1,"")</f>
        <v>-0.28410235744509371</v>
      </c>
      <c r="R439" s="19">
        <f ca="1">IF('Stock Price'!$I$11="OK",E439/INDEX(E$5:E$1258,'Stock Price'!$I$9)-1,"")</f>
        <v>-0.25383867832847429</v>
      </c>
      <c r="S439" s="19">
        <f ca="1">IF('Stock Price'!$I$11="OK",F439/INDEX(F$5:F$1258,'Stock Price'!$I$9)-1,"")</f>
        <v>0.11424424631971819</v>
      </c>
      <c r="T439" s="19">
        <f ca="1">IF('Stock Price'!$I$11="OK",G439/INDEX(G$5:G$1258,'Stock Price'!$I$9)-1,"")</f>
        <v>0.3236842105263158</v>
      </c>
      <c r="U439" s="19">
        <f ca="1">IF('Stock Price'!$I$11="OK",H439/INDEX(H$5:H$1258,'Stock Price'!$I$9)-1,"")</f>
        <v>5.6270549553780969E-2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96.1233</v>
      </c>
      <c r="C440" s="18">
        <v>142.91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-0.30616933737548713</v>
      </c>
      <c r="P440" s="19">
        <f ca="1">IF('Stock Price'!$I$11="OK",C440/INDEX(C$5:C$1258,'Stock Price'!$I$9)-1,"")</f>
        <v>-0.21768167510606273</v>
      </c>
      <c r="Q440" s="19">
        <f ca="1">IF('Stock Price'!$I$11="OK",D440/INDEX(D$5:D$1258,'Stock Price'!$I$9)-1,"")</f>
        <v>-0.28631875881523272</v>
      </c>
      <c r="R440" s="19">
        <f ca="1">IF('Stock Price'!$I$11="OK",E440/INDEX(E$5:E$1258,'Stock Price'!$I$9)-1,"")</f>
        <v>-0.25928085519922262</v>
      </c>
      <c r="S440" s="19">
        <f ca="1">IF('Stock Price'!$I$11="OK",F440/INDEX(F$5:F$1258,'Stock Price'!$I$9)-1,"")</f>
        <v>9.8693759071117659E-2</v>
      </c>
      <c r="T440" s="19">
        <f ca="1">IF('Stock Price'!$I$11="OK",G440/INDEX(G$5:G$1258,'Stock Price'!$I$9)-1,"")</f>
        <v>0.3292105263157894</v>
      </c>
      <c r="U440" s="19">
        <f ca="1">IF('Stock Price'!$I$11="OK",H440/INDEX(H$5:H$1258,'Stock Price'!$I$9)-1,"")</f>
        <v>6.660403945514326E-2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97.622799999999998</v>
      </c>
      <c r="C441" s="18">
        <v>143.9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-0.29534574852028295</v>
      </c>
      <c r="P441" s="19">
        <f ca="1">IF('Stock Price'!$I$11="OK",C441/INDEX(C$5:C$1258,'Stock Price'!$I$9)-1,"")</f>
        <v>-0.21226221431504044</v>
      </c>
      <c r="Q441" s="19">
        <f ca="1">IF('Stock Price'!$I$11="OK",D441/INDEX(D$5:D$1258,'Stock Price'!$I$9)-1,"")</f>
        <v>-0.2818859560749547</v>
      </c>
      <c r="R441" s="19">
        <f ca="1">IF('Stock Price'!$I$11="OK",E441/INDEX(E$5:E$1258,'Stock Price'!$I$9)-1,"")</f>
        <v>-0.25753158406219634</v>
      </c>
      <c r="S441" s="19">
        <f ca="1">IF('Stock Price'!$I$11="OK",F441/INDEX(F$5:F$1258,'Stock Price'!$I$9)-1,"")</f>
        <v>0.11756168359941954</v>
      </c>
      <c r="T441" s="19">
        <f ca="1">IF('Stock Price'!$I$11="OK",G441/INDEX(G$5:G$1258,'Stock Price'!$I$9)-1,"")</f>
        <v>0.33342105263157906</v>
      </c>
      <c r="U441" s="19">
        <f ca="1">IF('Stock Price'!$I$11="OK",H441/INDEX(H$5:H$1258,'Stock Price'!$I$9)-1,"")</f>
        <v>8.398309065288867E-2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95.552499999999995</v>
      </c>
      <c r="C442" s="18">
        <v>133.23500000000001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-0.31028944709109285</v>
      </c>
      <c r="P442" s="19">
        <f ca="1">IF('Stock Price'!$I$11="OK",C442/INDEX(C$5:C$1258,'Stock Price'!$I$9)-1,"")</f>
        <v>-0.27064458738196251</v>
      </c>
      <c r="Q442" s="19">
        <f ca="1">IF('Stock Price'!$I$11="OK",D442/INDEX(D$5:D$1258,'Stock Price'!$I$9)-1,"")</f>
        <v>-0.28893814225266978</v>
      </c>
      <c r="R442" s="19">
        <f ca="1">IF('Stock Price'!$I$11="OK",E442/INDEX(E$5:E$1258,'Stock Price'!$I$9)-1,"")</f>
        <v>-0.25792031098153556</v>
      </c>
      <c r="S442" s="19">
        <f ca="1">IF('Stock Price'!$I$11="OK",F442/INDEX(F$5:F$1258,'Stock Price'!$I$9)-1,"")</f>
        <v>0.11196350818992351</v>
      </c>
      <c r="T442" s="19">
        <f ca="1">IF('Stock Price'!$I$11="OK",G442/INDEX(G$5:G$1258,'Stock Price'!$I$9)-1,"")</f>
        <v>0.33078947368421052</v>
      </c>
      <c r="U442" s="19">
        <f ca="1">IF('Stock Price'!$I$11="OK",H442/INDEX(H$5:H$1258,'Stock Price'!$I$9)-1,"")</f>
        <v>7.4025364020666951E-2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95.726600000000005</v>
      </c>
      <c r="C443" s="18">
        <v>134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-0.30903277031904131</v>
      </c>
      <c r="P443" s="19">
        <f ca="1">IF('Stock Price'!$I$11="OK",C443/INDEX(C$5:C$1258,'Stock Price'!$I$9)-1,"")</f>
        <v>-0.26645682222526346</v>
      </c>
      <c r="Q443" s="19">
        <f ca="1">IF('Stock Price'!$I$11="OK",D443/INDEX(D$5:D$1258,'Stock Price'!$I$9)-1,"")</f>
        <v>-0.30022164013701402</v>
      </c>
      <c r="R443" s="19">
        <f ca="1">IF('Stock Price'!$I$11="OK",E443/INDEX(E$5:E$1258,'Stock Price'!$I$9)-1,"")</f>
        <v>-0.2518950437317784</v>
      </c>
      <c r="S443" s="19">
        <f ca="1">IF('Stock Price'!$I$11="OK",F443/INDEX(F$5:F$1258,'Stock Price'!$I$9)-1,"")</f>
        <v>9.8693759071117659E-2</v>
      </c>
      <c r="T443" s="19">
        <f ca="1">IF('Stock Price'!$I$11="OK",G443/INDEX(G$5:G$1258,'Stock Price'!$I$9)-1,"")</f>
        <v>0.32710526315789479</v>
      </c>
      <c r="U443" s="19">
        <f ca="1">IF('Stock Price'!$I$11="OK",H443/INDEX(H$5:H$1258,'Stock Price'!$I$9)-1,"")</f>
        <v>6.8107092531705105E-2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94.8172</v>
      </c>
      <c r="C444" s="18">
        <v>132.44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-0.31559693951205425</v>
      </c>
      <c r="P444" s="19">
        <f ca="1">IF('Stock Price'!$I$11="OK",C444/INDEX(C$5:C$1258,'Stock Price'!$I$9)-1,"")</f>
        <v>-0.27499657862323801</v>
      </c>
      <c r="Q444" s="19">
        <f ca="1">IF('Stock Price'!$I$11="OK",D444/INDEX(D$5:D$1258,'Stock Price'!$I$9)-1,"")</f>
        <v>-0.31311706629055003</v>
      </c>
      <c r="R444" s="19">
        <f ca="1">IF('Stock Price'!$I$11="OK",E444/INDEX(E$5:E$1258,'Stock Price'!$I$9)-1,"")</f>
        <v>-0.26550048590864928</v>
      </c>
      <c r="S444" s="19">
        <f ca="1">IF('Stock Price'!$I$11="OK",F444/INDEX(F$5:F$1258,'Stock Price'!$I$9)-1,"")</f>
        <v>7.5264358283226196E-2</v>
      </c>
      <c r="T444" s="19">
        <f ca="1">IF('Stock Price'!$I$11="OK",G444/INDEX(G$5:G$1258,'Stock Price'!$I$9)-1,"")</f>
        <v>0.27947368421052632</v>
      </c>
      <c r="U444" s="19">
        <f ca="1">IF('Stock Price'!$I$11="OK",H444/INDEX(H$5:H$1258,'Stock Price'!$I$9)-1,"")</f>
        <v>4.9788633161108375E-2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91.644099999999995</v>
      </c>
      <c r="C445" s="18">
        <v>127.75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-0.33850079399451427</v>
      </c>
      <c r="P445" s="19">
        <f ca="1">IF('Stock Price'!$I$11="OK",C445/INDEX(C$5:C$1258,'Stock Price'!$I$9)-1,"")</f>
        <v>-0.30067058984535378</v>
      </c>
      <c r="Q445" s="19">
        <f ca="1">IF('Stock Price'!$I$11="OK",D445/INDEX(D$5:D$1258,'Stock Price'!$I$9)-1,"")</f>
        <v>-0.31875881523272209</v>
      </c>
      <c r="R445" s="19">
        <f ca="1">IF('Stock Price'!$I$11="OK",E445/INDEX(E$5:E$1258,'Stock Price'!$I$9)-1,"")</f>
        <v>-0.27755102040816326</v>
      </c>
      <c r="S445" s="19">
        <f ca="1">IF('Stock Price'!$I$11="OK",F445/INDEX(F$5:F$1258,'Stock Price'!$I$9)-1,"")</f>
        <v>6.3653327804271242E-2</v>
      </c>
      <c r="T445" s="19">
        <f ca="1">IF('Stock Price'!$I$11="OK",G445/INDEX(G$5:G$1258,'Stock Price'!$I$9)-1,"")</f>
        <v>0.28315789473684205</v>
      </c>
      <c r="U445" s="19">
        <f ca="1">IF('Stock Price'!$I$11="OK",H445/INDEX(H$5:H$1258,'Stock Price'!$I$9)-1,"")</f>
        <v>2.395490840770309E-2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93.404799999999994</v>
      </c>
      <c r="C446" s="18">
        <v>131.25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-0.32579182907463544</v>
      </c>
      <c r="P446" s="19">
        <f ca="1">IF('Stock Price'!$I$11="OK",C446/INDEX(C$5:C$1258,'Stock Price'!$I$9)-1,"")</f>
        <v>-0.2815108799781032</v>
      </c>
      <c r="Q446" s="19">
        <f ca="1">IF('Stock Price'!$I$11="OK",D446/INDEX(D$5:D$1258,'Stock Price'!$I$9)-1,"")</f>
        <v>-0.3179528510981261</v>
      </c>
      <c r="R446" s="19">
        <f ca="1">IF('Stock Price'!$I$11="OK",E446/INDEX(E$5:E$1258,'Stock Price'!$I$9)-1,"")</f>
        <v>-0.27444120505345004</v>
      </c>
      <c r="S446" s="19">
        <f ca="1">IF('Stock Price'!$I$11="OK",F446/INDEX(F$5:F$1258,'Stock Price'!$I$9)-1,"")</f>
        <v>7.4642338793282192E-2</v>
      </c>
      <c r="T446" s="19">
        <f ca="1">IF('Stock Price'!$I$11="OK",G446/INDEX(G$5:G$1258,'Stock Price'!$I$9)-1,"")</f>
        <v>0.30355263157894719</v>
      </c>
      <c r="U446" s="19">
        <f ca="1">IF('Stock Price'!$I$11="OK",H446/INDEX(H$5:H$1258,'Stock Price'!$I$9)-1,"")</f>
        <v>3.2973226867073713E-2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93.994900000000001</v>
      </c>
      <c r="C447" s="18">
        <v>131.25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-0.32153240941244399</v>
      </c>
      <c r="P447" s="19">
        <f ca="1">IF('Stock Price'!$I$11="OK",C447/INDEX(C$5:C$1258,'Stock Price'!$I$9)-1,"")</f>
        <v>-0.2815108799781032</v>
      </c>
      <c r="Q447" s="19">
        <f ca="1">IF('Stock Price'!$I$11="OK",D447/INDEX(D$5:D$1258,'Stock Price'!$I$9)-1,"")</f>
        <v>-0.31251259318960312</v>
      </c>
      <c r="R447" s="19">
        <f ca="1">IF('Stock Price'!$I$11="OK",E447/INDEX(E$5:E$1258,'Stock Price'!$I$9)-1,"")</f>
        <v>-0.27074829931972788</v>
      </c>
      <c r="S447" s="19">
        <f ca="1">IF('Stock Price'!$I$11="OK",F447/INDEX(F$5:F$1258,'Stock Price'!$I$9)-1,"")</f>
        <v>7.2361600663487513E-2</v>
      </c>
      <c r="T447" s="19">
        <f ca="1">IF('Stock Price'!$I$11="OK",G447/INDEX(G$5:G$1258,'Stock Price'!$I$9)-1,"")</f>
        <v>0.3107894736842105</v>
      </c>
      <c r="U447" s="19">
        <f ca="1">IF('Stock Price'!$I$11="OK",H447/INDEX(H$5:H$1258,'Stock Price'!$I$9)-1,"")</f>
        <v>2.1136683889149799E-2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94.5077</v>
      </c>
      <c r="C448" s="18">
        <v>134.32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-0.31783095134979067</v>
      </c>
      <c r="P448" s="19">
        <f ca="1">IF('Stock Price'!$I$11="OK",C448/INDEX(C$5:C$1258,'Stock Price'!$I$9)-1,"")</f>
        <v>-0.26470507732311488</v>
      </c>
      <c r="Q448" s="19">
        <f ca="1">IF('Stock Price'!$I$11="OK",D448/INDEX(D$5:D$1258,'Stock Price'!$I$9)-1,"")</f>
        <v>-0.30485593391094101</v>
      </c>
      <c r="R448" s="19">
        <f ca="1">IF('Stock Price'!$I$11="OK",E448/INDEX(E$5:E$1258,'Stock Price'!$I$9)-1,"")</f>
        <v>-0.25558794946550056</v>
      </c>
      <c r="S448" s="19">
        <f ca="1">IF('Stock Price'!$I$11="OK",F448/INDEX(F$5:F$1258,'Stock Price'!$I$9)-1,"")</f>
        <v>7.4642338793282192E-2</v>
      </c>
      <c r="T448" s="19">
        <f ca="1">IF('Stock Price'!$I$11="OK",G448/INDEX(G$5:G$1258,'Stock Price'!$I$9)-1,"")</f>
        <v>0.31434210526315787</v>
      </c>
      <c r="U448" s="19">
        <f ca="1">IF('Stock Price'!$I$11="OK",H448/INDEX(H$5:H$1258,'Stock Price'!$I$9)-1,"")</f>
        <v>9.5819633630811474E-3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95.126800000000003</v>
      </c>
      <c r="C449" s="18">
        <v>133.59989999999999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-0.31336220586112307</v>
      </c>
      <c r="P449" s="19">
        <f ca="1">IF('Stock Price'!$I$11="OK",C449/INDEX(C$5:C$1258,'Stock Price'!$I$9)-1,"")</f>
        <v>-0.26864705077323126</v>
      </c>
      <c r="Q449" s="19">
        <f ca="1">IF('Stock Price'!$I$11="OK",D449/INDEX(D$5:D$1258,'Stock Price'!$I$9)-1,"")</f>
        <v>-0.29881120290147101</v>
      </c>
      <c r="R449" s="19">
        <f ca="1">IF('Stock Price'!$I$11="OK",E449/INDEX(E$5:E$1258,'Stock Price'!$I$9)-1,"")</f>
        <v>-0.24450923226433441</v>
      </c>
      <c r="S449" s="19">
        <f ca="1">IF('Stock Price'!$I$11="OK",F449/INDEX(F$5:F$1258,'Stock Price'!$I$9)-1,"")</f>
        <v>8.0655193862741115E-2</v>
      </c>
      <c r="T449" s="19">
        <f ca="1">IF('Stock Price'!$I$11="OK",G449/INDEX(G$5:G$1258,'Stock Price'!$I$9)-1,"")</f>
        <v>0.33236842105263165</v>
      </c>
      <c r="U449" s="19">
        <f ca="1">IF('Stock Price'!$I$11="OK",H449/INDEX(H$5:H$1258,'Stock Price'!$I$9)-1,"")</f>
        <v>-1.2212306247064708E-3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95.610500000000002</v>
      </c>
      <c r="C450" s="18">
        <v>138.62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-0.30987079543814056</v>
      </c>
      <c r="P450" s="19">
        <f ca="1">IF('Stock Price'!$I$11="OK",C450/INDEX(C$5:C$1258,'Stock Price'!$I$9)-1,"")</f>
        <v>-0.24116600520049269</v>
      </c>
      <c r="Q450" s="19">
        <f ca="1">IF('Stock Price'!$I$11="OK",D450/INDEX(D$5:D$1258,'Stock Price'!$I$9)-1,"")</f>
        <v>-0.30425146080999399</v>
      </c>
      <c r="R450" s="19">
        <f ca="1">IF('Stock Price'!$I$11="OK",E450/INDEX(E$5:E$1258,'Stock Price'!$I$9)-1,"")</f>
        <v>-0.23498542274052481</v>
      </c>
      <c r="S450" s="19">
        <f ca="1">IF('Stock Price'!$I$11="OK",F450/INDEX(F$5:F$1258,'Stock Price'!$I$9)-1,"")</f>
        <v>9.2266224341696068E-2</v>
      </c>
      <c r="T450" s="19">
        <f ca="1">IF('Stock Price'!$I$11="OK",G450/INDEX(G$5:G$1258,'Stock Price'!$I$9)-1,"")</f>
        <v>0.32394736842105276</v>
      </c>
      <c r="U450" s="19">
        <f ca="1">IF('Stock Price'!$I$11="OK",H450/INDEX(H$5:H$1258,'Stock Price'!$I$9)-1,"")</f>
        <v>8.3607327383747876E-3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95.716899999999995</v>
      </c>
      <c r="C451" s="18">
        <v>135.78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-0.30910278619893172</v>
      </c>
      <c r="P451" s="19">
        <f ca="1">IF('Stock Price'!$I$11="OK",C451/INDEX(C$5:C$1258,'Stock Price'!$I$9)-1,"")</f>
        <v>-0.25671274120706178</v>
      </c>
      <c r="Q451" s="19">
        <f ca="1">IF('Stock Price'!$I$11="OK",D451/INDEX(D$5:D$1258,'Stock Price'!$I$9)-1,"")</f>
        <v>-0.30465444287729204</v>
      </c>
      <c r="R451" s="19">
        <f ca="1">IF('Stock Price'!$I$11="OK",E451/INDEX(E$5:E$1258,'Stock Price'!$I$9)-1,"")</f>
        <v>-0.24450923226433441</v>
      </c>
      <c r="S451" s="19">
        <f ca="1">IF('Stock Price'!$I$11="OK",F451/INDEX(F$5:F$1258,'Stock Price'!$I$9)-1,"")</f>
        <v>9.6620360771304314E-2</v>
      </c>
      <c r="T451" s="19">
        <f ca="1">IF('Stock Price'!$I$11="OK",G451/INDEX(G$5:G$1258,'Stock Price'!$I$9)-1,"")</f>
        <v>0.32157894736842096</v>
      </c>
      <c r="U451" s="19">
        <f ca="1">IF('Stock Price'!$I$11="OK",H451/INDEX(H$5:H$1258,'Stock Price'!$I$9)-1,"")</f>
        <v>-8.2667919210898111E-3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100.08969999999999</v>
      </c>
      <c r="C452" s="18">
        <v>134.44999999999999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-0.27753933881911363</v>
      </c>
      <c r="P452" s="19">
        <f ca="1">IF('Stock Price'!$I$11="OK",C452/INDEX(C$5:C$1258,'Stock Price'!$I$9)-1,"")</f>
        <v>-0.26399343095661709</v>
      </c>
      <c r="Q452" s="19">
        <f ca="1">IF('Stock Price'!$I$11="OK",D452/INDEX(D$5:D$1258,'Stock Price'!$I$9)-1,"")</f>
        <v>-0.29881120290147101</v>
      </c>
      <c r="R452" s="19">
        <f ca="1">IF('Stock Price'!$I$11="OK",E452/INDEX(E$5:E$1258,'Stock Price'!$I$9)-1,"")</f>
        <v>-0.23790087463556853</v>
      </c>
      <c r="S452" s="19">
        <f ca="1">IF('Stock Price'!$I$11="OK",F452/INDEX(F$5:F$1258,'Stock Price'!$I$9)-1,"")</f>
        <v>0.11403690648973663</v>
      </c>
      <c r="T452" s="19">
        <f ca="1">IF('Stock Price'!$I$11="OK",G452/INDEX(G$5:G$1258,'Stock Price'!$I$9)-1,"")</f>
        <v>0.35263157894736841</v>
      </c>
      <c r="U452" s="19">
        <f ca="1">IF('Stock Price'!$I$11="OK",H452/INDEX(H$5:H$1258,'Stock Price'!$I$9)-1,"")</f>
        <v>-4.6970408642554862E-3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99.857500000000002</v>
      </c>
      <c r="C453" s="18">
        <v>137.06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-0.27921538905731191</v>
      </c>
      <c r="P453" s="19">
        <f ca="1">IF('Stock Price'!$I$11="OK",C453/INDEX(C$5:C$1258,'Stock Price'!$I$9)-1,"")</f>
        <v>-0.24970576159846725</v>
      </c>
      <c r="Q453" s="19">
        <f ca="1">IF('Stock Price'!$I$11="OK",D453/INDEX(D$5:D$1258,'Stock Price'!$I$9)-1,"")</f>
        <v>-0.29095305258915982</v>
      </c>
      <c r="R453" s="19">
        <f ca="1">IF('Stock Price'!$I$11="OK",E453/INDEX(E$5:E$1258,'Stock Price'!$I$9)-1,"")</f>
        <v>-0.23420796890184647</v>
      </c>
      <c r="S453" s="19">
        <f ca="1">IF('Stock Price'!$I$11="OK",F453/INDEX(F$5:F$1258,'Stock Price'!$I$9)-1,"")</f>
        <v>0.11486626580966219</v>
      </c>
      <c r="T453" s="19">
        <f ca="1">IF('Stock Price'!$I$11="OK",G453/INDEX(G$5:G$1258,'Stock Price'!$I$9)-1,"")</f>
        <v>0.35157894736842099</v>
      </c>
      <c r="U453" s="19">
        <f ca="1">IF('Stock Price'!$I$11="OK",H453/INDEX(H$5:H$1258,'Stock Price'!$I$9)-1,"")</f>
        <v>-4.6970408642554862E-3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101.70529999999999</v>
      </c>
      <c r="C454" s="18">
        <v>138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-0.2658777248448102</v>
      </c>
      <c r="P454" s="19">
        <f ca="1">IF('Stock Price'!$I$11="OK",C454/INDEX(C$5:C$1258,'Stock Price'!$I$9)-1,"")</f>
        <v>-0.24456001094840574</v>
      </c>
      <c r="Q454" s="19">
        <f ca="1">IF('Stock Price'!$I$11="OK",D454/INDEX(D$5:D$1258,'Stock Price'!$I$9)-1,"")</f>
        <v>-0.28067700987306066</v>
      </c>
      <c r="R454" s="19">
        <f ca="1">IF('Stock Price'!$I$11="OK",E454/INDEX(E$5:E$1258,'Stock Price'!$I$9)-1,"")</f>
        <v>-0.2324586977648202</v>
      </c>
      <c r="S454" s="19">
        <f ca="1">IF('Stock Price'!$I$11="OK",F454/INDEX(F$5:F$1258,'Stock Price'!$I$9)-1,"")</f>
        <v>0.13456354965788941</v>
      </c>
      <c r="T454" s="19">
        <f ca="1">IF('Stock Price'!$I$11="OK",G454/INDEX(G$5:G$1258,'Stock Price'!$I$9)-1,"")</f>
        <v>0.37263157894736842</v>
      </c>
      <c r="U454" s="19">
        <f ca="1">IF('Stock Price'!$I$11="OK",H454/INDEX(H$5:H$1258,'Stock Price'!$I$9)-1,"")</f>
        <v>1.8882104274307032E-2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101.58920000000001</v>
      </c>
      <c r="C455" s="18">
        <v>136.91990000000001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-0.26671574996390923</v>
      </c>
      <c r="P455" s="19">
        <f ca="1">IF('Stock Price'!$I$11="OK",C455/INDEX(C$5:C$1258,'Stock Price'!$I$9)-1,"")</f>
        <v>-0.25047269741343914</v>
      </c>
      <c r="Q455" s="19">
        <f ca="1">IF('Stock Price'!$I$11="OK",D455/INDEX(D$5:D$1258,'Stock Price'!$I$9)-1,"")</f>
        <v>-0.27966955470481569</v>
      </c>
      <c r="R455" s="19">
        <f ca="1">IF('Stock Price'!$I$11="OK",E455/INDEX(E$5:E$1258,'Stock Price'!$I$9)-1,"")</f>
        <v>-0.22643343051506326</v>
      </c>
      <c r="S455" s="19">
        <f ca="1">IF('Stock Price'!$I$11="OK",F455/INDEX(F$5:F$1258,'Stock Price'!$I$9)-1,"")</f>
        <v>0.13933236574746033</v>
      </c>
      <c r="T455" s="19">
        <f ca="1">IF('Stock Price'!$I$11="OK",G455/INDEX(G$5:G$1258,'Stock Price'!$I$9)-1,"")</f>
        <v>0.36684210526315786</v>
      </c>
      <c r="U455" s="19">
        <f ca="1">IF('Stock Price'!$I$11="OK",H455/INDEX(H$5:H$1258,'Stock Price'!$I$9)-1,"")</f>
        <v>3.7012682010333364E-2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100.6992</v>
      </c>
      <c r="C456" s="18">
        <v>139.28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-0.27313988739714157</v>
      </c>
      <c r="P456" s="19">
        <f ca="1">IF('Stock Price'!$I$11="OK",C456/INDEX(C$5:C$1258,'Stock Price'!$I$9)-1,"")</f>
        <v>-0.2375530313398112</v>
      </c>
      <c r="Q456" s="19">
        <f ca="1">IF('Stock Price'!$I$11="OK",D456/INDEX(D$5:D$1258,'Stock Price'!$I$9)-1,"")</f>
        <v>-0.28007253677211374</v>
      </c>
      <c r="R456" s="19">
        <f ca="1">IF('Stock Price'!$I$11="OK",E456/INDEX(E$5:E$1258,'Stock Price'!$I$9)-1,"")</f>
        <v>-0.23712342079689019</v>
      </c>
      <c r="S456" s="19">
        <f ca="1">IF('Stock Price'!$I$11="OK",F456/INDEX(F$5:F$1258,'Stock Price'!$I$9)-1,"")</f>
        <v>0.11797636325938221</v>
      </c>
      <c r="T456" s="19">
        <f ca="1">IF('Stock Price'!$I$11="OK",G456/INDEX(G$5:G$1258,'Stock Price'!$I$9)-1,"")</f>
        <v>0.35499999999999998</v>
      </c>
      <c r="U456" s="19">
        <f ca="1">IF('Stock Price'!$I$11="OK",H456/INDEX(H$5:H$1258,'Stock Price'!$I$9)-1,"")</f>
        <v>2.1982151244715809E-2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101.4054</v>
      </c>
      <c r="C457" s="18">
        <v>137.09989999999999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-0.26804244261585097</v>
      </c>
      <c r="P457" s="19">
        <f ca="1">IF('Stock Price'!$I$11="OK",C457/INDEX(C$5:C$1258,'Stock Price'!$I$9)-1,"")</f>
        <v>-0.24948734090598068</v>
      </c>
      <c r="Q457" s="19">
        <f ca="1">IF('Stock Price'!$I$11="OK",D457/INDEX(D$5:D$1258,'Stock Price'!$I$9)-1,"")</f>
        <v>-0.28067700987306066</v>
      </c>
      <c r="R457" s="19">
        <f ca="1">IF('Stock Price'!$I$11="OK",E457/INDEX(E$5:E$1258,'Stock Price'!$I$9)-1,"")</f>
        <v>-0.23595724003887264</v>
      </c>
      <c r="S457" s="19">
        <f ca="1">IF('Stock Price'!$I$11="OK",F457/INDEX(F$5:F$1258,'Stock Price'!$I$9)-1,"")</f>
        <v>0.11486626580966219</v>
      </c>
      <c r="T457" s="19">
        <f ca="1">IF('Stock Price'!$I$11="OK",G457/INDEX(G$5:G$1258,'Stock Price'!$I$9)-1,"")</f>
        <v>0.36131578947368403</v>
      </c>
      <c r="U457" s="19">
        <f ca="1">IF('Stock Price'!$I$11="OK",H457/INDEX(H$5:H$1258,'Stock Price'!$I$9)-1,"")</f>
        <v>1.0145608266791895E-2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100.5057</v>
      </c>
      <c r="C458" s="18">
        <v>140.5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-0.2745365959289735</v>
      </c>
      <c r="P458" s="19">
        <f ca="1">IF('Stock Price'!$I$11="OK",C458/INDEX(C$5:C$1258,'Stock Price'!$I$9)-1,"")</f>
        <v>-0.23087450390036957</v>
      </c>
      <c r="Q458" s="19">
        <f ca="1">IF('Stock Price'!$I$11="OK",D458/INDEX(D$5:D$1258,'Stock Price'!$I$9)-1,"")</f>
        <v>-0.27725166230102771</v>
      </c>
      <c r="R458" s="19">
        <f ca="1">IF('Stock Price'!$I$11="OK",E458/INDEX(E$5:E$1258,'Stock Price'!$I$9)-1,"")</f>
        <v>-0.23906705539358608</v>
      </c>
      <c r="S458" s="19">
        <f ca="1">IF('Stock Price'!$I$11="OK",F458/INDEX(F$5:F$1258,'Stock Price'!$I$9)-1,"")</f>
        <v>0.10947543023014727</v>
      </c>
      <c r="T458" s="19">
        <f ca="1">IF('Stock Price'!$I$11="OK",G458/INDEX(G$5:G$1258,'Stock Price'!$I$9)-1,"")</f>
        <v>0.35578947368421066</v>
      </c>
      <c r="U458" s="19">
        <f ca="1">IF('Stock Price'!$I$11="OK",H458/INDEX(H$5:H$1258,'Stock Price'!$I$9)-1,"")</f>
        <v>6.4819163926725931E-3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100.44759999999999</v>
      </c>
      <c r="C459" s="18">
        <v>140.44999999999999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-0.27495596939512057</v>
      </c>
      <c r="P459" s="19">
        <f ca="1">IF('Stock Price'!$I$11="OK",C459/INDEX(C$5:C$1258,'Stock Price'!$I$9)-1,"")</f>
        <v>-0.23114821404133035</v>
      </c>
      <c r="Q459" s="19">
        <f ca="1">IF('Stock Price'!$I$11="OK",D459/INDEX(D$5:D$1258,'Stock Price'!$I$9)-1,"")</f>
        <v>-0.27725166230102771</v>
      </c>
      <c r="R459" s="19">
        <f ca="1">IF('Stock Price'!$I$11="OK",E459/INDEX(E$5:E$1258,'Stock Price'!$I$9)-1,"")</f>
        <v>-0.24450923226433441</v>
      </c>
      <c r="S459" s="19">
        <f ca="1">IF('Stock Price'!$I$11="OK",F459/INDEX(F$5:F$1258,'Stock Price'!$I$9)-1,"")</f>
        <v>0.11009744972009128</v>
      </c>
      <c r="T459" s="19">
        <f ca="1">IF('Stock Price'!$I$11="OK",G459/INDEX(G$5:G$1258,'Stock Price'!$I$9)-1,"")</f>
        <v>0.37578947368421045</v>
      </c>
      <c r="U459" s="19">
        <f ca="1">IF('Stock Price'!$I$11="OK",H459/INDEX(H$5:H$1258,'Stock Price'!$I$9)-1,"")</f>
        <v>-1.1085016439643103E-2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100.78619999999999</v>
      </c>
      <c r="C460" s="18">
        <v>140.84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-0.27251190991771335</v>
      </c>
      <c r="P460" s="19">
        <f ca="1">IF('Stock Price'!$I$11="OK",C460/INDEX(C$5:C$1258,'Stock Price'!$I$9)-1,"")</f>
        <v>-0.22901327494183665</v>
      </c>
      <c r="Q460" s="19">
        <f ca="1">IF('Stock Price'!$I$11="OK",D460/INDEX(D$5:D$1258,'Stock Price'!$I$9)-1,"")</f>
        <v>-0.28591577674793478</v>
      </c>
      <c r="R460" s="19">
        <f ca="1">IF('Stock Price'!$I$11="OK",E460/INDEX(E$5:E$1258,'Stock Price'!$I$9)-1,"")</f>
        <v>-0.2493683187560739</v>
      </c>
      <c r="S460" s="19">
        <f ca="1">IF('Stock Price'!$I$11="OK",F460/INDEX(F$5:F$1258,'Stock Price'!$I$9)-1,"")</f>
        <v>8.8119427742069156E-2</v>
      </c>
      <c r="T460" s="19">
        <f ca="1">IF('Stock Price'!$I$11="OK",G460/INDEX(G$5:G$1258,'Stock Price'!$I$9)-1,"")</f>
        <v>0.3789473684210527</v>
      </c>
      <c r="U460" s="19">
        <f ca="1">IF('Stock Price'!$I$11="OK",H460/INDEX(H$5:H$1258,'Stock Price'!$I$9)-1,"")</f>
        <v>-1.0333489901361848E-3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101.4828</v>
      </c>
      <c r="C461" s="18">
        <v>144.82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-0.26748375920311818</v>
      </c>
      <c r="P461" s="19">
        <f ca="1">IF('Stock Price'!$I$11="OK",C461/INDEX(C$5:C$1258,'Stock Price'!$I$9)-1,"")</f>
        <v>-0.20722594772136316</v>
      </c>
      <c r="Q461" s="19">
        <f ca="1">IF('Stock Price'!$I$11="OK",D461/INDEX(D$5:D$1258,'Stock Price'!$I$9)-1,"")</f>
        <v>-0.28329639331049772</v>
      </c>
      <c r="R461" s="19">
        <f ca="1">IF('Stock Price'!$I$11="OK",E461/INDEX(E$5:E$1258,'Stock Price'!$I$9)-1,"")</f>
        <v>-0.24781341107871724</v>
      </c>
      <c r="S461" s="19">
        <f ca="1">IF('Stock Price'!$I$11="OK",F461/INDEX(F$5:F$1258,'Stock Price'!$I$9)-1,"")</f>
        <v>0.10657267261040837</v>
      </c>
      <c r="T461" s="19">
        <f ca="1">IF('Stock Price'!$I$11="OK",G461/INDEX(G$5:G$1258,'Stock Price'!$I$9)-1,"")</f>
        <v>0.39842105263157901</v>
      </c>
      <c r="U461" s="19">
        <f ca="1">IF('Stock Price'!$I$11="OK",H461/INDEX(H$5:H$1258,'Stock Price'!$I$9)-1,"")</f>
        <v>1.8788163457021945E-3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99.954300000000003</v>
      </c>
      <c r="C462" s="18">
        <v>142.85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-0.2785166738847985</v>
      </c>
      <c r="P462" s="19">
        <f ca="1">IF('Stock Price'!$I$11="OK",C462/INDEX(C$5:C$1258,'Stock Price'!$I$9)-1,"")</f>
        <v>-0.21801012727521563</v>
      </c>
      <c r="Q462" s="19">
        <f ca="1">IF('Stock Price'!$I$11="OK",D462/INDEX(D$5:D$1258,'Stock Price'!$I$9)-1,"")</f>
        <v>-0.29619181946403395</v>
      </c>
      <c r="R462" s="19">
        <f ca="1">IF('Stock Price'!$I$11="OK",E462/INDEX(E$5:E$1258,'Stock Price'!$I$9)-1,"")</f>
        <v>-0.25558794946550056</v>
      </c>
      <c r="S462" s="19">
        <f ca="1">IF('Stock Price'!$I$11="OK",F462/INDEX(F$5:F$1258,'Stock Price'!$I$9)-1,"")</f>
        <v>0.100145137880987</v>
      </c>
      <c r="T462" s="19">
        <f ca="1">IF('Stock Price'!$I$11="OK",G462/INDEX(G$5:G$1258,'Stock Price'!$I$9)-1,"")</f>
        <v>0.3939473684210526</v>
      </c>
      <c r="U462" s="19">
        <f ca="1">IF('Stock Price'!$I$11="OK",H462/INDEX(H$5:H$1258,'Stock Price'!$I$9)-1,"")</f>
        <v>-1.0991075622357904E-2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99.402799999999999</v>
      </c>
      <c r="C463" s="18">
        <v>139.125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-0.28249747365381839</v>
      </c>
      <c r="P463" s="19">
        <f ca="1">IF('Stock Price'!$I$11="OK",C463/INDEX(C$5:C$1258,'Stock Price'!$I$9)-1,"")</f>
        <v>-0.23840153277678944</v>
      </c>
      <c r="Q463" s="19">
        <f ca="1">IF('Stock Price'!$I$11="OK",D463/INDEX(D$5:D$1258,'Stock Price'!$I$9)-1,"")</f>
        <v>-0.30223655047350395</v>
      </c>
      <c r="R463" s="19">
        <f ca="1">IF('Stock Price'!$I$11="OK",E463/INDEX(E$5:E$1258,'Stock Price'!$I$9)-1,"")</f>
        <v>-0.25578231292517017</v>
      </c>
      <c r="S463" s="19">
        <f ca="1">IF('Stock Price'!$I$11="OK",F463/INDEX(F$5:F$1258,'Stock Price'!$I$9)-1,"")</f>
        <v>6.759278457391682E-2</v>
      </c>
      <c r="T463" s="19">
        <f ca="1">IF('Stock Price'!$I$11="OK",G463/INDEX(G$5:G$1258,'Stock Price'!$I$9)-1,"")</f>
        <v>0.36842105263157898</v>
      </c>
      <c r="U463" s="19">
        <f ca="1">IF('Stock Price'!$I$11="OK",H463/INDEX(H$5:H$1258,'Stock Price'!$I$9)-1,"")</f>
        <v>-7.0455612963832293E-3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98.715999999999994</v>
      </c>
      <c r="C464" s="18">
        <v>139.01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-0.28745488667532848</v>
      </c>
      <c r="P464" s="19">
        <f ca="1">IF('Stock Price'!$I$11="OK",C464/INDEX(C$5:C$1258,'Stock Price'!$I$9)-1,"")</f>
        <v>-0.23903106610099911</v>
      </c>
      <c r="Q464" s="19">
        <f ca="1">IF('Stock Price'!$I$11="OK",D464/INDEX(D$5:D$1258,'Stock Price'!$I$9)-1,"")</f>
        <v>-0.31150513802135804</v>
      </c>
      <c r="R464" s="19">
        <f ca="1">IF('Stock Price'!$I$11="OK",E464/INDEX(E$5:E$1258,'Stock Price'!$I$9)-1,"")</f>
        <v>-0.26044703595724017</v>
      </c>
      <c r="S464" s="19">
        <f ca="1">IF('Stock Price'!$I$11="OK",F464/INDEX(F$5:F$1258,'Stock Price'!$I$9)-1,"")</f>
        <v>5.6396433754924535E-2</v>
      </c>
      <c r="T464" s="19">
        <f ca="1">IF('Stock Price'!$I$11="OK",G464/INDEX(G$5:G$1258,'Stock Price'!$I$9)-1,"")</f>
        <v>0.35763157894736852</v>
      </c>
      <c r="U464" s="19">
        <f ca="1">IF('Stock Price'!$I$11="OK",H464/INDEX(H$5:H$1258,'Stock Price'!$I$9)-1,"")</f>
        <v>-6.7637388445279667E-3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98.483800000000002</v>
      </c>
      <c r="C465" s="18">
        <v>140.24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-0.28913093691352676</v>
      </c>
      <c r="P465" s="19">
        <f ca="1">IF('Stock Price'!$I$11="OK",C465/INDEX(C$5:C$1258,'Stock Price'!$I$9)-1,"")</f>
        <v>-0.23229779663336525</v>
      </c>
      <c r="Q465" s="19">
        <f ca="1">IF('Stock Price'!$I$11="OK",D465/INDEX(D$5:D$1258,'Stock Price'!$I$9)-1,"")</f>
        <v>-0.30727382631472899</v>
      </c>
      <c r="R465" s="19">
        <f ca="1">IF('Stock Price'!$I$11="OK",E465/INDEX(E$5:E$1258,'Stock Price'!$I$9)-1,"")</f>
        <v>-0.26569484936831878</v>
      </c>
      <c r="S465" s="19">
        <f ca="1">IF('Stock Price'!$I$11="OK",F465/INDEX(F$5:F$1258,'Stock Price'!$I$9)-1,"")</f>
        <v>7.0910221853618172E-2</v>
      </c>
      <c r="T465" s="19">
        <f ca="1">IF('Stock Price'!$I$11="OK",G465/INDEX(G$5:G$1258,'Stock Price'!$I$9)-1,"")</f>
        <v>0.35842105263157897</v>
      </c>
      <c r="U465" s="19">
        <f ca="1">IF('Stock Price'!$I$11="OK",H465/INDEX(H$5:H$1258,'Stock Price'!$I$9)-1,"")</f>
        <v>-1.3621418506341021E-2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99.4512</v>
      </c>
      <c r="C466" s="18">
        <v>141.28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-0.28214811606756163</v>
      </c>
      <c r="P466" s="19">
        <f ca="1">IF('Stock Price'!$I$11="OK",C466/INDEX(C$5:C$1258,'Stock Price'!$I$9)-1,"")</f>
        <v>-0.22660462570138229</v>
      </c>
      <c r="Q466" s="19">
        <f ca="1">IF('Stock Price'!$I$11="OK",D466/INDEX(D$5:D$1258,'Stock Price'!$I$9)-1,"")</f>
        <v>-0.30203505943985498</v>
      </c>
      <c r="R466" s="19">
        <f ca="1">IF('Stock Price'!$I$11="OK",E466/INDEX(E$5:E$1258,'Stock Price'!$I$9)-1,"")</f>
        <v>-0.26375121477162289</v>
      </c>
      <c r="S466" s="19">
        <f ca="1">IF('Stock Price'!$I$11="OK",F466/INDEX(F$5:F$1258,'Stock Price'!$I$9)-1,"")</f>
        <v>7.8996475222890439E-2</v>
      </c>
      <c r="T466" s="19">
        <f ca="1">IF('Stock Price'!$I$11="OK",G466/INDEX(G$5:G$1258,'Stock Price'!$I$9)-1,"")</f>
        <v>0.37815789473684203</v>
      </c>
      <c r="U466" s="19">
        <f ca="1">IF('Stock Price'!$I$11="OK",H466/INDEX(H$5:H$1258,'Stock Price'!$I$9)-1,"")</f>
        <v>-3.3818694222639278E-3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99.693100000000001</v>
      </c>
      <c r="C467" s="18">
        <v>141.35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-0.28040204994947304</v>
      </c>
      <c r="P467" s="19">
        <f ca="1">IF('Stock Price'!$I$11="OK",C467/INDEX(C$5:C$1258,'Stock Price'!$I$9)-1,"")</f>
        <v>-0.22622143150403728</v>
      </c>
      <c r="Q467" s="19">
        <f ca="1">IF('Stock Price'!$I$11="OK",D467/INDEX(D$5:D$1258,'Stock Price'!$I$9)-1,"")</f>
        <v>-0.29518436429578898</v>
      </c>
      <c r="R467" s="19">
        <f ca="1">IF('Stock Price'!$I$11="OK",E467/INDEX(E$5:E$1258,'Stock Price'!$I$9)-1,"")</f>
        <v>-0.26200194363459672</v>
      </c>
      <c r="S467" s="19">
        <f ca="1">IF('Stock Price'!$I$11="OK",F467/INDEX(F$5:F$1258,'Stock Price'!$I$9)-1,"")</f>
        <v>9.1851544681733399E-2</v>
      </c>
      <c r="T467" s="19">
        <f ca="1">IF('Stock Price'!$I$11="OK",G467/INDEX(G$5:G$1258,'Stock Price'!$I$9)-1,"")</f>
        <v>0.37684210526315787</v>
      </c>
      <c r="U467" s="19">
        <f ca="1">IF('Stock Price'!$I$11="OK",H467/INDEX(H$5:H$1258,'Stock Price'!$I$9)-1,"")</f>
        <v>-3.757632691404611E-4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99.9833</v>
      </c>
      <c r="C468" s="18">
        <v>141.35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-0.27830734805832247</v>
      </c>
      <c r="P468" s="19">
        <f ca="1">IF('Stock Price'!$I$11="OK",C468/INDEX(C$5:C$1258,'Stock Price'!$I$9)-1,"")</f>
        <v>-0.22622143150403728</v>
      </c>
      <c r="Q468" s="19">
        <f ca="1">IF('Stock Price'!$I$11="OK",D468/INDEX(D$5:D$1258,'Stock Price'!$I$9)-1,"")</f>
        <v>-0.29115454362280879</v>
      </c>
      <c r="R468" s="19">
        <f ca="1">IF('Stock Price'!$I$11="OK",E468/INDEX(E$5:E$1258,'Stock Price'!$I$9)-1,"")</f>
        <v>-0.26569484936831878</v>
      </c>
      <c r="S468" s="19">
        <f ca="1">IF('Stock Price'!$I$11="OK",F468/INDEX(F$5:F$1258,'Stock Price'!$I$9)-1,"")</f>
        <v>0.10346257516068835</v>
      </c>
      <c r="T468" s="19">
        <f ca="1">IF('Stock Price'!$I$11="OK",G468/INDEX(G$5:G$1258,'Stock Price'!$I$9)-1,"")</f>
        <v>0.36894736842105269</v>
      </c>
      <c r="U468" s="19">
        <f ca="1">IF('Stock Price'!$I$11="OK",H468/INDEX(H$5:H$1258,'Stock Price'!$I$9)-1,"")</f>
        <v>-3.2879286049789513E-3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99.925200000000004</v>
      </c>
      <c r="C469" s="18">
        <v>137.94999999999999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-0.27872672152446942</v>
      </c>
      <c r="P469" s="19">
        <f ca="1">IF('Stock Price'!$I$11="OK",C469/INDEX(C$5:C$1258,'Stock Price'!$I$9)-1,"")</f>
        <v>-0.24483372108936652</v>
      </c>
      <c r="Q469" s="19">
        <f ca="1">IF('Stock Price'!$I$11="OK",D469/INDEX(D$5:D$1258,'Stock Price'!$I$9)-1,"")</f>
        <v>-0.29316945395929883</v>
      </c>
      <c r="R469" s="19">
        <f ca="1">IF('Stock Price'!$I$11="OK",E469/INDEX(E$5:E$1258,'Stock Price'!$I$9)-1,"")</f>
        <v>-0.26413994169096211</v>
      </c>
      <c r="S469" s="19">
        <f ca="1">IF('Stock Price'!$I$11="OK",F469/INDEX(F$5:F$1258,'Stock Price'!$I$9)-1,"")</f>
        <v>0.1132075471698113</v>
      </c>
      <c r="T469" s="19">
        <f ca="1">IF('Stock Price'!$I$11="OK",G469/INDEX(G$5:G$1258,'Stock Price'!$I$9)-1,"")</f>
        <v>0.38657894736842091</v>
      </c>
      <c r="U469" s="19">
        <f ca="1">IF('Stock Price'!$I$11="OK",H469/INDEX(H$5:H$1258,'Stock Price'!$I$9)-1,"")</f>
        <v>-8.2667919210898111E-3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100.21550000000001</v>
      </c>
      <c r="C470" s="18">
        <v>141.52000000000001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-0.27663129782012408</v>
      </c>
      <c r="P470" s="19">
        <f ca="1">IF('Stock Price'!$I$11="OK",C470/INDEX(C$5:C$1258,'Stock Price'!$I$9)-1,"")</f>
        <v>-0.22529081702477072</v>
      </c>
      <c r="Q470" s="19">
        <f ca="1">IF('Stock Price'!$I$11="OK",D470/INDEX(D$5:D$1258,'Stock Price'!$I$9)-1,"")</f>
        <v>-0.28813217811807379</v>
      </c>
      <c r="R470" s="19">
        <f ca="1">IF('Stock Price'!$I$11="OK",E470/INDEX(E$5:E$1258,'Stock Price'!$I$9)-1,"")</f>
        <v>-0.26316812439261428</v>
      </c>
      <c r="S470" s="19">
        <f ca="1">IF('Stock Price'!$I$11="OK",F470/INDEX(F$5:F$1258,'Stock Price'!$I$9)-1,"")</f>
        <v>0.10989010989010994</v>
      </c>
      <c r="T470" s="19">
        <f ca="1">IF('Stock Price'!$I$11="OK",G470/INDEX(G$5:G$1258,'Stock Price'!$I$9)-1,"")</f>
        <v>0.38342105263157888</v>
      </c>
      <c r="U470" s="19">
        <f ca="1">IF('Stock Price'!$I$11="OK",H470/INDEX(H$5:H$1258,'Stock Price'!$I$9)-1,"")</f>
        <v>9.3001409112258848E-3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100.0026</v>
      </c>
      <c r="C471" s="18">
        <v>143.19999999999999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-0.27816803811173663</v>
      </c>
      <c r="P471" s="19">
        <f ca="1">IF('Stock Price'!$I$11="OK",C471/INDEX(C$5:C$1258,'Stock Price'!$I$9)-1,"")</f>
        <v>-0.2160941562884906</v>
      </c>
      <c r="Q471" s="19">
        <f ca="1">IF('Stock Price'!$I$11="OK",D471/INDEX(D$5:D$1258,'Stock Price'!$I$9)-1,"")</f>
        <v>-0.28591577674793478</v>
      </c>
      <c r="R471" s="19">
        <f ca="1">IF('Stock Price'!$I$11="OK",E471/INDEX(E$5:E$1258,'Stock Price'!$I$9)-1,"")</f>
        <v>-0.26647230320699711</v>
      </c>
      <c r="S471" s="19">
        <f ca="1">IF('Stock Price'!$I$11="OK",F471/INDEX(F$5:F$1258,'Stock Price'!$I$9)-1,"")</f>
        <v>0.10470661414057658</v>
      </c>
      <c r="T471" s="19">
        <f ca="1">IF('Stock Price'!$I$11="OK",G471/INDEX(G$5:G$1258,'Stock Price'!$I$9)-1,"")</f>
        <v>0.38710526315789484</v>
      </c>
      <c r="U471" s="19">
        <f ca="1">IF('Stock Price'!$I$11="OK",H471/INDEX(H$5:H$1258,'Stock Price'!$I$9)-1,"")</f>
        <v>2.3109441052137081E-2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99.248000000000005</v>
      </c>
      <c r="C472" s="18">
        <v>137.56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-0.28361484047928387</v>
      </c>
      <c r="P472" s="19">
        <f ca="1">IF('Stock Price'!$I$11="OK",C472/INDEX(C$5:C$1258,'Stock Price'!$I$9)-1,"")</f>
        <v>-0.24696866018885999</v>
      </c>
      <c r="Q472" s="19">
        <f ca="1">IF('Stock Price'!$I$11="OK",D472/INDEX(D$5:D$1258,'Stock Price'!$I$9)-1,"")</f>
        <v>-0.28954261535361681</v>
      </c>
      <c r="R472" s="19">
        <f ca="1">IF('Stock Price'!$I$11="OK",E472/INDEX(E$5:E$1258,'Stock Price'!$I$9)-1,"")</f>
        <v>-0.27716229348882415</v>
      </c>
      <c r="S472" s="19">
        <f ca="1">IF('Stock Price'!$I$11="OK",F472/INDEX(F$5:F$1258,'Stock Price'!$I$9)-1,"")</f>
        <v>9.4754302301472082E-2</v>
      </c>
      <c r="T472" s="19">
        <f ca="1">IF('Stock Price'!$I$11="OK",G472/INDEX(G$5:G$1258,'Stock Price'!$I$9)-1,"")</f>
        <v>0.36499999999999999</v>
      </c>
      <c r="U472" s="19">
        <f ca="1">IF('Stock Price'!$I$11="OK",H472/INDEX(H$5:H$1258,'Stock Price'!$I$9)-1,"")</f>
        <v>2.0760920620009227E-2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98.783699999999996</v>
      </c>
      <c r="C473" s="18">
        <v>137.56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-0.28696621914248588</v>
      </c>
      <c r="P473" s="19">
        <f ca="1">IF('Stock Price'!$I$11="OK",C473/INDEX(C$5:C$1258,'Stock Price'!$I$9)-1,"")</f>
        <v>-0.24696866018885999</v>
      </c>
      <c r="Q473" s="19">
        <f ca="1">IF('Stock Price'!$I$11="OK",D473/INDEX(D$5:D$1258,'Stock Price'!$I$9)-1,"")</f>
        <v>-0.29377392706024597</v>
      </c>
      <c r="R473" s="19">
        <f ca="1">IF('Stock Price'!$I$11="OK",E473/INDEX(E$5:E$1258,'Stock Price'!$I$9)-1,"")</f>
        <v>-0.28435374149659864</v>
      </c>
      <c r="S473" s="19">
        <f ca="1">IF('Stock Price'!$I$11="OK",F473/INDEX(F$5:F$1258,'Stock Price'!$I$9)-1,"")</f>
        <v>8.6875388762181371E-2</v>
      </c>
      <c r="T473" s="19">
        <f ca="1">IF('Stock Price'!$I$11="OK",G473/INDEX(G$5:G$1258,'Stock Price'!$I$9)-1,"")</f>
        <v>0.34210526315789469</v>
      </c>
      <c r="U473" s="19">
        <f ca="1">IF('Stock Price'!$I$11="OK",H473/INDEX(H$5:H$1258,'Stock Price'!$I$9)-1,"")</f>
        <v>2.1418506341005283E-2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98.4161</v>
      </c>
      <c r="C474" s="18">
        <v>137.47489999999999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-0.28961960444636925</v>
      </c>
      <c r="P474" s="19">
        <f ca="1">IF('Stock Price'!$I$11="OK",C474/INDEX(C$5:C$1258,'Stock Price'!$I$9)-1,"")</f>
        <v>-0.24743451484877521</v>
      </c>
      <c r="Q474" s="19">
        <f ca="1">IF('Stock Price'!$I$11="OK",D474/INDEX(D$5:D$1258,'Stock Price'!$I$9)-1,"")</f>
        <v>-0.29760225669957696</v>
      </c>
      <c r="R474" s="19">
        <f ca="1">IF('Stock Price'!$I$11="OK",E474/INDEX(E$5:E$1258,'Stock Price'!$I$9)-1,"")</f>
        <v>-0.28688046647230325</v>
      </c>
      <c r="S474" s="19">
        <f ca="1">IF('Stock Price'!$I$11="OK",F474/INDEX(F$5:F$1258,'Stock Price'!$I$9)-1,"")</f>
        <v>9.7449720091229652E-2</v>
      </c>
      <c r="T474" s="19">
        <f ca="1">IF('Stock Price'!$I$11="OK",G474/INDEX(G$5:G$1258,'Stock Price'!$I$9)-1,"")</f>
        <v>0.35078947368421054</v>
      </c>
      <c r="U474" s="19">
        <f ca="1">IF('Stock Price'!$I$11="OK",H474/INDEX(H$5:H$1258,'Stock Price'!$I$9)-1,"")</f>
        <v>2.3203381869422168E-2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97.729200000000006</v>
      </c>
      <c r="C475" s="18">
        <v>136.03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-0.294577739281074</v>
      </c>
      <c r="P475" s="19">
        <f ca="1">IF('Stock Price'!$I$11="OK",C475/INDEX(C$5:C$1258,'Stock Price'!$I$9)-1,"")</f>
        <v>-0.25534419050225809</v>
      </c>
      <c r="Q475" s="19">
        <f ca="1">IF('Stock Price'!$I$11="OK",D475/INDEX(D$5:D$1258,'Stock Price'!$I$9)-1,"")</f>
        <v>-0.30546040701188804</v>
      </c>
      <c r="R475" s="19">
        <f ca="1">IF('Stock Price'!$I$11="OK",E475/INDEX(E$5:E$1258,'Stock Price'!$I$9)-1,"")</f>
        <v>-0.30087463556851313</v>
      </c>
      <c r="S475" s="19">
        <f ca="1">IF('Stock Price'!$I$11="OK",F475/INDEX(F$5:F$1258,'Stock Price'!$I$9)-1,"")</f>
        <v>0.10408459465063236</v>
      </c>
      <c r="T475" s="19">
        <f ca="1">IF('Stock Price'!$I$11="OK",G475/INDEX(G$5:G$1258,'Stock Price'!$I$9)-1,"")</f>
        <v>0.3242105263157895</v>
      </c>
      <c r="U475" s="19">
        <f ca="1">IF('Stock Price'!$I$11="OK",H475/INDEX(H$5:H$1258,'Stock Price'!$I$9)-1,"")</f>
        <v>2.5833724753405285E-2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99.625299999999996</v>
      </c>
      <c r="C476" s="18">
        <v>136.94999999999999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-0.2808914392955103</v>
      </c>
      <c r="P476" s="19">
        <f ca="1">IF('Stock Price'!$I$11="OK",C476/INDEX(C$5:C$1258,'Stock Price'!$I$9)-1,"")</f>
        <v>-0.25030792390858092</v>
      </c>
      <c r="Q476" s="19">
        <f ca="1">IF('Stock Price'!$I$11="OK",D476/INDEX(D$5:D$1258,'Stock Price'!$I$9)-1,"")</f>
        <v>-0.30384847874269605</v>
      </c>
      <c r="R476" s="19">
        <f ca="1">IF('Stock Price'!$I$11="OK",E476/INDEX(E$5:E$1258,'Stock Price'!$I$9)-1,"")</f>
        <v>-0.29737609329446069</v>
      </c>
      <c r="S476" s="19">
        <f ca="1">IF('Stock Price'!$I$11="OK",F476/INDEX(F$5:F$1258,'Stock Price'!$I$9)-1,"")</f>
        <v>0.11362222682977419</v>
      </c>
      <c r="T476" s="19">
        <f ca="1">IF('Stock Price'!$I$11="OK",G476/INDEX(G$5:G$1258,'Stock Price'!$I$9)-1,"")</f>
        <v>0.31921052631578961</v>
      </c>
      <c r="U476" s="19">
        <f ca="1">IF('Stock Price'!$I$11="OK",H476/INDEX(H$5:H$1258,'Stock Price'!$I$9)-1,"")</f>
        <v>2.9967120713950246E-2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99.248000000000005</v>
      </c>
      <c r="C477" s="18">
        <v>135.80000000000001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-0.28361484047928387</v>
      </c>
      <c r="P477" s="19">
        <f ca="1">IF('Stock Price'!$I$11="OK",C477/INDEX(C$5:C$1258,'Stock Price'!$I$9)-1,"")</f>
        <v>-0.25660325715067744</v>
      </c>
      <c r="Q477" s="19">
        <f ca="1">IF('Stock Price'!$I$11="OK",D477/INDEX(D$5:D$1258,'Stock Price'!$I$9)-1,"")</f>
        <v>-0.30243804150715303</v>
      </c>
      <c r="R477" s="19">
        <f ca="1">IF('Stock Price'!$I$11="OK",E477/INDEX(E$5:E$1258,'Stock Price'!$I$9)-1,"")</f>
        <v>-0.30515063168124401</v>
      </c>
      <c r="S477" s="19">
        <f ca="1">IF('Stock Price'!$I$11="OK",F477/INDEX(F$5:F$1258,'Stock Price'!$I$9)-1,"")</f>
        <v>0.12004976155919556</v>
      </c>
      <c r="T477" s="19">
        <f ca="1">IF('Stock Price'!$I$11="OK",G477/INDEX(G$5:G$1258,'Stock Price'!$I$9)-1,"")</f>
        <v>0.32078947368421051</v>
      </c>
      <c r="U477" s="19">
        <f ca="1">IF('Stock Price'!$I$11="OK",H477/INDEX(H$5:H$1258,'Stock Price'!$I$9)-1,"")</f>
        <v>7.3273837482386028E-3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99.480199999999996</v>
      </c>
      <c r="C478" s="18">
        <v>139.35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-0.28193879024108559</v>
      </c>
      <c r="P478" s="19">
        <f ca="1">IF('Stock Price'!$I$11="OK",C478/INDEX(C$5:C$1258,'Stock Price'!$I$9)-1,"")</f>
        <v>-0.2371698371424662</v>
      </c>
      <c r="Q478" s="19">
        <f ca="1">IF('Stock Price'!$I$11="OK",D478/INDEX(D$5:D$1258,'Stock Price'!$I$9)-1,"")</f>
        <v>-0.29578883739673578</v>
      </c>
      <c r="R478" s="19">
        <f ca="1">IF('Stock Price'!$I$11="OK",E478/INDEX(E$5:E$1258,'Stock Price'!$I$9)-1,"")</f>
        <v>-0.27502429543245877</v>
      </c>
      <c r="S478" s="19">
        <f ca="1">IF('Stock Price'!$I$11="OK",F478/INDEX(F$5:F$1258,'Stock Price'!$I$9)-1,"")</f>
        <v>0.10926809040016594</v>
      </c>
      <c r="T478" s="19">
        <f ca="1">IF('Stock Price'!$I$11="OK",G478/INDEX(G$5:G$1258,'Stock Price'!$I$9)-1,"")</f>
        <v>0.32315789473684209</v>
      </c>
      <c r="U478" s="19">
        <f ca="1">IF('Stock Price'!$I$11="OK",H478/INDEX(H$5:H$1258,'Stock Price'!$I$9)-1,"")</f>
        <v>4.5561296383278549E-2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97.555000000000007</v>
      </c>
      <c r="C479" s="18">
        <v>136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-0.2958351378663201</v>
      </c>
      <c r="P479" s="19">
        <f ca="1">IF('Stock Price'!$I$11="OK",C479/INDEX(C$5:C$1258,'Stock Price'!$I$9)-1,"")</f>
        <v>-0.25550841658683454</v>
      </c>
      <c r="Q479" s="19">
        <f ca="1">IF('Stock Price'!$I$11="OK",D479/INDEX(D$5:D$1258,'Stock Price'!$I$9)-1,"")</f>
        <v>-0.30546040701188804</v>
      </c>
      <c r="R479" s="19">
        <f ca="1">IF('Stock Price'!$I$11="OK",E479/INDEX(E$5:E$1258,'Stock Price'!$I$9)-1,"")</f>
        <v>-0.28921282798833825</v>
      </c>
      <c r="S479" s="19">
        <f ca="1">IF('Stock Price'!$I$11="OK",F479/INDEX(F$5:F$1258,'Stock Price'!$I$9)-1,"")</f>
        <v>9.8071739581173656E-2</v>
      </c>
      <c r="T479" s="19">
        <f ca="1">IF('Stock Price'!$I$11="OK",G479/INDEX(G$5:G$1258,'Stock Price'!$I$9)-1,"")</f>
        <v>0.31289473684210534</v>
      </c>
      <c r="U479" s="19">
        <f ca="1">IF('Stock Price'!$I$11="OK",H479/INDEX(H$5:H$1258,'Stock Price'!$I$9)-1,"")</f>
        <v>2.8182245185533139E-2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98.464399999999998</v>
      </c>
      <c r="C480" s="18">
        <v>135.971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-0.28927096867330737</v>
      </c>
      <c r="P480" s="19">
        <f ca="1">IF('Stock Price'!$I$11="OK",C480/INDEX(C$5:C$1258,'Stock Price'!$I$9)-1,"")</f>
        <v>-0.25566716846859183</v>
      </c>
      <c r="Q480" s="19">
        <f ca="1">IF('Stock Price'!$I$11="OK",D480/INDEX(D$5:D$1258,'Stock Price'!$I$9)-1,"")</f>
        <v>-0.29941567600241792</v>
      </c>
      <c r="R480" s="19">
        <f ca="1">IF('Stock Price'!$I$11="OK",E480/INDEX(E$5:E$1258,'Stock Price'!$I$9)-1,"")</f>
        <v>-0.28707482993197286</v>
      </c>
      <c r="S480" s="19">
        <f ca="1">IF('Stock Price'!$I$11="OK",F480/INDEX(F$5:F$1258,'Stock Price'!$I$9)-1,"")</f>
        <v>0.10760937176031526</v>
      </c>
      <c r="T480" s="19">
        <f ca="1">IF('Stock Price'!$I$11="OK",G480/INDEX(G$5:G$1258,'Stock Price'!$I$9)-1,"")</f>
        <v>0.31710526315789456</v>
      </c>
      <c r="U480" s="19">
        <f ca="1">IF('Stock Price'!$I$11="OK",H480/INDEX(H$5:H$1258,'Stock Price'!$I$9)-1,"")</f>
        <v>3.5321747299201345E-2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99.006200000000007</v>
      </c>
      <c r="C481" s="18">
        <v>136.63999999999999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-0.28536018478417779</v>
      </c>
      <c r="P481" s="19">
        <f ca="1">IF('Stock Price'!$I$11="OK",C481/INDEX(C$5:C$1258,'Stock Price'!$I$9)-1,"")</f>
        <v>-0.25200492678253739</v>
      </c>
      <c r="Q481" s="19">
        <f ca="1">IF('Stock Price'!$I$11="OK",D481/INDEX(D$5:D$1258,'Stock Price'!$I$9)-1,"")</f>
        <v>-0.29256498085835181</v>
      </c>
      <c r="R481" s="19">
        <f ca="1">IF('Stock Price'!$I$11="OK",E481/INDEX(E$5:E$1258,'Stock Price'!$I$9)-1,"")</f>
        <v>-0.28688046647230325</v>
      </c>
      <c r="S481" s="19">
        <f ca="1">IF('Stock Price'!$I$11="OK",F481/INDEX(F$5:F$1258,'Stock Price'!$I$9)-1,"")</f>
        <v>0.11465892597968064</v>
      </c>
      <c r="T481" s="19">
        <f ca="1">IF('Stock Price'!$I$11="OK",G481/INDEX(G$5:G$1258,'Stock Price'!$I$9)-1,"")</f>
        <v>0.32578947368421063</v>
      </c>
      <c r="U481" s="19">
        <f ca="1">IF('Stock Price'!$I$11="OK",H481/INDEX(H$5:H$1258,'Stock Price'!$I$9)-1,"")</f>
        <v>2.3297322686707478E-2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99.915599999999998</v>
      </c>
      <c r="C482" s="18">
        <v>139.1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-0.27879601559116496</v>
      </c>
      <c r="P482" s="19">
        <f ca="1">IF('Stock Price'!$I$11="OK",C482/INDEX(C$5:C$1258,'Stock Price'!$I$9)-1,"")</f>
        <v>-0.23853838784726977</v>
      </c>
      <c r="Q482" s="19">
        <f ca="1">IF('Stock Price'!$I$11="OK",D482/INDEX(D$5:D$1258,'Stock Price'!$I$9)-1,"")</f>
        <v>-0.28450533951239176</v>
      </c>
      <c r="R482" s="19">
        <f ca="1">IF('Stock Price'!$I$11="OK",E482/INDEX(E$5:E$1258,'Stock Price'!$I$9)-1,"")</f>
        <v>-0.27735665694849376</v>
      </c>
      <c r="S482" s="19">
        <f ca="1">IF('Stock Price'!$I$11="OK",F482/INDEX(F$5:F$1258,'Stock Price'!$I$9)-1,"")</f>
        <v>0.12295251917893424</v>
      </c>
      <c r="T482" s="19">
        <f ca="1">IF('Stock Price'!$I$11="OK",G482/INDEX(G$5:G$1258,'Stock Price'!$I$9)-1,"")</f>
        <v>0.33342105263157906</v>
      </c>
      <c r="U482" s="19">
        <f ca="1">IF('Stock Price'!$I$11="OK",H482/INDEX(H$5:H$1258,'Stock Price'!$I$9)-1,"")</f>
        <v>3.3255049318928975E-2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98.590199999999996</v>
      </c>
      <c r="C483" s="18">
        <v>136.72499999999999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-0.28836292767431793</v>
      </c>
      <c r="P483" s="19">
        <f ca="1">IF('Stock Price'!$I$11="OK",C483/INDEX(C$5:C$1258,'Stock Price'!$I$9)-1,"")</f>
        <v>-0.25153961954290416</v>
      </c>
      <c r="Q483" s="19">
        <f ca="1">IF('Stock Price'!$I$11="OK",D483/INDEX(D$5:D$1258,'Stock Price'!$I$9)-1,"")</f>
        <v>-0.28490832157968971</v>
      </c>
      <c r="R483" s="19">
        <f ca="1">IF('Stock Price'!$I$11="OK",E483/INDEX(E$5:E$1258,'Stock Price'!$I$9)-1,"")</f>
        <v>-0.27502429543245877</v>
      </c>
      <c r="S483" s="19">
        <f ca="1">IF('Stock Price'!$I$11="OK",F483/INDEX(F$5:F$1258,'Stock Price'!$I$9)-1,"")</f>
        <v>0.12253783951897157</v>
      </c>
      <c r="T483" s="19">
        <f ca="1">IF('Stock Price'!$I$11="OK",G483/INDEX(G$5:G$1258,'Stock Price'!$I$9)-1,"")</f>
        <v>0.32657894736842086</v>
      </c>
      <c r="U483" s="19">
        <f ca="1">IF('Stock Price'!$I$11="OK",H483/INDEX(H$5:H$1258,'Stock Price'!$I$9)-1,"")</f>
        <v>3.5321747299201345E-2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97.206800000000001</v>
      </c>
      <c r="C484" s="18">
        <v>134.03989999999999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-0.29834849141042297</v>
      </c>
      <c r="P484" s="19">
        <f ca="1">IF('Stock Price'!$I$11="OK",C484/INDEX(C$5:C$1258,'Stock Price'!$I$9)-1,"")</f>
        <v>-0.26623840153277689</v>
      </c>
      <c r="Q484" s="19">
        <f ca="1">IF('Stock Price'!$I$11="OK",D484/INDEX(D$5:D$1258,'Stock Price'!$I$9)-1,"")</f>
        <v>-0.29216199879105376</v>
      </c>
      <c r="R484" s="19">
        <f ca="1">IF('Stock Price'!$I$11="OK",E484/INDEX(E$5:E$1258,'Stock Price'!$I$9)-1,"")</f>
        <v>-0.2880466472303207</v>
      </c>
      <c r="S484" s="19">
        <f ca="1">IF('Stock Price'!$I$11="OK",F484/INDEX(F$5:F$1258,'Stock Price'!$I$9)-1,"")</f>
        <v>0.10263321584076301</v>
      </c>
      <c r="T484" s="19">
        <f ca="1">IF('Stock Price'!$I$11="OK",G484/INDEX(G$5:G$1258,'Stock Price'!$I$9)-1,"")</f>
        <v>0.33000000000000007</v>
      </c>
      <c r="U484" s="19">
        <f ca="1">IF('Stock Price'!$I$11="OK",H484/INDEX(H$5:H$1258,'Stock Price'!$I$9)-1,"")</f>
        <v>2.3767026773132915E-2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97.438999999999993</v>
      </c>
      <c r="C485" s="18">
        <v>136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-0.29667244117222469</v>
      </c>
      <c r="P485" s="19">
        <f ca="1">IF('Stock Price'!$I$11="OK",C485/INDEX(C$5:C$1258,'Stock Price'!$I$9)-1,"")</f>
        <v>-0.25550841658683454</v>
      </c>
      <c r="Q485" s="19">
        <f ca="1">IF('Stock Price'!$I$11="OK",D485/INDEX(D$5:D$1258,'Stock Price'!$I$9)-1,"")</f>
        <v>-0.2941769091275438</v>
      </c>
      <c r="R485" s="19">
        <f ca="1">IF('Stock Price'!$I$11="OK",E485/INDEX(E$5:E$1258,'Stock Price'!$I$9)-1,"")</f>
        <v>-0.29018464528668608</v>
      </c>
      <c r="S485" s="19">
        <f ca="1">IF('Stock Price'!$I$11="OK",F485/INDEX(F$5:F$1258,'Stock Price'!$I$9)-1,"")</f>
        <v>0.10159651669085634</v>
      </c>
      <c r="T485" s="19">
        <f ca="1">IF('Stock Price'!$I$11="OK",G485/INDEX(G$5:G$1258,'Stock Price'!$I$9)-1,"")</f>
        <v>0.3386842105263157</v>
      </c>
      <c r="U485" s="19">
        <f ca="1">IF('Stock Price'!$I$11="OK",H485/INDEX(H$5:H$1258,'Stock Price'!$I$9)-1,"")</f>
        <v>3.184593705965244E-2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94.894599999999997</v>
      </c>
      <c r="C486" s="18">
        <v>133.9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-0.31503825609932146</v>
      </c>
      <c r="P486" s="19">
        <f ca="1">IF('Stock Price'!$I$11="OK",C486/INDEX(C$5:C$1258,'Stock Price'!$I$9)-1,"")</f>
        <v>-0.26700424250718491</v>
      </c>
      <c r="Q486" s="19">
        <f ca="1">IF('Stock Price'!$I$11="OK",D486/INDEX(D$5:D$1258,'Stock Price'!$I$9)-1,"")</f>
        <v>-0.30364698770904697</v>
      </c>
      <c r="R486" s="19">
        <f ca="1">IF('Stock Price'!$I$11="OK",E486/INDEX(E$5:E$1258,'Stock Price'!$I$9)-1,"")</f>
        <v>-0.31020408163265301</v>
      </c>
      <c r="S486" s="19">
        <f ca="1">IF('Stock Price'!$I$11="OK",F486/INDEX(F$5:F$1258,'Stock Price'!$I$9)-1,"")</f>
        <v>9.7657059921210987E-2</v>
      </c>
      <c r="T486" s="19">
        <f ca="1">IF('Stock Price'!$I$11="OK",G486/INDEX(G$5:G$1258,'Stock Price'!$I$9)-1,"")</f>
        <v>0.33289473684210513</v>
      </c>
      <c r="U486" s="19">
        <f ca="1">IF('Stock Price'!$I$11="OK",H486/INDEX(H$5:H$1258,'Stock Price'!$I$9)-1,"")</f>
        <v>9.9577266322217195E-3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94.701099999999997</v>
      </c>
      <c r="C487" s="18">
        <v>133.9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-0.31643496463115339</v>
      </c>
      <c r="P487" s="19">
        <f ca="1">IF('Stock Price'!$I$11="OK",C487/INDEX(C$5:C$1258,'Stock Price'!$I$9)-1,"")</f>
        <v>-0.26700424250718491</v>
      </c>
      <c r="Q487" s="19">
        <f ca="1">IF('Stock Price'!$I$11="OK",D487/INDEX(D$5:D$1258,'Stock Price'!$I$9)-1,"")</f>
        <v>-0.30666935321378208</v>
      </c>
      <c r="R487" s="19">
        <f ca="1">IF('Stock Price'!$I$11="OK",E487/INDEX(E$5:E$1258,'Stock Price'!$I$9)-1,"")</f>
        <v>-0.3123420796890185</v>
      </c>
      <c r="S487" s="19">
        <f ca="1">IF('Stock Price'!$I$11="OK",F487/INDEX(F$5:F$1258,'Stock Price'!$I$9)-1,"")</f>
        <v>9.2266224341696068E-2</v>
      </c>
      <c r="T487" s="19">
        <f ca="1">IF('Stock Price'!$I$11="OK",G487/INDEX(G$5:G$1258,'Stock Price'!$I$9)-1,"")</f>
        <v>0.31894736842105265</v>
      </c>
      <c r="U487" s="19">
        <f ca="1">IF('Stock Price'!$I$11="OK",H487/INDEX(H$5:H$1258,'Stock Price'!$I$9)-1,"")</f>
        <v>3.7576326914035008E-4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95.629900000000006</v>
      </c>
      <c r="C488" s="18">
        <v>134.68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-0.30973076367835994</v>
      </c>
      <c r="P488" s="19">
        <f ca="1">IF('Stock Price'!$I$11="OK",C488/INDEX(C$5:C$1258,'Stock Price'!$I$9)-1,"")</f>
        <v>-0.26273436430819763</v>
      </c>
      <c r="Q488" s="19">
        <f ca="1">IF('Stock Price'!$I$11="OK",D488/INDEX(D$5:D$1258,'Stock Price'!$I$9)-1,"")</f>
        <v>-0.30203505943985498</v>
      </c>
      <c r="R488" s="19">
        <f ca="1">IF('Stock Price'!$I$11="OK",E488/INDEX(E$5:E$1258,'Stock Price'!$I$9)-1,"")</f>
        <v>-0.30417881438289607</v>
      </c>
      <c r="S488" s="19">
        <f ca="1">IF('Stock Price'!$I$11="OK",F488/INDEX(F$5:F$1258,'Stock Price'!$I$9)-1,"")</f>
        <v>9.9523118391042997E-2</v>
      </c>
      <c r="T488" s="19">
        <f ca="1">IF('Stock Price'!$I$11="OK",G488/INDEX(G$5:G$1258,'Stock Price'!$I$9)-1,"")</f>
        <v>0.32210526315789489</v>
      </c>
      <c r="U488" s="19">
        <f ca="1">IF('Stock Price'!$I$11="OK",H488/INDEX(H$5:H$1258,'Stock Price'!$I$9)-1,"")</f>
        <v>1.3997181775481371E-2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95.136499999999998</v>
      </c>
      <c r="C489" s="18">
        <v>135.69999999999999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-0.31329218998123287</v>
      </c>
      <c r="P489" s="19">
        <f ca="1">IF('Stock Price'!$I$11="OK",C489/INDEX(C$5:C$1258,'Stock Price'!$I$9)-1,"")</f>
        <v>-0.25715067743259901</v>
      </c>
      <c r="Q489" s="19">
        <f ca="1">IF('Stock Price'!$I$11="OK",D489/INDEX(D$5:D$1258,'Stock Price'!$I$9)-1,"")</f>
        <v>-0.26355027201289549</v>
      </c>
      <c r="R489" s="19">
        <f ca="1">IF('Stock Price'!$I$11="OK",E489/INDEX(E$5:E$1258,'Stock Price'!$I$9)-1,"")</f>
        <v>-0.30340136054421762</v>
      </c>
      <c r="S489" s="19">
        <f ca="1">IF('Stock Price'!$I$11="OK",F489/INDEX(F$5:F$1258,'Stock Price'!$I$9)-1,"")</f>
        <v>0.11113414886999817</v>
      </c>
      <c r="T489" s="19">
        <f ca="1">IF('Stock Price'!$I$11="OK",G489/INDEX(G$5:G$1258,'Stock Price'!$I$9)-1,"")</f>
        <v>0.32078947368421051</v>
      </c>
      <c r="U489" s="19">
        <f ca="1">IF('Stock Price'!$I$11="OK",H489/INDEX(H$5:H$1258,'Stock Price'!$I$9)-1,"")</f>
        <v>2.442461249412875E-2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96.007199999999997</v>
      </c>
      <c r="C490" s="18">
        <v>135.69999999999999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-0.30700736249458638</v>
      </c>
      <c r="P490" s="19">
        <f ca="1">IF('Stock Price'!$I$11="OK",C490/INDEX(C$5:C$1258,'Stock Price'!$I$9)-1,"")</f>
        <v>-0.25715067743259901</v>
      </c>
      <c r="Q490" s="19">
        <f ca="1">IF('Stock Price'!$I$11="OK",D490/INDEX(D$5:D$1258,'Stock Price'!$I$9)-1,"")</f>
        <v>-0.25408019343139232</v>
      </c>
      <c r="R490" s="19">
        <f ca="1">IF('Stock Price'!$I$11="OK",E490/INDEX(E$5:E$1258,'Stock Price'!$I$9)-1,"")</f>
        <v>-0.31020408163265301</v>
      </c>
      <c r="S490" s="19">
        <f ca="1">IF('Stock Price'!$I$11="OK",F490/INDEX(F$5:F$1258,'Stock Price'!$I$9)-1,"")</f>
        <v>0.12938005390835583</v>
      </c>
      <c r="T490" s="19">
        <f ca="1">IF('Stock Price'!$I$11="OK",G490/INDEX(G$5:G$1258,'Stock Price'!$I$9)-1,"")</f>
        <v>0.34736842105263155</v>
      </c>
      <c r="U490" s="19">
        <f ca="1">IF('Stock Price'!$I$11="OK",H490/INDEX(H$5:H$1258,'Stock Price'!$I$9)-1,"")</f>
        <v>2.0197275716298702E-2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97.380899999999997</v>
      </c>
      <c r="C491" s="18">
        <v>132.22499999999999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-0.29709181463837153</v>
      </c>
      <c r="P491" s="19">
        <f ca="1">IF('Stock Price'!$I$11="OK",C491/INDEX(C$5:C$1258,'Stock Price'!$I$9)-1,"")</f>
        <v>-0.27617353222936913</v>
      </c>
      <c r="Q491" s="19">
        <f ca="1">IF('Stock Price'!$I$11="OK",D491/INDEX(D$5:D$1258,'Stock Price'!$I$9)-1,"")</f>
        <v>-0.2573040499697764</v>
      </c>
      <c r="R491" s="19">
        <f ca="1">IF('Stock Price'!$I$11="OK",E491/INDEX(E$5:E$1258,'Stock Price'!$I$9)-1,"")</f>
        <v>-0.30767735665694862</v>
      </c>
      <c r="S491" s="19">
        <f ca="1">IF('Stock Price'!$I$11="OK",F491/INDEX(F$5:F$1258,'Stock Price'!$I$9)-1,"")</f>
        <v>0.13373419033796408</v>
      </c>
      <c r="T491" s="19">
        <f ca="1">IF('Stock Price'!$I$11="OK",G491/INDEX(G$5:G$1258,'Stock Price'!$I$9)-1,"")</f>
        <v>0.33342105263157906</v>
      </c>
      <c r="U491" s="19">
        <f ca="1">IF('Stock Price'!$I$11="OK",H491/INDEX(H$5:H$1258,'Stock Price'!$I$9)-1,"")</f>
        <v>2.4142790042273266E-2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97.497</v>
      </c>
      <c r="C492" s="18">
        <v>130.08000000000001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-0.29625378951927239</v>
      </c>
      <c r="P492" s="19">
        <f ca="1">IF('Stock Price'!$I$11="OK",C492/INDEX(C$5:C$1258,'Stock Price'!$I$9)-1,"")</f>
        <v>-0.28791569727658406</v>
      </c>
      <c r="Q492" s="19">
        <f ca="1">IF('Stock Price'!$I$11="OK",D492/INDEX(D$5:D$1258,'Stock Price'!$I$9)-1,"")</f>
        <v>-0.25931896030626644</v>
      </c>
      <c r="R492" s="19">
        <f ca="1">IF('Stock Price'!$I$11="OK",E492/INDEX(E$5:E$1258,'Stock Price'!$I$9)-1,"")</f>
        <v>-0.30359572400388735</v>
      </c>
      <c r="S492" s="19">
        <f ca="1">IF('Stock Price'!$I$11="OK",F492/INDEX(F$5:F$1258,'Stock Price'!$I$9)-1,"")</f>
        <v>0.12544059713871047</v>
      </c>
      <c r="T492" s="19">
        <f ca="1">IF('Stock Price'!$I$11="OK",G492/INDEX(G$5:G$1258,'Stock Price'!$I$9)-1,"")</f>
        <v>0.27171052631578951</v>
      </c>
      <c r="U492" s="19">
        <f ca="1">IF('Stock Price'!$I$11="OK",H492/INDEX(H$5:H$1258,'Stock Price'!$I$9)-1,"")</f>
        <v>1.2775951150775011E-2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98.512799999999999</v>
      </c>
      <c r="C493" s="18">
        <v>133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-0.28892161108705061</v>
      </c>
      <c r="P493" s="19">
        <f ca="1">IF('Stock Price'!$I$11="OK",C493/INDEX(C$5:C$1258,'Stock Price'!$I$9)-1,"")</f>
        <v>-0.27193102504447797</v>
      </c>
      <c r="Q493" s="19">
        <f ca="1">IF('Stock Price'!$I$11="OK",D493/INDEX(D$5:D$1258,'Stock Price'!$I$9)-1,"")</f>
        <v>-0.24662502518637919</v>
      </c>
      <c r="R493" s="19">
        <f ca="1">IF('Stock Price'!$I$11="OK",E493/INDEX(E$5:E$1258,'Stock Price'!$I$9)-1,"")</f>
        <v>-0.2977648202137998</v>
      </c>
      <c r="S493" s="19">
        <f ca="1">IF('Stock Price'!$I$11="OK",F493/INDEX(F$5:F$1258,'Stock Price'!$I$9)-1,"")</f>
        <v>0.13103877254820651</v>
      </c>
      <c r="T493" s="19">
        <f ca="1">IF('Stock Price'!$I$11="OK",G493/INDEX(G$5:G$1258,'Stock Price'!$I$9)-1,"")</f>
        <v>0.28671052631578964</v>
      </c>
      <c r="U493" s="19">
        <f ca="1">IF('Stock Price'!$I$11="OK",H493/INDEX(H$5:H$1258,'Stock Price'!$I$9)-1,"")</f>
        <v>1.6815406294034663E-2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99.286699999999996</v>
      </c>
      <c r="C494" s="18">
        <v>138.28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-0.28333549877291753</v>
      </c>
      <c r="P494" s="19">
        <f ca="1">IF('Stock Price'!$I$11="OK",C494/INDEX(C$5:C$1258,'Stock Price'!$I$9)-1,"")</f>
        <v>-0.24302723415902561</v>
      </c>
      <c r="Q494" s="19">
        <f ca="1">IF('Stock Price'!$I$11="OK",D494/INDEX(D$5:D$1258,'Stock Price'!$I$9)-1,"")</f>
        <v>-0.24581906105178319</v>
      </c>
      <c r="R494" s="19">
        <f ca="1">IF('Stock Price'!$I$11="OK",E494/INDEX(E$5:E$1258,'Stock Price'!$I$9)-1,"")</f>
        <v>-0.29290573372206019</v>
      </c>
      <c r="S494" s="19">
        <f ca="1">IF('Stock Price'!$I$11="OK",F494/INDEX(F$5:F$1258,'Stock Price'!$I$9)-1,"")</f>
        <v>0.13083143271822517</v>
      </c>
      <c r="T494" s="19">
        <f ca="1">IF('Stock Price'!$I$11="OK",G494/INDEX(G$5:G$1258,'Stock Price'!$I$9)-1,"")</f>
        <v>0.30000000000000004</v>
      </c>
      <c r="U494" s="19">
        <f ca="1">IF('Stock Price'!$I$11="OK",H494/INDEX(H$5:H$1258,'Stock Price'!$I$9)-1,"")</f>
        <v>1.0051667449506807E-2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98.745000000000005</v>
      </c>
      <c r="C495" s="18">
        <v>131.45490000000001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-0.28724556084885222</v>
      </c>
      <c r="P495" s="19">
        <f ca="1">IF('Stock Price'!$I$11="OK",C495/INDEX(C$5:C$1258,'Stock Price'!$I$9)-1,"")</f>
        <v>-0.28038921582044618</v>
      </c>
      <c r="Q495" s="19">
        <f ca="1">IF('Stock Price'!$I$11="OK",D495/INDEX(D$5:D$1258,'Stock Price'!$I$9)-1,"")</f>
        <v>-0.24743098932097518</v>
      </c>
      <c r="R495" s="19">
        <f ca="1">IF('Stock Price'!$I$11="OK",E495/INDEX(E$5:E$1258,'Stock Price'!$I$9)-1,"")</f>
        <v>-0.30301263362487862</v>
      </c>
      <c r="S495" s="19">
        <f ca="1">IF('Stock Price'!$I$11="OK",F495/INDEX(F$5:F$1258,'Stock Price'!$I$9)-1,"")</f>
        <v>0.12129380053908356</v>
      </c>
      <c r="T495" s="19">
        <f ca="1">IF('Stock Price'!$I$11="OK",G495/INDEX(G$5:G$1258,'Stock Price'!$I$9)-1,"")</f>
        <v>0.2801315789473684</v>
      </c>
      <c r="U495" s="19">
        <f ca="1">IF('Stock Price'!$I$11="OK",H495/INDEX(H$5:H$1258,'Stock Price'!$I$9)-1,"")</f>
        <v>1.2869891968060099E-2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99.557599999999994</v>
      </c>
      <c r="C496" s="18">
        <v>130.67500000000001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-0.28138010682835279</v>
      </c>
      <c r="P496" s="19">
        <f ca="1">IF('Stock Price'!$I$11="OK",C496/INDEX(C$5:C$1258,'Stock Price'!$I$9)-1,"")</f>
        <v>-0.28465854659915146</v>
      </c>
      <c r="Q496" s="19">
        <f ca="1">IF('Stock Price'!$I$11="OK",D496/INDEX(D$5:D$1258,'Stock Price'!$I$9)-1,"")</f>
        <v>-0.24481160588353823</v>
      </c>
      <c r="R496" s="19">
        <f ca="1">IF('Stock Price'!$I$11="OK",E496/INDEX(E$5:E$1258,'Stock Price'!$I$9)-1,"")</f>
        <v>-0.30242954324586979</v>
      </c>
      <c r="S496" s="19">
        <f ca="1">IF('Stock Price'!$I$11="OK",F496/INDEX(F$5:F$1258,'Stock Price'!$I$9)-1,"")</f>
        <v>0.13767364710760943</v>
      </c>
      <c r="T496" s="19">
        <f ca="1">IF('Stock Price'!$I$11="OK",G496/INDEX(G$5:G$1258,'Stock Price'!$I$9)-1,"")</f>
        <v>0.28763157894736846</v>
      </c>
      <c r="U496" s="19">
        <f ca="1">IF('Stock Price'!$I$11="OK",H496/INDEX(H$5:H$1258,'Stock Price'!$I$9)-1,"")</f>
        <v>8.5486143729449626E-3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100.2058</v>
      </c>
      <c r="C497" s="18">
        <v>136.34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-0.27670131370001438</v>
      </c>
      <c r="P497" s="19">
        <f ca="1">IF('Stock Price'!$I$11="OK",C497/INDEX(C$5:C$1258,'Stock Price'!$I$9)-1,"")</f>
        <v>-0.25364718762830163</v>
      </c>
      <c r="Q497" s="19">
        <f ca="1">IF('Stock Price'!$I$11="OK",D497/INDEX(D$5:D$1258,'Stock Price'!$I$9)-1,"")</f>
        <v>-0.23292363489824708</v>
      </c>
      <c r="R497" s="19">
        <f ca="1">IF('Stock Price'!$I$11="OK",E497/INDEX(E$5:E$1258,'Stock Price'!$I$9)-1,"")</f>
        <v>-0.31098153547133134</v>
      </c>
      <c r="S497" s="19">
        <f ca="1">IF('Stock Price'!$I$11="OK",F497/INDEX(F$5:F$1258,'Stock Price'!$I$9)-1,"")</f>
        <v>0.14451586149699369</v>
      </c>
      <c r="T497" s="19">
        <f ca="1">IF('Stock Price'!$I$11="OK",G497/INDEX(G$5:G$1258,'Stock Price'!$I$9)-1,"")</f>
        <v>0.2935526315789474</v>
      </c>
      <c r="U497" s="19">
        <f ca="1">IF('Stock Price'!$I$11="OK",H497/INDEX(H$5:H$1258,'Stock Price'!$I$9)-1,"")</f>
        <v>8.078910286519525E-3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98.764300000000006</v>
      </c>
      <c r="C498" s="18">
        <v>133.94999999999999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-0.28710625090226638</v>
      </c>
      <c r="P498" s="19">
        <f ca="1">IF('Stock Price'!$I$11="OK",C498/INDEX(C$5:C$1258,'Stock Price'!$I$9)-1,"")</f>
        <v>-0.26673053236622424</v>
      </c>
      <c r="Q498" s="19">
        <f ca="1">IF('Stock Price'!$I$11="OK",D498/INDEX(D$5:D$1258,'Stock Price'!$I$9)-1,"")</f>
        <v>-0.2419907314124522</v>
      </c>
      <c r="R498" s="19">
        <f ca="1">IF('Stock Price'!$I$11="OK",E498/INDEX(E$5:E$1258,'Stock Price'!$I$9)-1,"")</f>
        <v>-0.32905733722060249</v>
      </c>
      <c r="S498" s="19">
        <f ca="1">IF('Stock Price'!$I$11="OK",F498/INDEX(F$5:F$1258,'Stock Price'!$I$9)-1,"")</f>
        <v>0.12544059713871047</v>
      </c>
      <c r="T498" s="19">
        <f ca="1">IF('Stock Price'!$I$11="OK",G498/INDEX(G$5:G$1258,'Stock Price'!$I$9)-1,"")</f>
        <v>0.25710526315789473</v>
      </c>
      <c r="U498" s="19">
        <f ca="1">IF('Stock Price'!$I$11="OK",H498/INDEX(H$5:H$1258,'Stock Price'!$I$9)-1,"")</f>
        <v>2.6303428839831167E-3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97.845299999999995</v>
      </c>
      <c r="C499" s="18">
        <v>137.93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-0.29373971416197486</v>
      </c>
      <c r="P499" s="19">
        <f ca="1">IF('Stock Price'!$I$11="OK",C499/INDEX(C$5:C$1258,'Stock Price'!$I$9)-1,"")</f>
        <v>-0.24494320514575063</v>
      </c>
      <c r="Q499" s="19">
        <f ca="1">IF('Stock Price'!$I$11="OK",D499/INDEX(D$5:D$1258,'Stock Price'!$I$9)-1,"")</f>
        <v>-0.24581906105178319</v>
      </c>
      <c r="R499" s="19">
        <f ca="1">IF('Stock Price'!$I$11="OK",E499/INDEX(E$5:E$1258,'Stock Price'!$I$9)-1,"")</f>
        <v>-0.33391642371234209</v>
      </c>
      <c r="S499" s="19">
        <f ca="1">IF('Stock Price'!$I$11="OK",F499/INDEX(F$5:F$1258,'Stock Price'!$I$9)-1,"")</f>
        <v>0.12004976155919556</v>
      </c>
      <c r="T499" s="19">
        <f ca="1">IF('Stock Price'!$I$11="OK",G499/INDEX(G$5:G$1258,'Stock Price'!$I$9)-1,"")</f>
        <v>0.25368421052631573</v>
      </c>
      <c r="U499" s="19">
        <f ca="1">IF('Stock Price'!$I$11="OK",H499/INDEX(H$5:H$1258,'Stock Price'!$I$9)-1,"")</f>
        <v>-1.0333489901361848E-3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98.493399999999994</v>
      </c>
      <c r="C500" s="18">
        <v>136.99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-0.28906164284683122</v>
      </c>
      <c r="P500" s="19">
        <f ca="1">IF('Stock Price'!$I$11="OK",C500/INDEX(C$5:C$1258,'Stock Price'!$I$9)-1,"")</f>
        <v>-0.25008895579581225</v>
      </c>
      <c r="Q500" s="19">
        <f ca="1">IF('Stock Price'!$I$11="OK",D500/INDEX(D$5:D$1258,'Stock Price'!$I$9)-1,"")</f>
        <v>-0.24017731210961113</v>
      </c>
      <c r="R500" s="19">
        <f ca="1">IF('Stock Price'!$I$11="OK",E500/INDEX(E$5:E$1258,'Stock Price'!$I$9)-1,"")</f>
        <v>-0.33605442176870759</v>
      </c>
      <c r="S500" s="19">
        <f ca="1">IF('Stock Price'!$I$11="OK",F500/INDEX(F$5:F$1258,'Stock Price'!$I$9)-1,"")</f>
        <v>0.12689197594857982</v>
      </c>
      <c r="T500" s="19">
        <f ca="1">IF('Stock Price'!$I$11="OK",G500/INDEX(G$5:G$1258,'Stock Price'!$I$9)-1,"")</f>
        <v>0.21894736842105256</v>
      </c>
      <c r="U500" s="19">
        <f ca="1">IF('Stock Price'!$I$11="OK",H500/INDEX(H$5:H$1258,'Stock Price'!$I$9)-1,"")</f>
        <v>-5.7303898543917819E-3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98.116200000000006</v>
      </c>
      <c r="C501" s="18">
        <v>134.94990000000001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-0.29178432221741002</v>
      </c>
      <c r="P501" s="19">
        <f ca="1">IF('Stock Price'!$I$11="OK",C501/INDEX(C$5:C$1258,'Stock Price'!$I$9)-1,"")</f>
        <v>-0.26125687696729161</v>
      </c>
      <c r="Q501" s="19">
        <f ca="1">IF('Stock Price'!$I$11="OK",D501/INDEX(D$5:D$1258,'Stock Price'!$I$9)-1,"")</f>
        <v>-0.2488414265565182</v>
      </c>
      <c r="R501" s="19">
        <f ca="1">IF('Stock Price'!$I$11="OK",E501/INDEX(E$5:E$1258,'Stock Price'!$I$9)-1,"")</f>
        <v>-0.33858114674441209</v>
      </c>
      <c r="S501" s="19">
        <f ca="1">IF('Stock Price'!$I$11="OK",F501/INDEX(F$5:F$1258,'Stock Price'!$I$9)-1,"")</f>
        <v>0.12357453866887824</v>
      </c>
      <c r="T501" s="19">
        <f ca="1">IF('Stock Price'!$I$11="OK",G501/INDEX(G$5:G$1258,'Stock Price'!$I$9)-1,"")</f>
        <v>0.20210526315789479</v>
      </c>
      <c r="U501" s="19">
        <f ca="1">IF('Stock Price'!$I$11="OK",H501/INDEX(H$5:H$1258,'Stock Price'!$I$9)-1,"")</f>
        <v>-9.9577266322217195E-3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96.993899999999996</v>
      </c>
      <c r="C502" s="18">
        <v>133.16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-0.29988523170203552</v>
      </c>
      <c r="P502" s="19">
        <f ca="1">IF('Stock Price'!$I$11="OK",C502/INDEX(C$5:C$1258,'Stock Price'!$I$9)-1,"")</f>
        <v>-0.27105515259340363</v>
      </c>
      <c r="Q502" s="19">
        <f ca="1">IF('Stock Price'!$I$11="OK",D502/INDEX(D$5:D$1258,'Stock Price'!$I$9)-1,"")</f>
        <v>-0.25367721136409438</v>
      </c>
      <c r="R502" s="19">
        <f ca="1">IF('Stock Price'!$I$11="OK",E502/INDEX(E$5:E$1258,'Stock Price'!$I$9)-1,"")</f>
        <v>-0.33527696793002915</v>
      </c>
      <c r="S502" s="19">
        <f ca="1">IF('Stock Price'!$I$11="OK",F502/INDEX(F$5:F$1258,'Stock Price'!$I$9)-1,"")</f>
        <v>9.827907941115499E-2</v>
      </c>
      <c r="T502" s="19">
        <f ca="1">IF('Stock Price'!$I$11="OK",G502/INDEX(G$5:G$1258,'Stock Price'!$I$9)-1,"")</f>
        <v>0.20315789473684198</v>
      </c>
      <c r="U502" s="19">
        <f ca="1">IF('Stock Price'!$I$11="OK",H502/INDEX(H$5:H$1258,'Stock Price'!$I$9)-1,"")</f>
        <v>-2.357914513856274E-2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98.996499999999997</v>
      </c>
      <c r="C503" s="18">
        <v>136.15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-0.2854302006640681</v>
      </c>
      <c r="P503" s="19">
        <f ca="1">IF('Stock Price'!$I$11="OK",C503/INDEX(C$5:C$1258,'Stock Price'!$I$9)-1,"")</f>
        <v>-0.25468728616395242</v>
      </c>
      <c r="Q503" s="19">
        <f ca="1">IF('Stock Price'!$I$11="OK",D503/INDEX(D$5:D$1258,'Stock Price'!$I$9)-1,"")</f>
        <v>-0.26778158371952443</v>
      </c>
      <c r="R503" s="19">
        <f ca="1">IF('Stock Price'!$I$11="OK",E503/INDEX(E$5:E$1258,'Stock Price'!$I$9)-1,"")</f>
        <v>-0.34013605442176864</v>
      </c>
      <c r="S503" s="19">
        <f ca="1">IF('Stock Price'!$I$11="OK",F503/INDEX(F$5:F$1258,'Stock Price'!$I$9)-1,"")</f>
        <v>9.9108438731080328E-2</v>
      </c>
      <c r="T503" s="19">
        <f ca="1">IF('Stock Price'!$I$11="OK",G503/INDEX(G$5:G$1258,'Stock Price'!$I$9)-1,"")</f>
        <v>0.19342105263157894</v>
      </c>
      <c r="U503" s="19">
        <f ca="1">IF('Stock Price'!$I$11="OK",H503/INDEX(H$5:H$1258,'Stock Price'!$I$9)-1,"")</f>
        <v>-2.0197275716298813E-2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98.541799999999995</v>
      </c>
      <c r="C504" s="18">
        <v>135.05000000000001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-0.28871228526057457</v>
      </c>
      <c r="P504" s="19">
        <f ca="1">IF('Stock Price'!$I$11="OK",C504/INDEX(C$5:C$1258,'Stock Price'!$I$9)-1,"")</f>
        <v>-0.26070890926508827</v>
      </c>
      <c r="Q504" s="19">
        <f ca="1">IF('Stock Price'!$I$11="OK",D504/INDEX(D$5:D$1258,'Stock Price'!$I$9)-1,"")</f>
        <v>-0.2695950030223655</v>
      </c>
      <c r="R504" s="19">
        <f ca="1">IF('Stock Price'!$I$11="OK",E504/INDEX(E$5:E$1258,'Stock Price'!$I$9)-1,"")</f>
        <v>-0.34052478134110786</v>
      </c>
      <c r="S504" s="19">
        <f ca="1">IF('Stock Price'!$I$11="OK",F504/INDEX(F$5:F$1258,'Stock Price'!$I$9)-1,"")</f>
        <v>0.11217084801990462</v>
      </c>
      <c r="T504" s="19">
        <f ca="1">IF('Stock Price'!$I$11="OK",G504/INDEX(G$5:G$1258,'Stock Price'!$I$9)-1,"")</f>
        <v>0.19605263157894748</v>
      </c>
      <c r="U504" s="19">
        <f ca="1">IF('Stock Price'!$I$11="OK",H504/INDEX(H$5:H$1258,'Stock Price'!$I$9)-1,"")</f>
        <v>-3.2879286049788625E-2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98.232200000000006</v>
      </c>
      <c r="C505" s="18">
        <v>133.1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-0.29094701891150565</v>
      </c>
      <c r="P505" s="19">
        <f ca="1">IF('Stock Price'!$I$11="OK",C505/INDEX(C$5:C$1258,'Stock Price'!$I$9)-1,"")</f>
        <v>-0.27138360476255652</v>
      </c>
      <c r="Q505" s="19">
        <f ca="1">IF('Stock Price'!$I$11="OK",D505/INDEX(D$5:D$1258,'Stock Price'!$I$9)-1,"")</f>
        <v>-0.27281885956074947</v>
      </c>
      <c r="R505" s="19">
        <f ca="1">IF('Stock Price'!$I$11="OK",E505/INDEX(E$5:E$1258,'Stock Price'!$I$9)-1,"")</f>
        <v>-0.34421768707482991</v>
      </c>
      <c r="S505" s="19">
        <f ca="1">IF('Stock Price'!$I$11="OK",F505/INDEX(F$5:F$1258,'Stock Price'!$I$9)-1,"")</f>
        <v>0.11092680904001662</v>
      </c>
      <c r="T505" s="19">
        <f ca="1">IF('Stock Price'!$I$11="OK",G505/INDEX(G$5:G$1258,'Stock Price'!$I$9)-1,"")</f>
        <v>0.18065789473684224</v>
      </c>
      <c r="U505" s="19">
        <f ca="1">IF('Stock Price'!$I$11="OK",H505/INDEX(H$5:H$1258,'Stock Price'!$I$9)-1,"")</f>
        <v>-3.6636918741193125E-2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96.22</v>
      </c>
      <c r="C506" s="18">
        <v>132.93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-0.3054713440161686</v>
      </c>
      <c r="P506" s="19">
        <f ca="1">IF('Stock Price'!$I$11="OK",C506/INDEX(C$5:C$1258,'Stock Price'!$I$9)-1,"")</f>
        <v>-0.27231421924182286</v>
      </c>
      <c r="Q506" s="19">
        <f ca="1">IF('Stock Price'!$I$11="OK",D506/INDEX(D$5:D$1258,'Stock Price'!$I$9)-1,"")</f>
        <v>-0.27684868023372966</v>
      </c>
      <c r="R506" s="19">
        <f ca="1">IF('Stock Price'!$I$11="OK",E506/INDEX(E$5:E$1258,'Stock Price'!$I$9)-1,"")</f>
        <v>-0.35257531584062196</v>
      </c>
      <c r="S506" s="19">
        <f ca="1">IF('Stock Price'!$I$11="OK",F506/INDEX(F$5:F$1258,'Stock Price'!$I$9)-1,"")</f>
        <v>0.11092680904001662</v>
      </c>
      <c r="T506" s="19">
        <f ca="1">IF('Stock Price'!$I$11="OK",G506/INDEX(G$5:G$1258,'Stock Price'!$I$9)-1,"")</f>
        <v>0.15473684210526328</v>
      </c>
      <c r="U506" s="19">
        <f ca="1">IF('Stock Price'!$I$11="OK",H506/INDEX(H$5:H$1258,'Stock Price'!$I$9)-1,"")</f>
        <v>-4.3964302489431728E-2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96.16</v>
      </c>
      <c r="C507" s="18">
        <v>134.15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-0.30590443193301575</v>
      </c>
      <c r="P507" s="19">
        <f ca="1">IF('Stock Price'!$I$11="OK",C507/INDEX(C$5:C$1258,'Stock Price'!$I$9)-1,"")</f>
        <v>-0.26563569180238134</v>
      </c>
      <c r="Q507" s="19">
        <f ca="1">IF('Stock Price'!$I$11="OK",D507/INDEX(D$5:D$1258,'Stock Price'!$I$9)-1,"")</f>
        <v>-0.27302035059439866</v>
      </c>
      <c r="R507" s="19">
        <f ca="1">IF('Stock Price'!$I$11="OK",E507/INDEX(E$5:E$1258,'Stock Price'!$I$9)-1,"")</f>
        <v>-0.35160349854227413</v>
      </c>
      <c r="S507" s="19">
        <f ca="1">IF('Stock Price'!$I$11="OK",F507/INDEX(F$5:F$1258,'Stock Price'!$I$9)-1,"")</f>
        <v>0.1161103047895502</v>
      </c>
      <c r="T507" s="19">
        <f ca="1">IF('Stock Price'!$I$11="OK",G507/INDEX(G$5:G$1258,'Stock Price'!$I$9)-1,"")</f>
        <v>0.16486842105263166</v>
      </c>
      <c r="U507" s="19">
        <f ca="1">IF('Stock Price'!$I$11="OK",H507/INDEX(H$5:H$1258,'Stock Price'!$I$9)-1,"")</f>
        <v>-4.0206669798027228E-2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96.15</v>
      </c>
      <c r="C508" s="18">
        <v>134.9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-0.30597661325249015</v>
      </c>
      <c r="P508" s="19">
        <f ca="1">IF('Stock Price'!$I$11="OK",C508/INDEX(C$5:C$1258,'Stock Price'!$I$9)-1,"")</f>
        <v>-0.26153003968797051</v>
      </c>
      <c r="Q508" s="19">
        <f ca="1">IF('Stock Price'!$I$11="OK",D508/INDEX(D$5:D$1258,'Stock Price'!$I$9)-1,"")</f>
        <v>-0.27140842232520668</v>
      </c>
      <c r="R508" s="19">
        <f ca="1">IF('Stock Price'!$I$11="OK",E508/INDEX(E$5:E$1258,'Stock Price'!$I$9)-1,"")</f>
        <v>-0.34363459669582119</v>
      </c>
      <c r="S508" s="19">
        <f ca="1">IF('Stock Price'!$I$11="OK",F508/INDEX(F$5:F$1258,'Stock Price'!$I$9)-1,"")</f>
        <v>0.12067178104913956</v>
      </c>
      <c r="T508" s="19">
        <f ca="1">IF('Stock Price'!$I$11="OK",G508/INDEX(G$5:G$1258,'Stock Price'!$I$9)-1,"")</f>
        <v>0.15447368421052632</v>
      </c>
      <c r="U508" s="19">
        <f ca="1">IF('Stock Price'!$I$11="OK",H508/INDEX(H$5:H$1258,'Stock Price'!$I$9)-1,"")</f>
        <v>-2.6773132926256493E-2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97.14</v>
      </c>
      <c r="C509" s="18">
        <v>133.47989999999999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-0.29883066262451274</v>
      </c>
      <c r="P509" s="19">
        <f ca="1">IF('Stock Price'!$I$11="OK",C509/INDEX(C$5:C$1258,'Stock Price'!$I$9)-1,"")</f>
        <v>-0.26930395511153704</v>
      </c>
      <c r="Q509" s="19">
        <f ca="1">IF('Stock Price'!$I$11="OK",D509/INDEX(D$5:D$1258,'Stock Price'!$I$9)-1,"")</f>
        <v>-0.26153536167640545</v>
      </c>
      <c r="R509" s="19">
        <f ca="1">IF('Stock Price'!$I$11="OK",E509/INDEX(E$5:E$1258,'Stock Price'!$I$9)-1,"")</f>
        <v>-0.33683187560738592</v>
      </c>
      <c r="S509" s="19">
        <f ca="1">IF('Stock Price'!$I$11="OK",F509/INDEX(F$5:F$1258,'Stock Price'!$I$9)-1,"")</f>
        <v>0.11756168359941954</v>
      </c>
      <c r="T509" s="19">
        <f ca="1">IF('Stock Price'!$I$11="OK",G509/INDEX(G$5:G$1258,'Stock Price'!$I$9)-1,"")</f>
        <v>0.15986842105263155</v>
      </c>
      <c r="U509" s="19">
        <f ca="1">IF('Stock Price'!$I$11="OK",H509/INDEX(H$5:H$1258,'Stock Price'!$I$9)-1,"")</f>
        <v>-2.4142790042273488E-2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97.59</v>
      </c>
      <c r="C510" s="18">
        <v>134.13999999999999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-0.29558250324815927</v>
      </c>
      <c r="P510" s="19">
        <f ca="1">IF('Stock Price'!$I$11="OK",C510/INDEX(C$5:C$1258,'Stock Price'!$I$9)-1,"")</f>
        <v>-0.26569043383057356</v>
      </c>
      <c r="Q510" s="19">
        <f ca="1">IF('Stock Price'!$I$11="OK",D510/INDEX(D$5:D$1258,'Stock Price'!$I$9)-1,"")</f>
        <v>-0.25246826516220033</v>
      </c>
      <c r="R510" s="19">
        <f ca="1">IF('Stock Price'!$I$11="OK",E510/INDEX(E$5:E$1258,'Stock Price'!$I$9)-1,"")</f>
        <v>-0.32769679300291543</v>
      </c>
      <c r="S510" s="19">
        <f ca="1">IF('Stock Price'!$I$11="OK",F510/INDEX(F$5:F$1258,'Stock Price'!$I$9)-1,"")</f>
        <v>0.12067178104913956</v>
      </c>
      <c r="T510" s="19">
        <f ca="1">IF('Stock Price'!$I$11="OK",G510/INDEX(G$5:G$1258,'Stock Price'!$I$9)-1,"")</f>
        <v>0.14315789473684215</v>
      </c>
      <c r="U510" s="19">
        <f ca="1">IF('Stock Price'!$I$11="OK",H510/INDEX(H$5:H$1258,'Stock Price'!$I$9)-1,"")</f>
        <v>-1.8318459370596507E-2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98.47</v>
      </c>
      <c r="C511" s="18">
        <v>134.38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-0.28923054713440155</v>
      </c>
      <c r="P511" s="19">
        <f ca="1">IF('Stock Price'!$I$11="OK",C511/INDEX(C$5:C$1258,'Stock Price'!$I$9)-1,"")</f>
        <v>-0.26437662515396199</v>
      </c>
      <c r="Q511" s="19">
        <f ca="1">IF('Stock Price'!$I$11="OK",D511/INDEX(D$5:D$1258,'Stock Price'!$I$9)-1,"")</f>
        <v>-0.24763248035462415</v>
      </c>
      <c r="R511" s="19">
        <f ca="1">IF('Stock Price'!$I$11="OK",E511/INDEX(E$5:E$1258,'Stock Price'!$I$9)-1,"")</f>
        <v>-0.32186588921282799</v>
      </c>
      <c r="S511" s="19">
        <f ca="1">IF('Stock Price'!$I$11="OK",F511/INDEX(F$5:F$1258,'Stock Price'!$I$9)-1,"")</f>
        <v>0.12896537424839316</v>
      </c>
      <c r="T511" s="19">
        <f ca="1">IF('Stock Price'!$I$11="OK",G511/INDEX(G$5:G$1258,'Stock Price'!$I$9)-1,"")</f>
        <v>0.17789473684210511</v>
      </c>
      <c r="U511" s="19">
        <f ca="1">IF('Stock Price'!$I$11="OK",H511/INDEX(H$5:H$1258,'Stock Price'!$I$9)-1,"")</f>
        <v>-2.6679192108971406E-2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99.41</v>
      </c>
      <c r="C512" s="18">
        <v>133.97200000000001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-0.28244550310379668</v>
      </c>
      <c r="P512" s="19">
        <f ca="1">IF('Stock Price'!$I$11="OK",C512/INDEX(C$5:C$1258,'Stock Price'!$I$9)-1,"")</f>
        <v>-0.26661009990420148</v>
      </c>
      <c r="Q512" s="19">
        <f ca="1">IF('Stock Price'!$I$11="OK",D512/INDEX(D$5:D$1258,'Stock Price'!$I$9)-1,"")</f>
        <v>-0.24319967761434613</v>
      </c>
      <c r="R512" s="19">
        <f ca="1">IF('Stock Price'!$I$11="OK",E512/INDEX(E$5:E$1258,'Stock Price'!$I$9)-1,"")</f>
        <v>-0.31758989310009722</v>
      </c>
      <c r="S512" s="19">
        <f ca="1">IF('Stock Price'!$I$11="OK",F512/INDEX(F$5:F$1258,'Stock Price'!$I$9)-1,"")</f>
        <v>0.13601492846775876</v>
      </c>
      <c r="T512" s="19">
        <f ca="1">IF('Stock Price'!$I$11="OK",G512/INDEX(G$5:G$1258,'Stock Price'!$I$9)-1,"")</f>
        <v>0.18039473684210527</v>
      </c>
      <c r="U512" s="19">
        <f ca="1">IF('Stock Price'!$I$11="OK",H512/INDEX(H$5:H$1258,'Stock Price'!$I$9)-1,"")</f>
        <v>-2.8088304368248052E-2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97.87</v>
      </c>
      <c r="C513" s="18">
        <v>135.5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-0.29356142630287274</v>
      </c>
      <c r="P513" s="19">
        <f ca="1">IF('Stock Price'!$I$11="OK",C513/INDEX(C$5:C$1258,'Stock Price'!$I$9)-1,"")</f>
        <v>-0.2582455179964418</v>
      </c>
      <c r="Q513" s="19">
        <f ca="1">IF('Stock Price'!$I$11="OK",D513/INDEX(D$5:D$1258,'Stock Price'!$I$9)-1,"")</f>
        <v>-0.2542816844650414</v>
      </c>
      <c r="R513" s="19">
        <f ca="1">IF('Stock Price'!$I$11="OK",E513/INDEX(E$5:E$1258,'Stock Price'!$I$9)-1,"")</f>
        <v>-0.32497570456754143</v>
      </c>
      <c r="S513" s="19">
        <f ca="1">IF('Stock Price'!$I$11="OK",F513/INDEX(F$5:F$1258,'Stock Price'!$I$9)-1,"")</f>
        <v>0.13601492846775876</v>
      </c>
      <c r="T513" s="19">
        <f ca="1">IF('Stock Price'!$I$11="OK",G513/INDEX(G$5:G$1258,'Stock Price'!$I$9)-1,"")</f>
        <v>0.16473684210526307</v>
      </c>
      <c r="U513" s="19">
        <f ca="1">IF('Stock Price'!$I$11="OK",H513/INDEX(H$5:H$1258,'Stock Price'!$I$9)-1,"")</f>
        <v>-2.6867073743541581E-2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97.24</v>
      </c>
      <c r="C514" s="18">
        <v>135.5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-0.29810884942976756</v>
      </c>
      <c r="P514" s="19">
        <f ca="1">IF('Stock Price'!$I$11="OK",C514/INDEX(C$5:C$1258,'Stock Price'!$I$9)-1,"")</f>
        <v>-0.2582455179964418</v>
      </c>
      <c r="Q514" s="19">
        <f ca="1">IF('Stock Price'!$I$11="OK",D514/INDEX(D$5:D$1258,'Stock Price'!$I$9)-1,"")</f>
        <v>-0.26093088857545843</v>
      </c>
      <c r="R514" s="19">
        <f ca="1">IF('Stock Price'!$I$11="OK",E514/INDEX(E$5:E$1258,'Stock Price'!$I$9)-1,"")</f>
        <v>-0.31195335276967939</v>
      </c>
      <c r="S514" s="19">
        <f ca="1">IF('Stock Price'!$I$11="OK",F514/INDEX(F$5:F$1258,'Stock Price'!$I$9)-1,"")</f>
        <v>0.13062409288824384</v>
      </c>
      <c r="T514" s="19">
        <f ca="1">IF('Stock Price'!$I$11="OK",G514/INDEX(G$5:G$1258,'Stock Price'!$I$9)-1,"")</f>
        <v>0.14631578947368418</v>
      </c>
      <c r="U514" s="19">
        <f ca="1">IF('Stock Price'!$I$11="OK",H514/INDEX(H$5:H$1258,'Stock Price'!$I$9)-1,"")</f>
        <v>-2.2921559417566906E-2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96.84</v>
      </c>
      <c r="C515" s="18">
        <v>134.16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-0.30099610220874828</v>
      </c>
      <c r="P515" s="19">
        <f ca="1">IF('Stock Price'!$I$11="OK",C515/INDEX(C$5:C$1258,'Stock Price'!$I$9)-1,"")</f>
        <v>-0.26558094977418922</v>
      </c>
      <c r="Q515" s="19">
        <f ca="1">IF('Stock Price'!$I$11="OK",D515/INDEX(D$5:D$1258,'Stock Price'!$I$9)-1,"")</f>
        <v>-0.26294579891194847</v>
      </c>
      <c r="R515" s="19">
        <f ca="1">IF('Stock Price'!$I$11="OK",E515/INDEX(E$5:E$1258,'Stock Price'!$I$9)-1,"")</f>
        <v>-0.3220602526724976</v>
      </c>
      <c r="S515" s="19">
        <f ca="1">IF('Stock Price'!$I$11="OK",F515/INDEX(F$5:F$1258,'Stock Price'!$I$9)-1,"")</f>
        <v>0.13290483101803874</v>
      </c>
      <c r="T515" s="19">
        <f ca="1">IF('Stock Price'!$I$11="OK",G515/INDEX(G$5:G$1258,'Stock Price'!$I$9)-1,"")</f>
        <v>0.14723684210526322</v>
      </c>
      <c r="U515" s="19">
        <f ca="1">IF('Stock Price'!$I$11="OK",H515/INDEX(H$5:H$1258,'Stock Price'!$I$9)-1,"")</f>
        <v>-2.1700328792860546E-2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96.49</v>
      </c>
      <c r="C516" s="18">
        <v>137.05000000000001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-0.30352244839035658</v>
      </c>
      <c r="P516" s="19">
        <f ca="1">IF('Stock Price'!$I$11="OK",C516/INDEX(C$5:C$1258,'Stock Price'!$I$9)-1,"")</f>
        <v>-0.24976050362665936</v>
      </c>
      <c r="Q516" s="19">
        <f ca="1">IF('Stock Price'!$I$11="OK",D516/INDEX(D$5:D$1258,'Stock Price'!$I$9)-1,"")</f>
        <v>-0.2611323796091074</v>
      </c>
      <c r="R516" s="19">
        <f ca="1">IF('Stock Price'!$I$11="OK",E516/INDEX(E$5:E$1258,'Stock Price'!$I$9)-1,"")</f>
        <v>-0.32108843537414966</v>
      </c>
      <c r="S516" s="19">
        <f ca="1">IF('Stock Price'!$I$11="OK",F516/INDEX(F$5:F$1258,'Stock Price'!$I$9)-1,"")</f>
        <v>0.11528094546962486</v>
      </c>
      <c r="T516" s="19">
        <f ca="1">IF('Stock Price'!$I$11="OK",G516/INDEX(G$5:G$1258,'Stock Price'!$I$9)-1,"")</f>
        <v>0.13684210526315788</v>
      </c>
      <c r="U516" s="19">
        <f ca="1">IF('Stock Price'!$I$11="OK",H516/INDEX(H$5:H$1258,'Stock Price'!$I$9)-1,"")</f>
        <v>-2.1418506341005172E-2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96.1</v>
      </c>
      <c r="C517" s="18">
        <v>130.88999999999999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-0.3063375198498629</v>
      </c>
      <c r="P517" s="19">
        <f ca="1">IF('Stock Price'!$I$11="OK",C517/INDEX(C$5:C$1258,'Stock Price'!$I$9)-1,"")</f>
        <v>-0.28348159299302056</v>
      </c>
      <c r="Q517" s="19">
        <f ca="1">IF('Stock Price'!$I$11="OK",D517/INDEX(D$5:D$1258,'Stock Price'!$I$9)-1,"")</f>
        <v>-0.2687890388877695</v>
      </c>
      <c r="R517" s="19">
        <f ca="1">IF('Stock Price'!$I$11="OK",E517/INDEX(E$5:E$1258,'Stock Price'!$I$9)-1,"")</f>
        <v>-0.33333333333333337</v>
      </c>
      <c r="S517" s="19">
        <f ca="1">IF('Stock Price'!$I$11="OK",F517/INDEX(F$5:F$1258,'Stock Price'!$I$9)-1,"")</f>
        <v>9.0814845531826727E-2</v>
      </c>
      <c r="T517" s="19">
        <f ca="1">IF('Stock Price'!$I$11="OK",G517/INDEX(G$5:G$1258,'Stock Price'!$I$9)-1,"")</f>
        <v>0.11907894736842106</v>
      </c>
      <c r="U517" s="19">
        <f ca="1">IF('Stock Price'!$I$11="OK",H517/INDEX(H$5:H$1258,'Stock Price'!$I$9)-1,"")</f>
        <v>-4.1897604509159359E-2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94.64</v>
      </c>
      <c r="C518" s="18">
        <v>127.58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-0.31687599249314269</v>
      </c>
      <c r="P518" s="19">
        <f ca="1">IF('Stock Price'!$I$11="OK",C518/INDEX(C$5:C$1258,'Stock Price'!$I$9)-1,"")</f>
        <v>-0.30160120432462023</v>
      </c>
      <c r="Q518" s="19">
        <f ca="1">IF('Stock Price'!$I$11="OK",D518/INDEX(D$5:D$1258,'Stock Price'!$I$9)-1,"")</f>
        <v>-0.28692323191617974</v>
      </c>
      <c r="R518" s="19">
        <f ca="1">IF('Stock Price'!$I$11="OK",E518/INDEX(E$5:E$1258,'Stock Price'!$I$9)-1,"")</f>
        <v>-0.35490767735665707</v>
      </c>
      <c r="S518" s="19">
        <f ca="1">IF('Stock Price'!$I$11="OK",F518/INDEX(F$5:F$1258,'Stock Price'!$I$9)-1,"")</f>
        <v>8.4490980717395914E-2</v>
      </c>
      <c r="T518" s="19">
        <f ca="1">IF('Stock Price'!$I$11="OK",G518/INDEX(G$5:G$1258,'Stock Price'!$I$9)-1,"")</f>
        <v>0.10907894736842105</v>
      </c>
      <c r="U518" s="19">
        <f ca="1">IF('Stock Price'!$I$11="OK",H518/INDEX(H$5:H$1258,'Stock Price'!$I$9)-1,"")</f>
        <v>-5.6552372005636453E-2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94.68</v>
      </c>
      <c r="C519" s="18">
        <v>127.86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-0.31658726721524466</v>
      </c>
      <c r="P519" s="19">
        <f ca="1">IF('Stock Price'!$I$11="OK",C519/INDEX(C$5:C$1258,'Stock Price'!$I$9)-1,"")</f>
        <v>-0.30006842753524021</v>
      </c>
      <c r="Q519" s="19">
        <f ca="1">IF('Stock Price'!$I$11="OK",D519/INDEX(D$5:D$1258,'Stock Price'!$I$9)-1,"")</f>
        <v>-0.28309490227684875</v>
      </c>
      <c r="R519" s="19">
        <f ca="1">IF('Stock Price'!$I$11="OK",E519/INDEX(E$5:E$1258,'Stock Price'!$I$9)-1,"")</f>
        <v>-0.35160349854227413</v>
      </c>
      <c r="S519" s="19">
        <f ca="1">IF('Stock Price'!$I$11="OK",F519/INDEX(F$5:F$1258,'Stock Price'!$I$9)-1,"")</f>
        <v>7.9203815052871773E-2</v>
      </c>
      <c r="T519" s="19">
        <f ca="1">IF('Stock Price'!$I$11="OK",G519/INDEX(G$5:G$1258,'Stock Price'!$I$9)-1,"")</f>
        <v>9.1447368421052611E-2</v>
      </c>
      <c r="U519" s="19">
        <f ca="1">IF('Stock Price'!$I$11="OK",H519/INDEX(H$5:H$1258,'Stock Price'!$I$9)-1,"")</f>
        <v>-3.5509628933771742E-2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94.69</v>
      </c>
      <c r="C520" s="18">
        <v>123.75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-0.31651508589577015</v>
      </c>
      <c r="P520" s="19">
        <f ca="1">IF('Stock Price'!$I$11="OK",C520/INDEX(C$5:C$1258,'Stock Price'!$I$9)-1,"")</f>
        <v>-0.32256740112221161</v>
      </c>
      <c r="Q520" s="19">
        <f ca="1">IF('Stock Price'!$I$11="OK",D520/INDEX(D$5:D$1258,'Stock Price'!$I$9)-1,"")</f>
        <v>-0.27866209953657073</v>
      </c>
      <c r="R520" s="19">
        <f ca="1">IF('Stock Price'!$I$11="OK",E520/INDEX(E$5:E$1258,'Stock Price'!$I$9)-1,"")</f>
        <v>-0.35665694849368323</v>
      </c>
      <c r="S520" s="19">
        <f ca="1">IF('Stock Price'!$I$11="OK",F520/INDEX(F$5:F$1258,'Stock Price'!$I$9)-1,"")</f>
        <v>7.9618494712834442E-2</v>
      </c>
      <c r="T520" s="19">
        <f ca="1">IF('Stock Price'!$I$11="OK",G520/INDEX(G$5:G$1258,'Stock Price'!$I$9)-1,"")</f>
        <v>7.8552631578947318E-2</v>
      </c>
      <c r="U520" s="19">
        <f ca="1">IF('Stock Price'!$I$11="OK",H520/INDEX(H$5:H$1258,'Stock Price'!$I$9)-1,"")</f>
        <v>-2.9121653358384347E-2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94.91</v>
      </c>
      <c r="C521" s="18">
        <v>127.15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-0.31492709686733067</v>
      </c>
      <c r="P521" s="19">
        <f ca="1">IF('Stock Price'!$I$11="OK",C521/INDEX(C$5:C$1258,'Stock Price'!$I$9)-1,"")</f>
        <v>-0.30395511153688248</v>
      </c>
      <c r="Q521" s="19">
        <f ca="1">IF('Stock Price'!$I$11="OK",D521/INDEX(D$5:D$1258,'Stock Price'!$I$9)-1,"")</f>
        <v>-0.2750352609308887</v>
      </c>
      <c r="R521" s="19">
        <f ca="1">IF('Stock Price'!$I$11="OK",E521/INDEX(E$5:E$1258,'Stock Price'!$I$9)-1,"")</f>
        <v>-0.3603498542274054</v>
      </c>
      <c r="S521" s="19">
        <f ca="1">IF('Stock Price'!$I$11="OK",F521/INDEX(F$5:F$1258,'Stock Price'!$I$9)-1,"")</f>
        <v>8.5009330292349139E-2</v>
      </c>
      <c r="T521" s="19">
        <f ca="1">IF('Stock Price'!$I$11="OK",G521/INDEX(G$5:G$1258,'Stock Price'!$I$9)-1,"")</f>
        <v>8.6447368421052495E-2</v>
      </c>
      <c r="U521" s="19">
        <f ca="1">IF('Stock Price'!$I$11="OK",H521/INDEX(H$5:H$1258,'Stock Price'!$I$9)-1,"")</f>
        <v>-3.2127759511507814E-2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95.43</v>
      </c>
      <c r="C522" s="18">
        <v>126.44499999999999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-0.31117366825465564</v>
      </c>
      <c r="P522" s="19">
        <f ca="1">IF('Stock Price'!$I$11="OK",C522/INDEX(C$5:C$1258,'Stock Price'!$I$9)-1,"")</f>
        <v>-0.30781442452442875</v>
      </c>
      <c r="Q522" s="19">
        <f ca="1">IF('Stock Price'!$I$11="OK",D522/INDEX(D$5:D$1258,'Stock Price'!$I$9)-1,"")</f>
        <v>-0.27362482369534569</v>
      </c>
      <c r="R522" s="19">
        <f ca="1">IF('Stock Price'!$I$11="OK",E522/INDEX(E$5:E$1258,'Stock Price'!$I$9)-1,"")</f>
        <v>-0.36093294460641401</v>
      </c>
      <c r="S522" s="19">
        <f ca="1">IF('Stock Price'!$I$11="OK",F522/INDEX(F$5:F$1258,'Stock Price'!$I$9)-1,"")</f>
        <v>0.100767157370931</v>
      </c>
      <c r="T522" s="19">
        <f ca="1">IF('Stock Price'!$I$11="OK",G522/INDEX(G$5:G$1258,'Stock Price'!$I$9)-1,"")</f>
        <v>7.9868421052631478E-2</v>
      </c>
      <c r="U522" s="19">
        <f ca="1">IF('Stock Price'!$I$11="OK",H522/INDEX(H$5:H$1258,'Stock Price'!$I$9)-1,"")</f>
        <v>-2.6491310474401231E-2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94.3</v>
      </c>
      <c r="C523" s="18">
        <v>125.27500000000001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-0.31933015735527648</v>
      </c>
      <c r="P523" s="19">
        <f ca="1">IF('Stock Price'!$I$11="OK",C523/INDEX(C$5:C$1258,'Stock Price'!$I$9)-1,"")</f>
        <v>-0.3142192418229095</v>
      </c>
      <c r="Q523" s="19">
        <f ca="1">IF('Stock Price'!$I$11="OK",D523/INDEX(D$5:D$1258,'Stock Price'!$I$9)-1,"")</f>
        <v>-0.28107999194035871</v>
      </c>
      <c r="R523" s="19">
        <f ca="1">IF('Stock Price'!$I$11="OK",E523/INDEX(E$5:E$1258,'Stock Price'!$I$9)-1,"")</f>
        <v>-0.35860058309037901</v>
      </c>
      <c r="S523" s="19">
        <f ca="1">IF('Stock Price'!$I$11="OK",F523/INDEX(F$5:F$1258,'Stock Price'!$I$9)-1,"")</f>
        <v>0.10574331329048303</v>
      </c>
      <c r="T523" s="19">
        <f ca="1">IF('Stock Price'!$I$11="OK",G523/INDEX(G$5:G$1258,'Stock Price'!$I$9)-1,"")</f>
        <v>7.263157894736838E-2</v>
      </c>
      <c r="U523" s="19">
        <f ca="1">IF('Stock Price'!$I$11="OK",H523/INDEX(H$5:H$1258,'Stock Price'!$I$9)-1,"")</f>
        <v>-8.4546735556599861E-3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92.27</v>
      </c>
      <c r="C524" s="18">
        <v>121.45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-0.33398296520860404</v>
      </c>
      <c r="P524" s="19">
        <f ca="1">IF('Stock Price'!$I$11="OK",C524/INDEX(C$5:C$1258,'Stock Price'!$I$9)-1,"")</f>
        <v>-0.33515806760640487</v>
      </c>
      <c r="Q524" s="19">
        <f ca="1">IF('Stock Price'!$I$11="OK",D524/INDEX(D$5:D$1258,'Stock Price'!$I$9)-1,"")</f>
        <v>-0.30364698770904697</v>
      </c>
      <c r="R524" s="19">
        <f ca="1">IF('Stock Price'!$I$11="OK",E524/INDEX(E$5:E$1258,'Stock Price'!$I$9)-1,"")</f>
        <v>-0.36112730806608362</v>
      </c>
      <c r="S524" s="19">
        <f ca="1">IF('Stock Price'!$I$11="OK",F524/INDEX(F$5:F$1258,'Stock Price'!$I$9)-1,"")</f>
        <v>-0.10574331329048303</v>
      </c>
      <c r="T524" s="19">
        <f ca="1">IF('Stock Price'!$I$11="OK",G524/INDEX(G$5:G$1258,'Stock Price'!$I$9)-1,"")</f>
        <v>6.6052631578947363E-2</v>
      </c>
      <c r="U524" s="19">
        <f ca="1">IF('Stock Price'!$I$11="OK",H524/INDEX(H$5:H$1258,'Stock Price'!$I$9)-1,"")</f>
        <v>-3.4100516674495207E-2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93.76</v>
      </c>
      <c r="C525" s="18">
        <v>123.97499999999999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-0.32322794860690041</v>
      </c>
      <c r="P525" s="19">
        <f ca="1">IF('Stock Price'!$I$11="OK",C525/INDEX(C$5:C$1258,'Stock Price'!$I$9)-1,"")</f>
        <v>-0.32133570548788837</v>
      </c>
      <c r="Q525" s="19">
        <f ca="1">IF('Stock Price'!$I$11="OK",D525/INDEX(D$5:D$1258,'Stock Price'!$I$9)-1,"")</f>
        <v>-0.28934112431996772</v>
      </c>
      <c r="R525" s="19">
        <f ca="1">IF('Stock Price'!$I$11="OK",E525/INDEX(E$5:E$1258,'Stock Price'!$I$9)-1,"")</f>
        <v>-0.34888241010689991</v>
      </c>
      <c r="S525" s="19">
        <f ca="1">IF('Stock Price'!$I$11="OK",F525/INDEX(F$5:F$1258,'Stock Price'!$I$9)-1,"")</f>
        <v>-6.9873522703711388E-2</v>
      </c>
      <c r="T525" s="19">
        <f ca="1">IF('Stock Price'!$I$11="OK",G525/INDEX(G$5:G$1258,'Stock Price'!$I$9)-1,"")</f>
        <v>7.052631578947377E-2</v>
      </c>
      <c r="U525" s="19">
        <f ca="1">IF('Stock Price'!$I$11="OK",H525/INDEX(H$5:H$1258,'Stock Price'!$I$9)-1,"")</f>
        <v>-3.5415688116486543E-2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93.58</v>
      </c>
      <c r="C526" s="18">
        <v>122.7599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-0.32452721235744186</v>
      </c>
      <c r="P526" s="19">
        <f ca="1">IF('Stock Price'!$I$11="OK",C526/INDEX(C$5:C$1258,'Stock Price'!$I$9)-1,"")</f>
        <v>-0.32798740933351589</v>
      </c>
      <c r="Q526" s="19">
        <f ca="1">IF('Stock Price'!$I$11="OK",D526/INDEX(D$5:D$1258,'Stock Price'!$I$9)-1,"")</f>
        <v>-0.28067700987306066</v>
      </c>
      <c r="R526" s="19">
        <f ca="1">IF('Stock Price'!$I$11="OK",E526/INDEX(E$5:E$1258,'Stock Price'!$I$9)-1,"")</f>
        <v>-0.37162293488824105</v>
      </c>
      <c r="S526" s="19">
        <f ca="1">IF('Stock Price'!$I$11="OK",F526/INDEX(F$5:F$1258,'Stock Price'!$I$9)-1,"")</f>
        <v>-6.1787269334439121E-2</v>
      </c>
      <c r="T526" s="19">
        <f ca="1">IF('Stock Price'!$I$11="OK",G526/INDEX(G$5:G$1258,'Stock Price'!$I$9)-1,"")</f>
        <v>6.999999999999984E-2</v>
      </c>
      <c r="U526" s="19">
        <f ca="1">IF('Stock Price'!$I$11="OK",H526/INDEX(H$5:H$1258,'Stock Price'!$I$9)-1,"")</f>
        <v>-3.5227806481916368E-2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94.26</v>
      </c>
      <c r="C527" s="18">
        <v>128.58000000000001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-0.31961888263317451</v>
      </c>
      <c r="P527" s="19">
        <f ca="1">IF('Stock Price'!$I$11="OK",C527/INDEX(C$5:C$1258,'Stock Price'!$I$9)-1,"")</f>
        <v>-0.29612700150540572</v>
      </c>
      <c r="Q527" s="19">
        <f ca="1">IF('Stock Price'!$I$11="OK",D527/INDEX(D$5:D$1258,'Stock Price'!$I$9)-1,"")</f>
        <v>-0.30324400564174903</v>
      </c>
      <c r="R527" s="19">
        <f ca="1">IF('Stock Price'!$I$11="OK",E527/INDEX(E$5:E$1258,'Stock Price'!$I$9)-1,"")</f>
        <v>-0.36112730806608362</v>
      </c>
      <c r="S527" s="19">
        <f ca="1">IF('Stock Price'!$I$11="OK",F527/INDEX(F$5:F$1258,'Stock Price'!$I$9)-1,"")</f>
        <v>-3.9394567696454441E-2</v>
      </c>
      <c r="T527" s="19">
        <f ca="1">IF('Stock Price'!$I$11="OK",G527/INDEX(G$5:G$1258,'Stock Price'!$I$9)-1,"")</f>
        <v>5.973684210526331E-2</v>
      </c>
      <c r="U527" s="19">
        <f ca="1">IF('Stock Price'!$I$11="OK",H527/INDEX(H$5:H$1258,'Stock Price'!$I$9)-1,"")</f>
        <v>-3.3818694222639833E-2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94.08</v>
      </c>
      <c r="C528" s="18">
        <v>126.8199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-0.32091814638371585</v>
      </c>
      <c r="P528" s="19">
        <f ca="1">IF('Stock Price'!$I$11="OK",C528/INDEX(C$5:C$1258,'Stock Price'!$I$9)-1,"")</f>
        <v>-0.30576214588750517</v>
      </c>
      <c r="Q528" s="19">
        <f ca="1">IF('Stock Price'!$I$11="OK",D528/INDEX(D$5:D$1258,'Stock Price'!$I$9)-1,"")</f>
        <v>-0.31150513802135804</v>
      </c>
      <c r="R528" s="19">
        <f ca="1">IF('Stock Price'!$I$11="OK",E528/INDEX(E$5:E$1258,'Stock Price'!$I$9)-1,"")</f>
        <v>-0.36132167152575323</v>
      </c>
      <c r="S528" s="19">
        <f ca="1">IF('Stock Price'!$I$11="OK",F528/INDEX(F$5:F$1258,'Stock Price'!$I$9)-1,"")</f>
        <v>-3.5662450756790309E-2</v>
      </c>
      <c r="T528" s="19">
        <f ca="1">IF('Stock Price'!$I$11="OK",G528/INDEX(G$5:G$1258,'Stock Price'!$I$9)-1,"")</f>
        <v>8.6315789473684346E-2</v>
      </c>
      <c r="U528" s="19">
        <f ca="1">IF('Stock Price'!$I$11="OK",H528/INDEX(H$5:H$1258,'Stock Price'!$I$9)-1,"")</f>
        <v>-3.3818694222639833E-2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92.76</v>
      </c>
      <c r="C529" s="18">
        <v>126.3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-0.33044608055435243</v>
      </c>
      <c r="P529" s="19">
        <f ca="1">IF('Stock Price'!$I$11="OK",C529/INDEX(C$5:C$1258,'Stock Price'!$I$9)-1,"")</f>
        <v>-0.30860818393321476</v>
      </c>
      <c r="Q529" s="19">
        <f ca="1">IF('Stock Price'!$I$11="OK",D529/INDEX(D$5:D$1258,'Stock Price'!$I$9)-1,"")</f>
        <v>-0.30606488011283506</v>
      </c>
      <c r="R529" s="19">
        <f ca="1">IF('Stock Price'!$I$11="OK",E529/INDEX(E$5:E$1258,'Stock Price'!$I$9)-1,"")</f>
        <v>-0.36015549076773568</v>
      </c>
      <c r="S529" s="19">
        <f ca="1">IF('Stock Price'!$I$11="OK",F529/INDEX(F$5:F$1258,'Stock Price'!$I$9)-1,"")</f>
        <v>-5.0383578685465502E-2</v>
      </c>
      <c r="T529" s="19">
        <f ca="1">IF('Stock Price'!$I$11="OK",G529/INDEX(G$5:G$1258,'Stock Price'!$I$9)-1,"")</f>
        <v>0.10684210526315785</v>
      </c>
      <c r="U529" s="19">
        <f ca="1">IF('Stock Price'!$I$11="OK",H529/INDEX(H$5:H$1258,'Stock Price'!$I$9)-1,"")</f>
        <v>-2.8839830906528974E-2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93.45</v>
      </c>
      <c r="C530" s="18">
        <v>126.8199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-0.32546556951061056</v>
      </c>
      <c r="P530" s="19">
        <f ca="1">IF('Stock Price'!$I$11="OK",C530/INDEX(C$5:C$1258,'Stock Price'!$I$9)-1,"")</f>
        <v>-0.30576214588750517</v>
      </c>
      <c r="Q530" s="19">
        <f ca="1">IF('Stock Price'!$I$11="OK",D530/INDEX(D$5:D$1258,'Stock Price'!$I$9)-1,"")</f>
        <v>-0.29901269393511998</v>
      </c>
      <c r="R530" s="19">
        <f ca="1">IF('Stock Price'!$I$11="OK",E530/INDEX(E$5:E$1258,'Stock Price'!$I$9)-1,"")</f>
        <v>-0.36151603498542273</v>
      </c>
      <c r="S530" s="19">
        <f ca="1">IF('Stock Price'!$I$11="OK",F530/INDEX(F$5:F$1258,'Stock Price'!$I$9)-1,"")</f>
        <v>-6.1994609164420345E-2</v>
      </c>
      <c r="T530" s="19">
        <f ca="1">IF('Stock Price'!$I$11="OK",G530/INDEX(G$5:G$1258,'Stock Price'!$I$9)-1,"")</f>
        <v>0.10684210526315785</v>
      </c>
      <c r="U530" s="19">
        <f ca="1">IF('Stock Price'!$I$11="OK",H530/INDEX(H$5:H$1258,'Stock Price'!$I$9)-1,"")</f>
        <v>-1.982151244715824E-2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93.82</v>
      </c>
      <c r="C531" s="18">
        <v>125.25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-0.32279486069005348</v>
      </c>
      <c r="P531" s="19">
        <f ca="1">IF('Stock Price'!$I$11="OK",C531/INDEX(C$5:C$1258,'Stock Price'!$I$9)-1,"")</f>
        <v>-0.31435609689338995</v>
      </c>
      <c r="Q531" s="19">
        <f ca="1">IF('Stock Price'!$I$11="OK",D531/INDEX(D$5:D$1258,'Stock Price'!$I$9)-1,"")</f>
        <v>-0.29518436429578898</v>
      </c>
      <c r="R531" s="19">
        <f ca="1">IF('Stock Price'!$I$11="OK",E531/INDEX(E$5:E$1258,'Stock Price'!$I$9)-1,"")</f>
        <v>-0.36404275996112734</v>
      </c>
      <c r="S531" s="19">
        <f ca="1">IF('Stock Price'!$I$11="OK",F531/INDEX(F$5:F$1258,'Stock Price'!$I$9)-1,"")</f>
        <v>-6.1994609164420345E-2</v>
      </c>
      <c r="T531" s="19">
        <f ca="1">IF('Stock Price'!$I$11="OK",G531/INDEX(G$5:G$1258,'Stock Price'!$I$9)-1,"")</f>
        <v>9.9078947368421044E-2</v>
      </c>
      <c r="U531" s="19">
        <f ca="1">IF('Stock Price'!$I$11="OK",H531/INDEX(H$5:H$1258,'Stock Price'!$I$9)-1,"")</f>
        <v>-2.3015500234852104E-2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94.38</v>
      </c>
      <c r="C532" s="18">
        <v>125.08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-0.31875270679948031</v>
      </c>
      <c r="P532" s="19">
        <f ca="1">IF('Stock Price'!$I$11="OK",C532/INDEX(C$5:C$1258,'Stock Price'!$I$9)-1,"")</f>
        <v>-0.3152867113726564</v>
      </c>
      <c r="Q532" s="19">
        <f ca="1">IF('Stock Price'!$I$11="OK",D532/INDEX(D$5:D$1258,'Stock Price'!$I$9)-1,"")</f>
        <v>-0.29357243602659677</v>
      </c>
      <c r="R532" s="19">
        <f ca="1">IF('Stock Price'!$I$11="OK",E532/INDEX(E$5:E$1258,'Stock Price'!$I$9)-1,"")</f>
        <v>-0.35976676384839656</v>
      </c>
      <c r="S532" s="19">
        <f ca="1">IF('Stock Price'!$I$11="OK",F532/INDEX(F$5:F$1258,'Stock Price'!$I$9)-1,"")</f>
        <v>-5.079825834542806E-2</v>
      </c>
      <c r="T532" s="19">
        <f ca="1">IF('Stock Price'!$I$11="OK",G532/INDEX(G$5:G$1258,'Stock Price'!$I$9)-1,"")</f>
        <v>9.0263157894736823E-2</v>
      </c>
      <c r="U532" s="19">
        <f ca="1">IF('Stock Price'!$I$11="OK",H532/INDEX(H$5:H$1258,'Stock Price'!$I$9)-1,"")</f>
        <v>-1.9257867543447604E-2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93.23</v>
      </c>
      <c r="C533" s="18">
        <v>126.87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-0.32705355853905005</v>
      </c>
      <c r="P533" s="19">
        <f ca="1">IF('Stock Price'!$I$11="OK",C533/INDEX(C$5:C$1258,'Stock Price'!$I$9)-1,"")</f>
        <v>-0.3054878883262625</v>
      </c>
      <c r="Q533" s="19">
        <f ca="1">IF('Stock Price'!$I$11="OK",D533/INDEX(D$5:D$1258,'Stock Price'!$I$9)-1,"")</f>
        <v>-0.30566189804553701</v>
      </c>
      <c r="R533" s="19">
        <f ca="1">IF('Stock Price'!$I$11="OK",E533/INDEX(E$5:E$1258,'Stock Price'!$I$9)-1,"")</f>
        <v>-0.36268221574344028</v>
      </c>
      <c r="S533" s="19">
        <f ca="1">IF('Stock Price'!$I$11="OK",F533/INDEX(F$5:F$1258,'Stock Price'!$I$9)-1,"")</f>
        <v>-5.7225793074849651E-2</v>
      </c>
      <c r="T533" s="19">
        <f ca="1">IF('Stock Price'!$I$11="OK",G533/INDEX(G$5:G$1258,'Stock Price'!$I$9)-1,"")</f>
        <v>0.10013157894736846</v>
      </c>
      <c r="U533" s="19">
        <f ca="1">IF('Stock Price'!$I$11="OK",H533/INDEX(H$5:H$1258,'Stock Price'!$I$9)-1,"")</f>
        <v>-3.8233912635039946E-2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93.54</v>
      </c>
      <c r="C534" s="18">
        <v>124.285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-0.32481593763533989</v>
      </c>
      <c r="P534" s="19">
        <f ca="1">IF('Stock Price'!$I$11="OK",C534/INDEX(C$5:C$1258,'Stock Price'!$I$9)-1,"")</f>
        <v>-0.3196387026139319</v>
      </c>
      <c r="Q534" s="19">
        <f ca="1">IF('Stock Price'!$I$11="OK",D534/INDEX(D$5:D$1258,'Stock Price'!$I$9)-1,"")</f>
        <v>-0.30666935321378208</v>
      </c>
      <c r="R534" s="19">
        <f ca="1">IF('Stock Price'!$I$11="OK",E534/INDEX(E$5:E$1258,'Stock Price'!$I$9)-1,"")</f>
        <v>-0.36268221574344028</v>
      </c>
      <c r="S534" s="19">
        <f ca="1">IF('Stock Price'!$I$11="OK",F534/INDEX(F$5:F$1258,'Stock Price'!$I$9)-1,"")</f>
        <v>-4.7895500725689266E-2</v>
      </c>
      <c r="T534" s="19">
        <f ca="1">IF('Stock Price'!$I$11="OK",G534/INDEX(G$5:G$1258,'Stock Price'!$I$9)-1,"")</f>
        <v>5.6710526315789433E-2</v>
      </c>
      <c r="U534" s="19">
        <f ca="1">IF('Stock Price'!$I$11="OK",H534/INDEX(H$5:H$1258,'Stock Price'!$I$9)-1,"")</f>
        <v>-4.7534053546265831E-2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94.09</v>
      </c>
      <c r="C535" s="18">
        <v>124.75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-0.32084596506424135</v>
      </c>
      <c r="P535" s="19">
        <f ca="1">IF('Stock Price'!$I$11="OK",C535/INDEX(C$5:C$1258,'Stock Price'!$I$9)-1,"")</f>
        <v>-0.3170931983029972</v>
      </c>
      <c r="Q535" s="19">
        <f ca="1">IF('Stock Price'!$I$11="OK",D535/INDEX(D$5:D$1258,'Stock Price'!$I$9)-1,"")</f>
        <v>-0.302639532540802</v>
      </c>
      <c r="R535" s="19">
        <f ca="1">IF('Stock Price'!$I$11="OK",E535/INDEX(E$5:E$1258,'Stock Price'!$I$9)-1,"")</f>
        <v>-0.35626822157434412</v>
      </c>
      <c r="S535" s="19">
        <f ca="1">IF('Stock Price'!$I$11="OK",F535/INDEX(F$5:F$1258,'Stock Price'!$I$9)-1,"")</f>
        <v>-5.6189093924942868E-2</v>
      </c>
      <c r="T535" s="19">
        <f ca="1">IF('Stock Price'!$I$11="OK",G535/INDEX(G$5:G$1258,'Stock Price'!$I$9)-1,"")</f>
        <v>5.921052631578938E-2</v>
      </c>
      <c r="U535" s="19">
        <f ca="1">IF('Stock Price'!$I$11="OK",H535/INDEX(H$5:H$1258,'Stock Price'!$I$9)-1,"")</f>
        <v>-3.7388445279473936E-2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94.91</v>
      </c>
      <c r="C536" s="18">
        <v>125.8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-0.31492709686733067</v>
      </c>
      <c r="P536" s="19">
        <f ca="1">IF('Stock Price'!$I$11="OK",C536/INDEX(C$5:C$1258,'Stock Price'!$I$9)-1,"")</f>
        <v>-0.31134528534282202</v>
      </c>
      <c r="Q536" s="19">
        <f ca="1">IF('Stock Price'!$I$11="OK",D536/INDEX(D$5:D$1258,'Stock Price'!$I$9)-1,"")</f>
        <v>-0.30525891597823906</v>
      </c>
      <c r="R536" s="19">
        <f ca="1">IF('Stock Price'!$I$11="OK",E536/INDEX(E$5:E$1258,'Stock Price'!$I$9)-1,"")</f>
        <v>-0.34713313896987363</v>
      </c>
      <c r="S536" s="19">
        <f ca="1">IF('Stock Price'!$I$11="OK",F536/INDEX(F$5:F$1258,'Stock Price'!$I$9)-1,"")</f>
        <v>-5.1834957495334844E-2</v>
      </c>
      <c r="T536" s="19">
        <f ca="1">IF('Stock Price'!$I$11="OK",G536/INDEX(G$5:G$1258,'Stock Price'!$I$9)-1,"")</f>
        <v>6.9473684210526354E-2</v>
      </c>
      <c r="U536" s="19">
        <f ca="1">IF('Stock Price'!$I$11="OK",H536/INDEX(H$5:H$1258,'Stock Price'!$I$9)-1,"")</f>
        <v>-4.0206669798027228E-2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93.8</v>
      </c>
      <c r="C537" s="18">
        <v>125.16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-0.32293922332900249</v>
      </c>
      <c r="P537" s="19">
        <f ca="1">IF('Stock Price'!$I$11="OK",C537/INDEX(C$5:C$1258,'Stock Price'!$I$9)-1,"")</f>
        <v>-0.31484877514711929</v>
      </c>
      <c r="Q537" s="19">
        <f ca="1">IF('Stock Price'!$I$11="OK",D537/INDEX(D$5:D$1258,'Stock Price'!$I$9)-1,"")</f>
        <v>-0.30546040701188804</v>
      </c>
      <c r="R537" s="19">
        <f ca="1">IF('Stock Price'!$I$11="OK",E537/INDEX(E$5:E$1258,'Stock Price'!$I$9)-1,"")</f>
        <v>-0.35218658892128285</v>
      </c>
      <c r="S537" s="19">
        <f ca="1">IF('Stock Price'!$I$11="OK",F537/INDEX(F$5:F$1258,'Stock Price'!$I$9)-1,"")</f>
        <v>-5.8262492224756324E-2</v>
      </c>
      <c r="T537" s="19">
        <f ca="1">IF('Stock Price'!$I$11="OK",G537/INDEX(G$5:G$1258,'Stock Price'!$I$9)-1,"")</f>
        <v>8.131578947368423E-2</v>
      </c>
      <c r="U537" s="19">
        <f ca="1">IF('Stock Price'!$I$11="OK",H537/INDEX(H$5:H$1258,'Stock Price'!$I$9)-1,"")</f>
        <v>-4.7909816815406403E-2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94.06</v>
      </c>
      <c r="C538" s="18">
        <v>125.15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-0.32106250902266487</v>
      </c>
      <c r="P538" s="19">
        <f ca="1">IF('Stock Price'!$I$11="OK",C538/INDEX(C$5:C$1258,'Stock Price'!$I$9)-1,"")</f>
        <v>-0.3149035171753114</v>
      </c>
      <c r="Q538" s="19">
        <f ca="1">IF('Stock Price'!$I$11="OK",D538/INDEX(D$5:D$1258,'Stock Price'!$I$9)-1,"")</f>
        <v>-0.30606488011283506</v>
      </c>
      <c r="R538" s="19">
        <f ca="1">IF('Stock Price'!$I$11="OK",E538/INDEX(E$5:E$1258,'Stock Price'!$I$9)-1,"")</f>
        <v>-0.35276967930029168</v>
      </c>
      <c r="S538" s="19">
        <f ca="1">IF('Stock Price'!$I$11="OK",F538/INDEX(F$5:F$1258,'Stock Price'!$I$9)-1,"")</f>
        <v>-3.8979888036491772E-2</v>
      </c>
      <c r="T538" s="19">
        <f ca="1">IF('Stock Price'!$I$11="OK",G538/INDEX(G$5:G$1258,'Stock Price'!$I$9)-1,"")</f>
        <v>6.8421052631578938E-2</v>
      </c>
      <c r="U538" s="19">
        <f ca="1">IF('Stock Price'!$I$11="OK",H538/INDEX(H$5:H$1258,'Stock Price'!$I$9)-1,"")</f>
        <v>-4.1897604509159359E-2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94.91</v>
      </c>
      <c r="C539" s="18">
        <v>128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-0.31492709686733067</v>
      </c>
      <c r="P539" s="19">
        <f ca="1">IF('Stock Price'!$I$11="OK",C539/INDEX(C$5:C$1258,'Stock Price'!$I$9)-1,"")</f>
        <v>-0.2993020391405502</v>
      </c>
      <c r="Q539" s="19">
        <f ca="1">IF('Stock Price'!$I$11="OK",D539/INDEX(D$5:D$1258,'Stock Price'!$I$9)-1,"")</f>
        <v>-0.29075156155551074</v>
      </c>
      <c r="R539" s="19">
        <f ca="1">IF('Stock Price'!$I$11="OK",E539/INDEX(E$5:E$1258,'Stock Price'!$I$9)-1,"")</f>
        <v>-0.3510204081632653</v>
      </c>
      <c r="S539" s="19">
        <f ca="1">IF('Stock Price'!$I$11="OK",F539/INDEX(F$5:F$1258,'Stock Price'!$I$9)-1,"")</f>
        <v>-2.5088119427741917E-2</v>
      </c>
      <c r="T539" s="19">
        <f ca="1">IF('Stock Price'!$I$11="OK",G539/INDEX(G$5:G$1258,'Stock Price'!$I$9)-1,"")</f>
        <v>9.0789473684210531E-2</v>
      </c>
      <c r="U539" s="19">
        <f ca="1">IF('Stock Price'!$I$11="OK",H539/INDEX(H$5:H$1258,'Stock Price'!$I$9)-1,"")</f>
        <v>-4.4152184124001903E-2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95.25</v>
      </c>
      <c r="C540" s="18">
        <v>126.14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-0.31247293200519699</v>
      </c>
      <c r="P540" s="19">
        <f ca="1">IF('Stock Price'!$I$11="OK",C540/INDEX(C$5:C$1258,'Stock Price'!$I$9)-1,"")</f>
        <v>-0.30948405638428911</v>
      </c>
      <c r="Q540" s="19">
        <f ca="1">IF('Stock Price'!$I$11="OK",D540/INDEX(D$5:D$1258,'Stock Price'!$I$9)-1,"")</f>
        <v>-0.29256498085835181</v>
      </c>
      <c r="R540" s="19">
        <f ca="1">IF('Stock Price'!$I$11="OK",E540/INDEX(E$5:E$1258,'Stock Price'!$I$9)-1,"")</f>
        <v>-0.3508260447035958</v>
      </c>
      <c r="S540" s="19">
        <f ca="1">IF('Stock Price'!$I$11="OK",F540/INDEX(F$5:F$1258,'Stock Price'!$I$9)-1,"")</f>
        <v>-3.5869790586771644E-2</v>
      </c>
      <c r="T540" s="19">
        <f ca="1">IF('Stock Price'!$I$11="OK",G540/INDEX(G$5:G$1258,'Stock Price'!$I$9)-1,"")</f>
        <v>-0.10513157894736835</v>
      </c>
      <c r="U540" s="19">
        <f ca="1">IF('Stock Price'!$I$11="OK",H540/INDEX(H$5:H$1258,'Stock Price'!$I$9)-1,"")</f>
        <v>-3.5415688116486543E-2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96.38</v>
      </c>
      <c r="C541" s="18">
        <v>125.642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-0.30431644290457627</v>
      </c>
      <c r="P541" s="19">
        <f ca="1">IF('Stock Price'!$I$11="OK",C541/INDEX(C$5:C$1258,'Stock Price'!$I$9)-1,"")</f>
        <v>-0.31221020938825794</v>
      </c>
      <c r="Q541" s="19">
        <f ca="1">IF('Stock Price'!$I$11="OK",D541/INDEX(D$5:D$1258,'Stock Price'!$I$9)-1,"")</f>
        <v>-0.28712472294982871</v>
      </c>
      <c r="R541" s="19">
        <f ca="1">IF('Stock Price'!$I$11="OK",E541/INDEX(E$5:E$1258,'Stock Price'!$I$9)-1,"")</f>
        <v>-0.34752186588921286</v>
      </c>
      <c r="S541" s="19">
        <f ca="1">IF('Stock Price'!$I$11="OK",F541/INDEX(F$5:F$1258,'Stock Price'!$I$9)-1,"")</f>
        <v>-3.4833091436864971E-2</v>
      </c>
      <c r="T541" s="19">
        <f ca="1">IF('Stock Price'!$I$11="OK",G541/INDEX(G$5:G$1258,'Stock Price'!$I$9)-1,"")</f>
        <v>-0.10565789473684217</v>
      </c>
      <c r="U541" s="19">
        <f ca="1">IF('Stock Price'!$I$11="OK",H541/INDEX(H$5:H$1258,'Stock Price'!$I$9)-1,"")</f>
        <v>-3.9830906528886878E-2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97.09</v>
      </c>
      <c r="C542" s="18">
        <v>126.54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-0.29919156922188528</v>
      </c>
      <c r="P542" s="19">
        <f ca="1">IF('Stock Price'!$I$11="OK",C542/INDEX(C$5:C$1258,'Stock Price'!$I$9)-1,"")</f>
        <v>-0.3072943752566033</v>
      </c>
      <c r="Q542" s="19">
        <f ca="1">IF('Stock Price'!$I$11="OK",D542/INDEX(D$5:D$1258,'Stock Price'!$I$9)-1,"")</f>
        <v>-0.29075156155551074</v>
      </c>
      <c r="R542" s="19">
        <f ca="1">IF('Stock Price'!$I$11="OK",E542/INDEX(E$5:E$1258,'Stock Price'!$I$9)-1,"")</f>
        <v>-0.35179786200194363</v>
      </c>
      <c r="S542" s="19">
        <f ca="1">IF('Stock Price'!$I$11="OK",F542/INDEX(F$5:F$1258,'Stock Price'!$I$9)-1,"")</f>
        <v>-3.6699149906696982E-2</v>
      </c>
      <c r="T542" s="19">
        <f ca="1">IF('Stock Price'!$I$11="OK",G542/INDEX(G$5:G$1258,'Stock Price'!$I$9)-1,"")</f>
        <v>-0.13644736842105265</v>
      </c>
      <c r="U542" s="19">
        <f ca="1">IF('Stock Price'!$I$11="OK",H542/INDEX(H$5:H$1258,'Stock Price'!$I$9)-1,"")</f>
        <v>-4.4809769844997627E-2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98.14</v>
      </c>
      <c r="C543" s="18">
        <v>128.55000000000001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-0.29161253067706072</v>
      </c>
      <c r="P543" s="19">
        <f ca="1">IF('Stock Price'!$I$11="OK",C543/INDEX(C$5:C$1258,'Stock Price'!$I$9)-1,"")</f>
        <v>-0.29629122758998216</v>
      </c>
      <c r="Q543" s="19">
        <f ca="1">IF('Stock Price'!$I$11="OK",D543/INDEX(D$5:D$1258,'Stock Price'!$I$9)-1,"")</f>
        <v>-0.27846060850292165</v>
      </c>
      <c r="R543" s="19">
        <f ca="1">IF('Stock Price'!$I$11="OK",E543/INDEX(E$5:E$1258,'Stock Price'!$I$9)-1,"")</f>
        <v>-0.34266277939747336</v>
      </c>
      <c r="S543" s="19">
        <f ca="1">IF('Stock Price'!$I$11="OK",F543/INDEX(F$5:F$1258,'Stock Price'!$I$9)-1,"")</f>
        <v>-2.1770682148040565E-2</v>
      </c>
      <c r="T543" s="19">
        <f ca="1">IF('Stock Price'!$I$11="OK",G543/INDEX(G$5:G$1258,'Stock Price'!$I$9)-1,"")</f>
        <v>-0.14092105263157884</v>
      </c>
      <c r="U543" s="19">
        <f ca="1">IF('Stock Price'!$I$11="OK",H543/INDEX(H$5:H$1258,'Stock Price'!$I$9)-1,"")</f>
        <v>-4.302489431658052E-2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97.74</v>
      </c>
      <c r="C544" s="18">
        <v>128.76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-0.29449978345604155</v>
      </c>
      <c r="P544" s="19">
        <f ca="1">IF('Stock Price'!$I$11="OK",C544/INDEX(C$5:C$1258,'Stock Price'!$I$9)-1,"")</f>
        <v>-0.29514164499794726</v>
      </c>
      <c r="Q544" s="19">
        <f ca="1">IF('Stock Price'!$I$11="OK",D544/INDEX(D$5:D$1258,'Stock Price'!$I$9)-1,"")</f>
        <v>-0.28208744710860367</v>
      </c>
      <c r="R544" s="19">
        <f ca="1">IF('Stock Price'!$I$11="OK",E544/INDEX(E$5:E$1258,'Stock Price'!$I$9)-1,"")</f>
        <v>-0.35140913508260452</v>
      </c>
      <c r="S544" s="19">
        <f ca="1">IF('Stock Price'!$I$11="OK",F544/INDEX(F$5:F$1258,'Stock Price'!$I$9)-1,"")</f>
        <v>-1.2025710138917622E-2</v>
      </c>
      <c r="T544" s="19">
        <f ca="1">IF('Stock Price'!$I$11="OK",G544/INDEX(G$5:G$1258,'Stock Price'!$I$9)-1,"")</f>
        <v>-0.1668421052631579</v>
      </c>
      <c r="U544" s="19">
        <f ca="1">IF('Stock Price'!$I$11="OK",H544/INDEX(H$5:H$1258,'Stock Price'!$I$9)-1,"")</f>
        <v>-4.715829027712537E-2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97</v>
      </c>
      <c r="C545" s="18">
        <v>124.9599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-0.29984120109715606</v>
      </c>
      <c r="P545" s="19">
        <f ca="1">IF('Stock Price'!$I$11="OK",C545/INDEX(C$5:C$1258,'Stock Price'!$I$9)-1,"")</f>
        <v>-0.31594416313124407</v>
      </c>
      <c r="Q545" s="19">
        <f ca="1">IF('Stock Price'!$I$11="OK",D545/INDEX(D$5:D$1258,'Stock Price'!$I$9)-1,"")</f>
        <v>-0.2818859560749547</v>
      </c>
      <c r="R545" s="19">
        <f ca="1">IF('Stock Price'!$I$11="OK",E545/INDEX(E$5:E$1258,'Stock Price'!$I$9)-1,"")</f>
        <v>-0.34771622934888236</v>
      </c>
      <c r="S545" s="19">
        <f ca="1">IF('Stock Price'!$I$11="OK",F545/INDEX(F$5:F$1258,'Stock Price'!$I$9)-1,"")</f>
        <v>-2.5917478747667477E-2</v>
      </c>
      <c r="T545" s="19">
        <f ca="1">IF('Stock Price'!$I$11="OK",G545/INDEX(G$5:G$1258,'Stock Price'!$I$9)-1,"")</f>
        <v>-0.195921052631579</v>
      </c>
      <c r="U545" s="19">
        <f ca="1">IF('Stock Price'!$I$11="OK",H545/INDEX(H$5:H$1258,'Stock Price'!$I$9)-1,"")</f>
        <v>-5.8900892437764196E-2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97.01</v>
      </c>
      <c r="C546" s="18">
        <v>126.8199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-0.29976901977768144</v>
      </c>
      <c r="P546" s="19">
        <f ca="1">IF('Stock Price'!$I$11="OK",C546/INDEX(C$5:C$1258,'Stock Price'!$I$9)-1,"")</f>
        <v>-0.30576214588750517</v>
      </c>
      <c r="Q546" s="19">
        <f ca="1">IF('Stock Price'!$I$11="OK",D546/INDEX(D$5:D$1258,'Stock Price'!$I$9)-1,"")</f>
        <v>-0.28490832157968971</v>
      </c>
      <c r="R546" s="19">
        <f ca="1">IF('Stock Price'!$I$11="OK",E546/INDEX(E$5:E$1258,'Stock Price'!$I$9)-1,"")</f>
        <v>-0.34285714285714286</v>
      </c>
      <c r="S546" s="19">
        <f ca="1">IF('Stock Price'!$I$11="OK",F546/INDEX(F$5:F$1258,'Stock Price'!$I$9)-1,"")</f>
        <v>-3.3796392286958188E-2</v>
      </c>
      <c r="T546" s="19">
        <f ca="1">IF('Stock Price'!$I$11="OK",G546/INDEX(G$5:G$1258,'Stock Price'!$I$9)-1,"")</f>
        <v>-0.19289473684210523</v>
      </c>
      <c r="U546" s="19">
        <f ca="1">IF('Stock Price'!$I$11="OK",H546/INDEX(H$5:H$1258,'Stock Price'!$I$9)-1,"")</f>
        <v>-4.9976514795678773E-2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97.9</v>
      </c>
      <c r="C547" s="18">
        <v>128.5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-0.29334488234444922</v>
      </c>
      <c r="P547" s="19">
        <f ca="1">IF('Stock Price'!$I$11="OK",C547/INDEX(C$5:C$1258,'Stock Price'!$I$9)-1,"")</f>
        <v>-0.29656493773094295</v>
      </c>
      <c r="Q547" s="19">
        <f ca="1">IF('Stock Price'!$I$11="OK",D547/INDEX(D$5:D$1258,'Stock Price'!$I$9)-1,"")</f>
        <v>-0.27483376989723962</v>
      </c>
      <c r="R547" s="19">
        <f ca="1">IF('Stock Price'!$I$11="OK",E547/INDEX(E$5:E$1258,'Stock Price'!$I$9)-1,"")</f>
        <v>-0.34518950437317797</v>
      </c>
      <c r="S547" s="19">
        <f ca="1">IF('Stock Price'!$I$11="OK",F547/INDEX(F$5:F$1258,'Stock Price'!$I$9)-1,"")</f>
        <v>-3.0686294837238171E-2</v>
      </c>
      <c r="T547" s="19">
        <f ca="1">IF('Stock Price'!$I$11="OK",G547/INDEX(G$5:G$1258,'Stock Price'!$I$9)-1,"")</f>
        <v>-0.17473684210526319</v>
      </c>
      <c r="U547" s="19">
        <f ca="1">IF('Stock Price'!$I$11="OK",H547/INDEX(H$5:H$1258,'Stock Price'!$I$9)-1,"")</f>
        <v>-3.7294504462188849E-2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98.13</v>
      </c>
      <c r="C548" s="18">
        <v>125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-0.29168471199653534</v>
      </c>
      <c r="P548" s="19">
        <f ca="1">IF('Stock Price'!$I$11="OK",C548/INDEX(C$5:C$1258,'Stock Price'!$I$9)-1,"")</f>
        <v>-0.31572464759819352</v>
      </c>
      <c r="Q548" s="19">
        <f ca="1">IF('Stock Price'!$I$11="OK",D548/INDEX(D$5:D$1258,'Stock Price'!$I$9)-1,"")</f>
        <v>-0.26314728994559744</v>
      </c>
      <c r="R548" s="19">
        <f ca="1">IF('Stock Price'!$I$11="OK",E548/INDEX(E$5:E$1258,'Stock Price'!$I$9)-1,"")</f>
        <v>-0.33216715257531593</v>
      </c>
      <c r="S548" s="19">
        <f ca="1">IF('Stock Price'!$I$11="OK",F548/INDEX(F$5:F$1258,'Stock Price'!$I$9)-1,"")</f>
        <v>-3.1308314327182174E-2</v>
      </c>
      <c r="T548" s="19">
        <f ca="1">IF('Stock Price'!$I$11="OK",G548/INDEX(G$5:G$1258,'Stock Price'!$I$9)-1,"")</f>
        <v>-0.18131578947368421</v>
      </c>
      <c r="U548" s="19">
        <f ca="1">IF('Stock Price'!$I$11="OK",H548/INDEX(H$5:H$1258,'Stock Price'!$I$9)-1,"")</f>
        <v>-2.8088304368248052E-2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98.99</v>
      </c>
      <c r="C549" s="18">
        <v>128.52000000000001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-0.28547711852172653</v>
      </c>
      <c r="P549" s="19">
        <f ca="1">IF('Stock Price'!$I$11="OK",C549/INDEX(C$5:C$1258,'Stock Price'!$I$9)-1,"")</f>
        <v>-0.29645545367455861</v>
      </c>
      <c r="Q549" s="19">
        <f ca="1">IF('Stock Price'!$I$11="OK",D549/INDEX(D$5:D$1258,'Stock Price'!$I$9)-1,"")</f>
        <v>-0.26193834374370339</v>
      </c>
      <c r="R549" s="19">
        <f ca="1">IF('Stock Price'!$I$11="OK",E549/INDEX(E$5:E$1258,'Stock Price'!$I$9)-1,"")</f>
        <v>-0.31156462585034017</v>
      </c>
      <c r="S549" s="19">
        <f ca="1">IF('Stock Price'!$I$11="OK",F549/INDEX(F$5:F$1258,'Stock Price'!$I$9)-1,"")</f>
        <v>-2.5088119427741917E-2</v>
      </c>
      <c r="T549" s="19">
        <f ca="1">IF('Stock Price'!$I$11="OK",G549/INDEX(G$5:G$1258,'Stock Price'!$I$9)-1,"")</f>
        <v>-0.18881578947368427</v>
      </c>
      <c r="U549" s="19">
        <f ca="1">IF('Stock Price'!$I$11="OK",H549/INDEX(H$5:H$1258,'Stock Price'!$I$9)-1,"")</f>
        <v>-1.3057773602630385E-2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96.97</v>
      </c>
      <c r="C550" s="18">
        <v>125.75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-0.30005774505557958</v>
      </c>
      <c r="P550" s="19">
        <f ca="1">IF('Stock Price'!$I$11="OK",C550/INDEX(C$5:C$1258,'Stock Price'!$I$9)-1,"")</f>
        <v>-0.31161899548378269</v>
      </c>
      <c r="Q550" s="19">
        <f ca="1">IF('Stock Price'!$I$11="OK",D550/INDEX(D$5:D$1258,'Stock Price'!$I$9)-1,"")</f>
        <v>-0.26798307475317351</v>
      </c>
      <c r="R550" s="19">
        <f ca="1">IF('Stock Price'!$I$11="OK",E550/INDEX(E$5:E$1258,'Stock Price'!$I$9)-1,"")</f>
        <v>-0.30301263362487862</v>
      </c>
      <c r="S550" s="19">
        <f ca="1">IF('Stock Price'!$I$11="OK",F550/INDEX(F$5:F$1258,'Stock Price'!$I$9)-1,"")</f>
        <v>-3.9187227866472996E-2</v>
      </c>
      <c r="T550" s="19">
        <f ca="1">IF('Stock Price'!$I$11="OK",G550/INDEX(G$5:G$1258,'Stock Price'!$I$9)-1,"")</f>
        <v>-0.16565789473684212</v>
      </c>
      <c r="U550" s="19">
        <f ca="1">IF('Stock Price'!$I$11="OK",H550/INDEX(H$5:H$1258,'Stock Price'!$I$9)-1,"")</f>
        <v>-2.0666979802723695E-3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97.05</v>
      </c>
      <c r="C551" s="18">
        <v>125.5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-0.29948029449978342</v>
      </c>
      <c r="P551" s="19">
        <f ca="1">IF('Stock Price'!$I$11="OK",C551/INDEX(C$5:C$1258,'Stock Price'!$I$9)-1,"")</f>
        <v>-0.31298754618858637</v>
      </c>
      <c r="Q551" s="19">
        <f ca="1">IF('Stock Price'!$I$11="OK",D551/INDEX(D$5:D$1258,'Stock Price'!$I$9)-1,"")</f>
        <v>-0.27120693129155748</v>
      </c>
      <c r="R551" s="19">
        <f ca="1">IF('Stock Price'!$I$11="OK",E551/INDEX(E$5:E$1258,'Stock Price'!$I$9)-1,"")</f>
        <v>-0.30320699708454812</v>
      </c>
      <c r="S551" s="19">
        <f ca="1">IF('Stock Price'!$I$11="OK",F551/INDEX(F$5:F$1258,'Stock Price'!$I$9)-1,"")</f>
        <v>-4.665146174580137E-2</v>
      </c>
      <c r="T551" s="19">
        <f ca="1">IF('Stock Price'!$I$11="OK",G551/INDEX(G$5:G$1258,'Stock Price'!$I$9)-1,"")</f>
        <v>-0.14763157894736845</v>
      </c>
      <c r="U551" s="19">
        <f ca="1">IF('Stock Price'!$I$11="OK",H551/INDEX(H$5:H$1258,'Stock Price'!$I$9)-1,"")</f>
        <v>-7.703147017379175E-3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95.93</v>
      </c>
      <c r="C552" s="18">
        <v>125.4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-0.30756460228092963</v>
      </c>
      <c r="P552" s="19">
        <f ca="1">IF('Stock Price'!$I$11="OK",C552/INDEX(C$5:C$1258,'Stock Price'!$I$9)-1,"")</f>
        <v>-0.31353496647050771</v>
      </c>
      <c r="Q552" s="19">
        <f ca="1">IF('Stock Price'!$I$11="OK",D552/INDEX(D$5:D$1258,'Stock Price'!$I$9)-1,"")</f>
        <v>-0.27463227886359065</v>
      </c>
      <c r="R552" s="19">
        <f ca="1">IF('Stock Price'!$I$11="OK",E552/INDEX(E$5:E$1258,'Stock Price'!$I$9)-1,"")</f>
        <v>-0.30845481049562684</v>
      </c>
      <c r="S552" s="19">
        <f ca="1">IF('Stock Price'!$I$11="OK",F552/INDEX(F$5:F$1258,'Stock Price'!$I$9)-1,"")</f>
        <v>-4.4992743105950583E-2</v>
      </c>
      <c r="T552" s="19">
        <f ca="1">IF('Stock Price'!$I$11="OK",G552/INDEX(G$5:G$1258,'Stock Price'!$I$9)-1,"")</f>
        <v>-0.16236842105263161</v>
      </c>
      <c r="U552" s="19">
        <f ca="1">IF('Stock Price'!$I$11="OK",H552/INDEX(H$5:H$1258,'Stock Price'!$I$9)-1,"")</f>
        <v>-2.4142790042273488E-2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96.3</v>
      </c>
      <c r="C553" s="18">
        <v>125.06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-0.30489389346037243</v>
      </c>
      <c r="P553" s="19">
        <f ca="1">IF('Stock Price'!$I$11="OK",C553/INDEX(C$5:C$1258,'Stock Price'!$I$9)-1,"")</f>
        <v>-0.31539619542904063</v>
      </c>
      <c r="Q553" s="19">
        <f ca="1">IF('Stock Price'!$I$11="OK",D553/INDEX(D$5:D$1258,'Stock Price'!$I$9)-1,"")</f>
        <v>-0.2758412250654847</v>
      </c>
      <c r="R553" s="19">
        <f ca="1">IF('Stock Price'!$I$11="OK",E553/INDEX(E$5:E$1258,'Stock Price'!$I$9)-1,"")</f>
        <v>-0.30029154518950441</v>
      </c>
      <c r="S553" s="19">
        <f ca="1">IF('Stock Price'!$I$11="OK",F553/INDEX(F$5:F$1258,'Stock Price'!$I$9)-1,"")</f>
        <v>-3.9601907526435776E-2</v>
      </c>
      <c r="T553" s="19">
        <f ca="1">IF('Stock Price'!$I$11="OK",G553/INDEX(G$5:G$1258,'Stock Price'!$I$9)-1,"")</f>
        <v>-0.16065789473684211</v>
      </c>
      <c r="U553" s="19">
        <f ca="1">IF('Stock Price'!$I$11="OK",H553/INDEX(H$5:H$1258,'Stock Price'!$I$9)-1,"")</f>
        <v>-2.5364020666979847E-2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97.28</v>
      </c>
      <c r="C554" s="18">
        <v>125.2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-0.29782012415186943</v>
      </c>
      <c r="P554" s="19">
        <f ca="1">IF('Stock Price'!$I$11="OK",C554/INDEX(C$5:C$1258,'Stock Price'!$I$9)-1,"")</f>
        <v>-0.31462980703435062</v>
      </c>
      <c r="Q554" s="19">
        <f ca="1">IF('Stock Price'!$I$11="OK",D554/INDEX(D$5:D$1258,'Stock Price'!$I$9)-1,"")</f>
        <v>-0.26717711061857752</v>
      </c>
      <c r="R554" s="19">
        <f ca="1">IF('Stock Price'!$I$11="OK",E554/INDEX(E$5:E$1258,'Stock Price'!$I$9)-1,"")</f>
        <v>-0.2977648202137998</v>
      </c>
      <c r="S554" s="19">
        <f ca="1">IF('Stock Price'!$I$11="OK",F554/INDEX(F$5:F$1258,'Stock Price'!$I$9)-1,"")</f>
        <v>-2.2392701637984569E-2</v>
      </c>
      <c r="T554" s="19">
        <f ca="1">IF('Stock Price'!$I$11="OK",G554/INDEX(G$5:G$1258,'Stock Price'!$I$9)-1,"")</f>
        <v>-0.1713157894736842</v>
      </c>
      <c r="U554" s="19">
        <f ca="1">IF('Stock Price'!$I$11="OK",H554/INDEX(H$5:H$1258,'Stock Price'!$I$9)-1,"")</f>
        <v>-1.9539689995302978E-2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98.17</v>
      </c>
      <c r="C555" s="18">
        <v>126.48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-0.2913959867186372</v>
      </c>
      <c r="P555" s="19">
        <f ca="1">IF('Stock Price'!$I$11="OK",C555/INDEX(C$5:C$1258,'Stock Price'!$I$9)-1,"")</f>
        <v>-0.3076228274257562</v>
      </c>
      <c r="Q555" s="19">
        <f ca="1">IF('Stock Price'!$I$11="OK",D555/INDEX(D$5:D$1258,'Stock Price'!$I$9)-1,"")</f>
        <v>-0.26616965545033244</v>
      </c>
      <c r="R555" s="19">
        <f ca="1">IF('Stock Price'!$I$11="OK",E555/INDEX(E$5:E$1258,'Stock Price'!$I$9)-1,"")</f>
        <v>-0.29601554907677363</v>
      </c>
      <c r="S555" s="19">
        <f ca="1">IF('Stock Price'!$I$11="OK",F555/INDEX(F$5:F$1258,'Stock Price'!$I$9)-1,"")</f>
        <v>-1.8660584698320548E-2</v>
      </c>
      <c r="T555" s="19">
        <f ca="1">IF('Stock Price'!$I$11="OK",G555/INDEX(G$5:G$1258,'Stock Price'!$I$9)-1,"")</f>
        <v>-0.1752631578947369</v>
      </c>
      <c r="U555" s="19">
        <f ca="1">IF('Stock Price'!$I$11="OK",H555/INDEX(H$5:H$1258,'Stock Price'!$I$9)-1,"")</f>
        <v>-1.9633630812588065E-2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99.71</v>
      </c>
      <c r="C556" s="18">
        <v>129.25989999999999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-0.28028006351956114</v>
      </c>
      <c r="P556" s="19">
        <f ca="1">IF('Stock Price'!$I$11="OK",C556/INDEX(C$5:C$1258,'Stock Price'!$I$9)-1,"")</f>
        <v>-0.292405091008622</v>
      </c>
      <c r="Q556" s="19">
        <f ca="1">IF('Stock Price'!$I$11="OK",D556/INDEX(D$5:D$1258,'Stock Price'!$I$9)-1,"")</f>
        <v>-0.25972194237356439</v>
      </c>
      <c r="R556" s="19">
        <f ca="1">IF('Stock Price'!$I$11="OK",E556/INDEX(E$5:E$1258,'Stock Price'!$I$9)-1,"")</f>
        <v>-0.29640427599611274</v>
      </c>
      <c r="S556" s="19">
        <f ca="1">IF('Stock Price'!$I$11="OK",F556/INDEX(F$5:F$1258,'Stock Price'!$I$9)-1,"")</f>
        <v>1.4513788098693414E-3</v>
      </c>
      <c r="T556" s="19">
        <f ca="1">IF('Stock Price'!$I$11="OK",G556/INDEX(G$5:G$1258,'Stock Price'!$I$9)-1,"")</f>
        <v>-0.18263157894736848</v>
      </c>
      <c r="U556" s="19">
        <f ca="1">IF('Stock Price'!$I$11="OK",H556/INDEX(H$5:H$1258,'Stock Price'!$I$9)-1,"")</f>
        <v>6.2000939408173306E-3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98.87</v>
      </c>
      <c r="C557" s="18">
        <v>132.495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-0.28634329435542072</v>
      </c>
      <c r="P557" s="19">
        <f ca="1">IF('Stock Price'!$I$11="OK",C557/INDEX(C$5:C$1258,'Stock Price'!$I$9)-1,"")</f>
        <v>-0.27469549746818123</v>
      </c>
      <c r="Q557" s="19">
        <f ca="1">IF('Stock Price'!$I$11="OK",D557/INDEX(D$5:D$1258,'Stock Price'!$I$9)-1,"")</f>
        <v>-0.25488615756598842</v>
      </c>
      <c r="R557" s="19">
        <f ca="1">IF('Stock Price'!$I$11="OK",E557/INDEX(E$5:E$1258,'Stock Price'!$I$9)-1,"")</f>
        <v>-0.31195335276967939</v>
      </c>
      <c r="S557" s="19">
        <f ca="1">IF('Stock Price'!$I$11="OK",F557/INDEX(F$5:F$1258,'Stock Price'!$I$9)-1,"")</f>
        <v>2.0733982998155653E-4</v>
      </c>
      <c r="T557" s="19">
        <f ca="1">IF('Stock Price'!$I$11="OK",G557/INDEX(G$5:G$1258,'Stock Price'!$I$9)-1,"")</f>
        <v>-0.16065789473684211</v>
      </c>
      <c r="U557" s="19">
        <f ca="1">IF('Stock Price'!$I$11="OK",H557/INDEX(H$5:H$1258,'Stock Price'!$I$9)-1,"")</f>
        <v>-5.3546265852513208E-3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97.4</v>
      </c>
      <c r="C558" s="18">
        <v>131.28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-0.29695394831817512</v>
      </c>
      <c r="P558" s="19">
        <f ca="1">IF('Stock Price'!$I$11="OK",C558/INDEX(C$5:C$1258,'Stock Price'!$I$9)-1,"")</f>
        <v>-0.28134665389352675</v>
      </c>
      <c r="Q558" s="19">
        <f ca="1">IF('Stock Price'!$I$11="OK",D558/INDEX(D$5:D$1258,'Stock Price'!$I$9)-1,"")</f>
        <v>-0.27705017126737863</v>
      </c>
      <c r="R558" s="19">
        <f ca="1">IF('Stock Price'!$I$11="OK",E558/INDEX(E$5:E$1258,'Stock Price'!$I$9)-1,"")</f>
        <v>-0.32497570456754143</v>
      </c>
      <c r="S558" s="19">
        <f ca="1">IF('Stock Price'!$I$11="OK",F558/INDEX(F$5:F$1258,'Stock Price'!$I$9)-1,"")</f>
        <v>-1.1403690648973619E-2</v>
      </c>
      <c r="T558" s="19">
        <f ca="1">IF('Stock Price'!$I$11="OK",G558/INDEX(G$5:G$1258,'Stock Price'!$I$9)-1,"")</f>
        <v>-0.15513157894736851</v>
      </c>
      <c r="U558" s="19">
        <f ca="1">IF('Stock Price'!$I$11="OK",H558/INDEX(H$5:H$1258,'Stock Price'!$I$9)-1,"")</f>
        <v>-1.2588069516204836E-2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98.22</v>
      </c>
      <c r="C559" s="18">
        <v>128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-0.29103508012126456</v>
      </c>
      <c r="P559" s="19">
        <f ca="1">IF('Stock Price'!$I$11="OK",C559/INDEX(C$5:C$1258,'Stock Price'!$I$9)-1,"")</f>
        <v>-0.2993020391405502</v>
      </c>
      <c r="Q559" s="19">
        <f ca="1">IF('Stock Price'!$I$11="OK",D559/INDEX(D$5:D$1258,'Stock Price'!$I$9)-1,"")</f>
        <v>-0.26536369131573645</v>
      </c>
      <c r="R559" s="19">
        <f ca="1">IF('Stock Price'!$I$11="OK",E559/INDEX(E$5:E$1258,'Stock Price'!$I$9)-1,"")</f>
        <v>-0.31661807580174939</v>
      </c>
      <c r="S559" s="19">
        <f ca="1">IF('Stock Price'!$I$11="OK",F559/INDEX(F$5:F$1258,'Stock Price'!$I$9)-1,"")</f>
        <v>6.4275347294215912E-3</v>
      </c>
      <c r="T559" s="19">
        <f ca="1">IF('Stock Price'!$I$11="OK",G559/INDEX(G$5:G$1258,'Stock Price'!$I$9)-1,"")</f>
        <v>-0.15500000000000003</v>
      </c>
      <c r="U559" s="19">
        <f ca="1">IF('Stock Price'!$I$11="OK",H559/INDEX(H$5:H$1258,'Stock Price'!$I$9)-1,"")</f>
        <v>-3.8515735086894765E-3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98.29</v>
      </c>
      <c r="C560" s="18">
        <v>132.88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-0.2905298108849429</v>
      </c>
      <c r="P560" s="19">
        <f ca="1">IF('Stock Price'!$I$11="OK",C560/INDEX(C$5:C$1258,'Stock Price'!$I$9)-1,"")</f>
        <v>-0.27258792938278376</v>
      </c>
      <c r="Q560" s="19">
        <f ca="1">IF('Stock Price'!$I$11="OK",D560/INDEX(D$5:D$1258,'Stock Price'!$I$9)-1,"")</f>
        <v>-0.26455772718114046</v>
      </c>
      <c r="R560" s="19">
        <f ca="1">IF('Stock Price'!$I$11="OK",E560/INDEX(E$5:E$1258,'Stock Price'!$I$9)-1,"")</f>
        <v>-0.31059280855199234</v>
      </c>
      <c r="S560" s="19">
        <f ca="1">IF('Stock Price'!$I$11="OK",F560/INDEX(F$5:F$1258,'Stock Price'!$I$9)-1,"")</f>
        <v>1.7209205888451207E-2</v>
      </c>
      <c r="T560" s="19">
        <f ca="1">IF('Stock Price'!$I$11="OK",G560/INDEX(G$5:G$1258,'Stock Price'!$I$9)-1,"")</f>
        <v>-0.15276315789473682</v>
      </c>
      <c r="U560" s="19">
        <f ca="1">IF('Stock Price'!$I$11="OK",H560/INDEX(H$5:H$1258,'Stock Price'!$I$9)-1,"")</f>
        <v>3.7576326914035008E-4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97.14</v>
      </c>
      <c r="C561" s="18">
        <v>131.125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-0.29883066262451274</v>
      </c>
      <c r="P561" s="19">
        <f ca="1">IF('Stock Price'!$I$11="OK",C561/INDEX(C$5:C$1258,'Stock Price'!$I$9)-1,"")</f>
        <v>-0.28219515533050499</v>
      </c>
      <c r="Q561" s="19">
        <f ca="1">IF('Stock Price'!$I$11="OK",D561/INDEX(D$5:D$1258,'Stock Price'!$I$9)-1,"")</f>
        <v>-0.27080394922425965</v>
      </c>
      <c r="R561" s="19">
        <f ca="1">IF('Stock Price'!$I$11="OK",E561/INDEX(E$5:E$1258,'Stock Price'!$I$9)-1,"")</f>
        <v>-0.31953352769679311</v>
      </c>
      <c r="S561" s="19">
        <f ca="1">IF('Stock Price'!$I$11="OK",F561/INDEX(F$5:F$1258,'Stock Price'!$I$9)-1,"")</f>
        <v>-4.1467965996255796E-4</v>
      </c>
      <c r="T561" s="19">
        <f ca="1">IF('Stock Price'!$I$11="OK",G561/INDEX(G$5:G$1258,'Stock Price'!$I$9)-1,"")</f>
        <v>-0.14328947368421052</v>
      </c>
      <c r="U561" s="19">
        <f ca="1">IF('Stock Price'!$I$11="OK",H561/INDEX(H$5:H$1258,'Stock Price'!$I$9)-1,"")</f>
        <v>-1.0239549084077093E-2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98.1</v>
      </c>
      <c r="C562" s="18">
        <v>130.5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-0.29190125595495886</v>
      </c>
      <c r="P562" s="19">
        <f ca="1">IF('Stock Price'!$I$11="OK",C562/INDEX(C$5:C$1258,'Stock Price'!$I$9)-1,"")</f>
        <v>-0.28561653209251403</v>
      </c>
      <c r="Q562" s="19">
        <f ca="1">IF('Stock Price'!$I$11="OK",D562/INDEX(D$5:D$1258,'Stock Price'!$I$9)-1,"")</f>
        <v>-0.25831150513802137</v>
      </c>
      <c r="R562" s="19">
        <f ca="1">IF('Stock Price'!$I$11="OK",E562/INDEX(E$5:E$1258,'Stock Price'!$I$9)-1,"")</f>
        <v>-0.30709426627793979</v>
      </c>
      <c r="S562" s="19">
        <f ca="1">IF('Stock Price'!$I$11="OK",F562/INDEX(F$5:F$1258,'Stock Price'!$I$9)-1,"")</f>
        <v>1.4928467758656527E-2</v>
      </c>
      <c r="T562" s="19">
        <f ca="1">IF('Stock Price'!$I$11="OK",G562/INDEX(G$5:G$1258,'Stock Price'!$I$9)-1,"")</f>
        <v>-0.1417105263157894</v>
      </c>
      <c r="U562" s="19">
        <f ca="1">IF('Stock Price'!$I$11="OK",H562/INDEX(H$5:H$1258,'Stock Price'!$I$9)-1,"")</f>
        <v>-5.6364490371063614E-4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98.75</v>
      </c>
      <c r="C563" s="18">
        <v>130.9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-0.28720947018911502</v>
      </c>
      <c r="P563" s="19">
        <f ca="1">IF('Stock Price'!$I$11="OK",C563/INDEX(C$5:C$1258,'Stock Price'!$I$9)-1,"")</f>
        <v>-0.28342685096482823</v>
      </c>
      <c r="Q563" s="19">
        <f ca="1">IF('Stock Price'!$I$11="OK",D563/INDEX(D$5:D$1258,'Stock Price'!$I$9)-1,"")</f>
        <v>-0.25468466653233934</v>
      </c>
      <c r="R563" s="19">
        <f ca="1">IF('Stock Price'!$I$11="OK",E563/INDEX(E$5:E$1258,'Stock Price'!$I$9)-1,"")</f>
        <v>-0.30923226433430517</v>
      </c>
      <c r="S563" s="19">
        <f ca="1">IF('Stock Price'!$I$11="OK",F563/INDEX(F$5:F$1258,'Stock Price'!$I$9)-1,"")</f>
        <v>1.0574331329048503E-2</v>
      </c>
      <c r="T563" s="19">
        <f ca="1">IF('Stock Price'!$I$11="OK",G563/INDEX(G$5:G$1258,'Stock Price'!$I$9)-1,"")</f>
        <v>-0.13934210526315793</v>
      </c>
      <c r="U563" s="19">
        <f ca="1">IF('Stock Price'!$I$11="OK",H563/INDEX(H$5:H$1258,'Stock Price'!$I$9)-1,"")</f>
        <v>1.1742602160638826E-2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98.55</v>
      </c>
      <c r="C564" s="18">
        <v>134.4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-0.28865309657860538</v>
      </c>
      <c r="P564" s="19">
        <f ca="1">IF('Stock Price'!$I$11="OK",C564/INDEX(C$5:C$1258,'Stock Price'!$I$9)-1,"")</f>
        <v>-0.26426714109757765</v>
      </c>
      <c r="Q564" s="19">
        <f ca="1">IF('Stock Price'!$I$11="OK",D564/INDEX(D$5:D$1258,'Stock Price'!$I$9)-1,"")</f>
        <v>-0.2542816844650414</v>
      </c>
      <c r="R564" s="19">
        <f ca="1">IF('Stock Price'!$I$11="OK",E564/INDEX(E$5:E$1258,'Stock Price'!$I$9)-1,"")</f>
        <v>-0.30767735665694862</v>
      </c>
      <c r="S564" s="19">
        <f ca="1">IF('Stock Price'!$I$11="OK",F564/INDEX(F$5:F$1258,'Stock Price'!$I$9)-1,"")</f>
        <v>1.7623885548413876E-2</v>
      </c>
      <c r="T564" s="19">
        <f ca="1">IF('Stock Price'!$I$11="OK",G564/INDEX(G$5:G$1258,'Stock Price'!$I$9)-1,"")</f>
        <v>-0.13934210526315793</v>
      </c>
      <c r="U564" s="19">
        <f ca="1">IF('Stock Price'!$I$11="OK",H564/INDEX(H$5:H$1258,'Stock Price'!$I$9)-1,"")</f>
        <v>1.1085016439642992E-2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99.71</v>
      </c>
      <c r="C565" s="18">
        <v>133.09989999999999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-0.28028006351956114</v>
      </c>
      <c r="P565" s="19">
        <f ca="1">IF('Stock Price'!$I$11="OK",C565/INDEX(C$5:C$1258,'Stock Price'!$I$9)-1,"")</f>
        <v>-0.27138415218283851</v>
      </c>
      <c r="Q565" s="19">
        <f ca="1">IF('Stock Price'!$I$11="OK",D565/INDEX(D$5:D$1258,'Stock Price'!$I$9)-1,"")</f>
        <v>-0.25246826516220033</v>
      </c>
      <c r="R565" s="19">
        <f ca="1">IF('Stock Price'!$I$11="OK",E565/INDEX(E$5:E$1258,'Stock Price'!$I$9)-1,"")</f>
        <v>-0.30048590864917391</v>
      </c>
      <c r="S565" s="19">
        <f ca="1">IF('Stock Price'!$I$11="OK",F565/INDEX(F$5:F$1258,'Stock Price'!$I$9)-1,"")</f>
        <v>3.1515654157163731E-2</v>
      </c>
      <c r="T565" s="19">
        <f ca="1">IF('Stock Price'!$I$11="OK",G565/INDEX(G$5:G$1258,'Stock Price'!$I$9)-1,"")</f>
        <v>-0.1193421052631578</v>
      </c>
      <c r="U565" s="19">
        <f ca="1">IF('Stock Price'!$I$11="OK",H565/INDEX(H$5:H$1258,'Stock Price'!$I$9)-1,"")</f>
        <v>1.4372945044621943E-2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99.97</v>
      </c>
      <c r="C566" s="18">
        <v>136.32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-0.27840334921322363</v>
      </c>
      <c r="P566" s="19">
        <f ca="1">IF('Stock Price'!$I$11="OK",C566/INDEX(C$5:C$1258,'Stock Price'!$I$9)-1,"")</f>
        <v>-0.25375667168468596</v>
      </c>
      <c r="Q566" s="19">
        <f ca="1">IF('Stock Price'!$I$11="OK",D566/INDEX(D$5:D$1258,'Stock Price'!$I$9)-1,"")</f>
        <v>-0.2526697561958493</v>
      </c>
      <c r="R566" s="19">
        <f ca="1">IF('Stock Price'!$I$11="OK",E566/INDEX(E$5:E$1258,'Stock Price'!$I$9)-1,"")</f>
        <v>-0.30398445092322646</v>
      </c>
      <c r="S566" s="19">
        <f ca="1">IF('Stock Price'!$I$11="OK",F566/INDEX(F$5:F$1258,'Stock Price'!$I$9)-1,"")</f>
        <v>2.3844080447854132E-2</v>
      </c>
      <c r="T566" s="19">
        <f ca="1">IF('Stock Price'!$I$11="OK",G566/INDEX(G$5:G$1258,'Stock Price'!$I$9)-1,"")</f>
        <v>-0.11868421052631573</v>
      </c>
      <c r="U566" s="19">
        <f ca="1">IF('Stock Price'!$I$11="OK",H566/INDEX(H$5:H$1258,'Stock Price'!$I$9)-1,"")</f>
        <v>2.1794269610145633E-2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100.97</v>
      </c>
      <c r="C567" s="18">
        <v>134.44999999999999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-0.27118521726577161</v>
      </c>
      <c r="P567" s="19">
        <f ca="1">IF('Stock Price'!$I$11="OK",C567/INDEX(C$5:C$1258,'Stock Price'!$I$9)-1,"")</f>
        <v>-0.26399343095661709</v>
      </c>
      <c r="Q567" s="19">
        <f ca="1">IF('Stock Price'!$I$11="OK",D567/INDEX(D$5:D$1258,'Stock Price'!$I$9)-1,"")</f>
        <v>-0.25327422929679633</v>
      </c>
      <c r="R567" s="19">
        <f ca="1">IF('Stock Price'!$I$11="OK",E567/INDEX(E$5:E$1258,'Stock Price'!$I$9)-1,"")</f>
        <v>-0.29582118561710413</v>
      </c>
      <c r="S567" s="19">
        <f ca="1">IF('Stock Price'!$I$11="OK",F567/INDEX(F$5:F$1258,'Stock Price'!$I$9)-1,"")</f>
        <v>3.110097449720084E-2</v>
      </c>
      <c r="T567" s="19">
        <f ca="1">IF('Stock Price'!$I$11="OK",G567/INDEX(G$5:G$1258,'Stock Price'!$I$9)-1,"")</f>
        <v>-0.11499999999999988</v>
      </c>
      <c r="U567" s="19">
        <f ca="1">IF('Stock Price'!$I$11="OK",H567/INDEX(H$5:H$1258,'Stock Price'!$I$9)-1,"")</f>
        <v>2.4142790042273266E-2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101</v>
      </c>
      <c r="C568" s="18">
        <v>132.81229999999999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-0.27096867330734797</v>
      </c>
      <c r="P568" s="19">
        <f ca="1">IF('Stock Price'!$I$11="OK",C568/INDEX(C$5:C$1258,'Stock Price'!$I$9)-1,"")</f>
        <v>-0.27295853291364458</v>
      </c>
      <c r="Q568" s="19">
        <f ca="1">IF('Stock Price'!$I$11="OK",D568/INDEX(D$5:D$1258,'Stock Price'!$I$9)-1,"")</f>
        <v>-0.24420713278259121</v>
      </c>
      <c r="R568" s="19">
        <f ca="1">IF('Stock Price'!$I$11="OK",E568/INDEX(E$5:E$1258,'Stock Price'!$I$9)-1,"")</f>
        <v>-0.29348882410106902</v>
      </c>
      <c r="S568" s="19">
        <f ca="1">IF('Stock Price'!$I$11="OK",F568/INDEX(F$5:F$1258,'Stock Price'!$I$9)-1,"")</f>
        <v>3.6699149906697093E-2</v>
      </c>
      <c r="T568" s="19">
        <f ca="1">IF('Stock Price'!$I$11="OK",G568/INDEX(G$5:G$1258,'Stock Price'!$I$9)-1,"")</f>
        <v>-9.6710526315789358E-2</v>
      </c>
      <c r="U568" s="19">
        <f ca="1">IF('Stock Price'!$I$11="OK",H568/INDEX(H$5:H$1258,'Stock Price'!$I$9)-1,"")</f>
        <v>6.3785814936589968E-2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104.82</v>
      </c>
      <c r="C569" s="18">
        <v>138.46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-0.24339540926808145</v>
      </c>
      <c r="P569" s="19">
        <f ca="1">IF('Stock Price'!$I$11="OK",C569/INDEX(C$5:C$1258,'Stock Price'!$I$9)-1,"")</f>
        <v>-0.24204187765156704</v>
      </c>
      <c r="Q569" s="19">
        <f ca="1">IF('Stock Price'!$I$11="OK",D569/INDEX(D$5:D$1258,'Stock Price'!$I$9)-1,"")</f>
        <v>-0.2157968970380818</v>
      </c>
      <c r="R569" s="19">
        <f ca="1">IF('Stock Price'!$I$11="OK",E569/INDEX(E$5:E$1258,'Stock Price'!$I$9)-1,"")</f>
        <v>-0.27657920310981543</v>
      </c>
      <c r="S569" s="19">
        <f ca="1">IF('Stock Price'!$I$11="OK",F569/INDEX(F$5:F$1258,'Stock Price'!$I$9)-1,"")</f>
        <v>4.9346879535558941E-2</v>
      </c>
      <c r="T569" s="19">
        <f ca="1">IF('Stock Price'!$I$11="OK",G569/INDEX(G$5:G$1258,'Stock Price'!$I$9)-1,"")</f>
        <v>-9.4605263157894748E-2</v>
      </c>
      <c r="U569" s="19">
        <f ca="1">IF('Stock Price'!$I$11="OK",H569/INDEX(H$5:H$1258,'Stock Price'!$I$9)-1,"")</f>
        <v>7.815875998121169E-2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105.57</v>
      </c>
      <c r="C570" s="18">
        <v>137.05000000000001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-0.23798181030749244</v>
      </c>
      <c r="P570" s="19">
        <f ca="1">IF('Stock Price'!$I$11="OK",C570/INDEX(C$5:C$1258,'Stock Price'!$I$9)-1,"")</f>
        <v>-0.24976050362665936</v>
      </c>
      <c r="Q570" s="19">
        <f ca="1">IF('Stock Price'!$I$11="OK",D570/INDEX(D$5:D$1258,'Stock Price'!$I$9)-1,"")</f>
        <v>-0.2127745315333468</v>
      </c>
      <c r="R570" s="19">
        <f ca="1">IF('Stock Price'!$I$11="OK",E570/INDEX(E$5:E$1258,'Stock Price'!$I$9)-1,"")</f>
        <v>-0.27191448007774544</v>
      </c>
      <c r="S570" s="19">
        <f ca="1">IF('Stock Price'!$I$11="OK",F570/INDEX(F$5:F$1258,'Stock Price'!$I$9)-1,"")</f>
        <v>5.764047273481232E-2</v>
      </c>
      <c r="T570" s="19">
        <f ca="1">IF('Stock Price'!$I$11="OK",G570/INDEX(G$5:G$1258,'Stock Price'!$I$9)-1,"")</f>
        <v>-7.2763157894736863E-2</v>
      </c>
      <c r="U570" s="19">
        <f ca="1">IF('Stock Price'!$I$11="OK",H570/INDEX(H$5:H$1258,'Stock Price'!$I$9)-1,"")</f>
        <v>9.9201503053076623E-2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106.31</v>
      </c>
      <c r="C571" s="18">
        <v>135.66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-0.23264039266637793</v>
      </c>
      <c r="P571" s="19">
        <f ca="1">IF('Stock Price'!$I$11="OK",C571/INDEX(C$5:C$1258,'Stock Price'!$I$9)-1,"")</f>
        <v>-0.25736964554536756</v>
      </c>
      <c r="Q571" s="19">
        <f ca="1">IF('Stock Price'!$I$11="OK",D571/INDEX(D$5:D$1258,'Stock Price'!$I$9)-1,"")</f>
        <v>-0.20995365706226077</v>
      </c>
      <c r="R571" s="19">
        <f ca="1">IF('Stock Price'!$I$11="OK",E571/INDEX(E$5:E$1258,'Stock Price'!$I$9)-1,"")</f>
        <v>-0.28027210884353748</v>
      </c>
      <c r="S571" s="19">
        <f ca="1">IF('Stock Price'!$I$11="OK",F571/INDEX(F$5:F$1258,'Stock Price'!$I$9)-1,"")</f>
        <v>6.1787269334439232E-2</v>
      </c>
      <c r="T571" s="19">
        <f ca="1">IF('Stock Price'!$I$11="OK",G571/INDEX(G$5:G$1258,'Stock Price'!$I$9)-1,"")</f>
        <v>-7.3157894736842088E-2</v>
      </c>
      <c r="U571" s="19">
        <f ca="1">IF('Stock Price'!$I$11="OK",H571/INDEX(H$5:H$1258,'Stock Price'!$I$9)-1,"")</f>
        <v>0.1011742602160639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107.08</v>
      </c>
      <c r="C572" s="18">
        <v>139.5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-0.2270824310668399</v>
      </c>
      <c r="P572" s="19">
        <f ca="1">IF('Stock Price'!$I$11="OK",C572/INDEX(C$5:C$1258,'Stock Price'!$I$9)-1,"")</f>
        <v>-0.23634870671958397</v>
      </c>
      <c r="Q572" s="19">
        <f ca="1">IF('Stock Price'!$I$11="OK",D572/INDEX(D$5:D$1258,'Stock Price'!$I$9)-1,"")</f>
        <v>-0.2012895426153537</v>
      </c>
      <c r="R572" s="19">
        <f ca="1">IF('Stock Price'!$I$11="OK",E572/INDEX(E$5:E$1258,'Stock Price'!$I$9)-1,"")</f>
        <v>-0.27502429543245877</v>
      </c>
      <c r="S572" s="19">
        <f ca="1">IF('Stock Price'!$I$11="OK",F572/INDEX(F$5:F$1258,'Stock Price'!$I$9)-1,"")</f>
        <v>7.7959776072983766E-2</v>
      </c>
      <c r="T572" s="19">
        <f ca="1">IF('Stock Price'!$I$11="OK",G572/INDEX(G$5:G$1258,'Stock Price'!$I$9)-1,"")</f>
        <v>-7.263157894736838E-2</v>
      </c>
      <c r="U572" s="19">
        <f ca="1">IF('Stock Price'!$I$11="OK",H572/INDEX(H$5:H$1258,'Stock Price'!$I$9)-1,"")</f>
        <v>0.10267731329262553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106.39</v>
      </c>
      <c r="C573" s="18">
        <v>139.56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-0.23206294211058176</v>
      </c>
      <c r="P573" s="19">
        <f ca="1">IF('Stock Price'!$I$11="OK",C573/INDEX(C$5:C$1258,'Stock Price'!$I$9)-1,"")</f>
        <v>-0.23602025455043107</v>
      </c>
      <c r="Q573" s="19">
        <f ca="1">IF('Stock Price'!$I$11="OK",D573/INDEX(D$5:D$1258,'Stock Price'!$I$9)-1,"")</f>
        <v>-0.19887165021156572</v>
      </c>
      <c r="R573" s="19">
        <f ca="1">IF('Stock Price'!$I$11="OK",E573/INDEX(E$5:E$1258,'Stock Price'!$I$9)-1,"")</f>
        <v>-0.28202137998056376</v>
      </c>
      <c r="S573" s="19">
        <f ca="1">IF('Stock Price'!$I$11="OK",F573/INDEX(F$5:F$1258,'Stock Price'!$I$9)-1,"")</f>
        <v>7.3190959983412851E-2</v>
      </c>
      <c r="T573" s="19">
        <f ca="1">IF('Stock Price'!$I$11="OK",G573/INDEX(G$5:G$1258,'Stock Price'!$I$9)-1,"")</f>
        <v>-6.3289473684210562E-2</v>
      </c>
      <c r="U573" s="19">
        <f ca="1">IF('Stock Price'!$I$11="OK",H573/INDEX(H$5:H$1258,'Stock Price'!$I$9)-1,"")</f>
        <v>0.11254109910756238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107.44</v>
      </c>
      <c r="C574" s="18">
        <v>137.22489999999999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-0.2244839035657572</v>
      </c>
      <c r="P574" s="19">
        <f ca="1">IF('Stock Price'!$I$11="OK",C574/INDEX(C$5:C$1258,'Stock Price'!$I$9)-1,"")</f>
        <v>-0.24880306555357889</v>
      </c>
      <c r="Q574" s="19">
        <f ca="1">IF('Stock Price'!$I$11="OK",D574/INDEX(D$5:D$1258,'Stock Price'!$I$9)-1,"")</f>
        <v>-0.19423735643763851</v>
      </c>
      <c r="R574" s="19">
        <f ca="1">IF('Stock Price'!$I$11="OK",E574/INDEX(E$5:E$1258,'Stock Price'!$I$9)-1,"")</f>
        <v>-0.27793974732750248</v>
      </c>
      <c r="S574" s="19">
        <f ca="1">IF('Stock Price'!$I$11="OK",F574/INDEX(F$5:F$1258,'Stock Price'!$I$9)-1,"")</f>
        <v>8.6668048932199815E-2</v>
      </c>
      <c r="T574" s="19">
        <f ca="1">IF('Stock Price'!$I$11="OK",G574/INDEX(G$5:G$1258,'Stock Price'!$I$9)-1,"")</f>
        <v>-8.526315789473693E-2</v>
      </c>
      <c r="U574" s="19">
        <f ca="1">IF('Stock Price'!$I$11="OK",H574/INDEX(H$5:H$1258,'Stock Price'!$I$9)-1,"")</f>
        <v>0.11658055425082203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107.6</v>
      </c>
      <c r="C575" s="18">
        <v>137.02000000000001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-0.22332900245416487</v>
      </c>
      <c r="P575" s="19">
        <f ca="1">IF('Stock Price'!$I$11="OK",C575/INDEX(C$5:C$1258,'Stock Price'!$I$9)-1,"")</f>
        <v>-0.2499247297112358</v>
      </c>
      <c r="Q575" s="19">
        <f ca="1">IF('Stock Price'!$I$11="OK",D575/INDEX(D$5:D$1258,'Stock Price'!$I$9)-1,"")</f>
        <v>-0.2012895426153537</v>
      </c>
      <c r="R575" s="19">
        <f ca="1">IF('Stock Price'!$I$11="OK",E575/INDEX(E$5:E$1258,'Stock Price'!$I$9)-1,"")</f>
        <v>-0.28649173955296403</v>
      </c>
      <c r="S575" s="19">
        <f ca="1">IF('Stock Price'!$I$11="OK",F575/INDEX(F$5:F$1258,'Stock Price'!$I$9)-1,"")</f>
        <v>8.8119427742069156E-2</v>
      </c>
      <c r="T575" s="19">
        <f ca="1">IF('Stock Price'!$I$11="OK",G575/INDEX(G$5:G$1258,'Stock Price'!$I$9)-1,"")</f>
        <v>-0.11078947368421055</v>
      </c>
      <c r="U575" s="19">
        <f ca="1">IF('Stock Price'!$I$11="OK",H575/INDEX(H$5:H$1258,'Stock Price'!$I$9)-1,"")</f>
        <v>0.11254109910756238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107.45</v>
      </c>
      <c r="C576" s="18">
        <v>139.76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-0.22441172224628259</v>
      </c>
      <c r="P576" s="19">
        <f ca="1">IF('Stock Price'!$I$11="OK",C576/INDEX(C$5:C$1258,'Stock Price'!$I$9)-1,"")</f>
        <v>-0.23492541398658828</v>
      </c>
      <c r="Q576" s="19">
        <f ca="1">IF('Stock Price'!$I$11="OK",D576/INDEX(D$5:D$1258,'Stock Price'!$I$9)-1,"")</f>
        <v>-0.1920209550674995</v>
      </c>
      <c r="R576" s="19">
        <f ca="1">IF('Stock Price'!$I$11="OK",E576/INDEX(E$5:E$1258,'Stock Price'!$I$9)-1,"")</f>
        <v>-0.28143828960155493</v>
      </c>
      <c r="S576" s="19">
        <f ca="1">IF('Stock Price'!$I$11="OK",F576/INDEX(F$5:F$1258,'Stock Price'!$I$9)-1,"")</f>
        <v>8.2521252332573125E-2</v>
      </c>
      <c r="T576" s="19">
        <f ca="1">IF('Stock Price'!$I$11="OK",G576/INDEX(G$5:G$1258,'Stock Price'!$I$9)-1,"")</f>
        <v>-9.8684210526315819E-2</v>
      </c>
      <c r="U576" s="19">
        <f ca="1">IF('Stock Price'!$I$11="OK",H576/INDEX(H$5:H$1258,'Stock Price'!$I$9)-1,"")</f>
        <v>0.11441991545326435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107.69</v>
      </c>
      <c r="C577" s="18">
        <v>132.96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-0.2226793705788942</v>
      </c>
      <c r="P577" s="19">
        <f ca="1">IF('Stock Price'!$I$11="OK",C577/INDEX(C$5:C$1258,'Stock Price'!$I$9)-1,"")</f>
        <v>-0.27214999315724653</v>
      </c>
      <c r="Q577" s="19">
        <f ca="1">IF('Stock Price'!$I$11="OK",D577/INDEX(D$5:D$1258,'Stock Price'!$I$9)-1,"")</f>
        <v>-0.19645375780777752</v>
      </c>
      <c r="R577" s="19">
        <f ca="1">IF('Stock Price'!$I$11="OK",E577/INDEX(E$5:E$1258,'Stock Price'!$I$9)-1,"")</f>
        <v>-0.29446064139941697</v>
      </c>
      <c r="S577" s="19">
        <f ca="1">IF('Stock Price'!$I$11="OK",F577/INDEX(F$5:F$1258,'Stock Price'!$I$9)-1,"")</f>
        <v>6.9044163383786161E-2</v>
      </c>
      <c r="T577" s="19">
        <f ca="1">IF('Stock Price'!$I$11="OK",G577/INDEX(G$5:G$1258,'Stock Price'!$I$9)-1,"")</f>
        <v>-0.11763157894736842</v>
      </c>
      <c r="U577" s="19">
        <f ca="1">IF('Stock Price'!$I$11="OK",H577/INDEX(H$5:H$1258,'Stock Price'!$I$9)-1,"")</f>
        <v>0.11310474401127291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108.26</v>
      </c>
      <c r="C578" s="18">
        <v>134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-0.21856503536884642</v>
      </c>
      <c r="P578" s="19">
        <f ca="1">IF('Stock Price'!$I$11="OK",C578/INDEX(C$5:C$1258,'Stock Price'!$I$9)-1,"")</f>
        <v>-0.26645682222526346</v>
      </c>
      <c r="Q578" s="19">
        <f ca="1">IF('Stock Price'!$I$11="OK",D578/INDEX(D$5:D$1258,'Stock Price'!$I$9)-1,"")</f>
        <v>-0.19846866814426756</v>
      </c>
      <c r="R578" s="19">
        <f ca="1">IF('Stock Price'!$I$11="OK",E578/INDEX(E$5:E$1258,'Stock Price'!$I$9)-1,"")</f>
        <v>-0.30806608357628762</v>
      </c>
      <c r="S578" s="19">
        <f ca="1">IF('Stock Price'!$I$11="OK",F578/INDEX(F$5:F$1258,'Stock Price'!$I$9)-1,"")</f>
        <v>7.0702882023636837E-2</v>
      </c>
      <c r="T578" s="19">
        <f ca="1">IF('Stock Price'!$I$11="OK",G578/INDEX(G$5:G$1258,'Stock Price'!$I$9)-1,"")</f>
        <v>-0.12618421052631579</v>
      </c>
      <c r="U578" s="19">
        <f ca="1">IF('Stock Price'!$I$11="OK",H578/INDEX(H$5:H$1258,'Stock Price'!$I$9)-1,"")</f>
        <v>0.10972287458900887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108.03</v>
      </c>
      <c r="C579" s="18">
        <v>132.25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-0.22022520571676041</v>
      </c>
      <c r="P579" s="19">
        <f ca="1">IF('Stock Price'!$I$11="OK",C579/INDEX(C$5:C$1258,'Stock Price'!$I$9)-1,"")</f>
        <v>-0.2760366771588888</v>
      </c>
      <c r="Q579" s="19">
        <f ca="1">IF('Stock Price'!$I$11="OK",D579/INDEX(D$5:D$1258,'Stock Price'!$I$9)-1,"")</f>
        <v>-0.20330445295184374</v>
      </c>
      <c r="R579" s="19">
        <f ca="1">IF('Stock Price'!$I$11="OK",E579/INDEX(E$5:E$1258,'Stock Price'!$I$9)-1,"")</f>
        <v>-0.31137026239067056</v>
      </c>
      <c r="S579" s="19">
        <f ca="1">IF('Stock Price'!$I$11="OK",F579/INDEX(F$5:F$1258,'Stock Price'!$I$9)-1,"")</f>
        <v>7.5679037943189087E-2</v>
      </c>
      <c r="T579" s="19">
        <f ca="1">IF('Stock Price'!$I$11="OK",G579/INDEX(G$5:G$1258,'Stock Price'!$I$9)-1,"")</f>
        <v>-0.14421052631578934</v>
      </c>
      <c r="U579" s="19">
        <f ca="1">IF('Stock Price'!$I$11="OK",H579/INDEX(H$5:H$1258,'Stock Price'!$I$9)-1,"")</f>
        <v>0.11357444809769857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108.23</v>
      </c>
      <c r="C580" s="18">
        <v>131.80000000000001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-0.21878157932727005</v>
      </c>
      <c r="P580" s="19">
        <f ca="1">IF('Stock Price'!$I$11="OK",C580/INDEX(C$5:C$1258,'Stock Price'!$I$9)-1,"")</f>
        <v>-0.27850006842753527</v>
      </c>
      <c r="Q580" s="19">
        <f ca="1">IF('Stock Price'!$I$11="OK",D580/INDEX(D$5:D$1258,'Stock Price'!$I$9)-1,"")</f>
        <v>-0.20048357848075771</v>
      </c>
      <c r="R580" s="19">
        <f ca="1">IF('Stock Price'!$I$11="OK",E580/INDEX(E$5:E$1258,'Stock Price'!$I$9)-1,"")</f>
        <v>-0.31311953352769673</v>
      </c>
      <c r="S580" s="19">
        <f ca="1">IF('Stock Price'!$I$11="OK",F580/INDEX(F$5:F$1258,'Stock Price'!$I$9)-1,"")</f>
        <v>5.8055152394775211E-2</v>
      </c>
      <c r="T580" s="19">
        <f ca="1">IF('Stock Price'!$I$11="OK",G580/INDEX(G$5:G$1258,'Stock Price'!$I$9)-1,"")</f>
        <v>-0.14763157894736845</v>
      </c>
      <c r="U580" s="19">
        <f ca="1">IF('Stock Price'!$I$11="OK",H580/INDEX(H$5:H$1258,'Stock Price'!$I$9)-1,"")</f>
        <v>0.1168623767026773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108.47</v>
      </c>
      <c r="C581" s="18">
        <v>136.28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-0.21704922765988155</v>
      </c>
      <c r="P581" s="19">
        <f ca="1">IF('Stock Price'!$I$11="OK",C581/INDEX(C$5:C$1258,'Stock Price'!$I$9)-1,"")</f>
        <v>-0.25397563979745452</v>
      </c>
      <c r="Q581" s="19">
        <f ca="1">IF('Stock Price'!$I$11="OK",D581/INDEX(D$5:D$1258,'Stock Price'!$I$9)-1,"")</f>
        <v>-0.20350594398549271</v>
      </c>
      <c r="R581" s="19">
        <f ca="1">IF('Stock Price'!$I$11="OK",E581/INDEX(E$5:E$1258,'Stock Price'!$I$9)-1,"")</f>
        <v>-0.30942662779397478</v>
      </c>
      <c r="S581" s="19">
        <f ca="1">IF('Stock Price'!$I$11="OK",F581/INDEX(F$5:F$1258,'Stock Price'!$I$9)-1,"")</f>
        <v>5.3908355795148299E-2</v>
      </c>
      <c r="T581" s="19">
        <f ca="1">IF('Stock Price'!$I$11="OK",G581/INDEX(G$5:G$1258,'Stock Price'!$I$9)-1,"")</f>
        <v>-0.13539473684210535</v>
      </c>
      <c r="U581" s="19">
        <f ca="1">IF('Stock Price'!$I$11="OK",H581/INDEX(H$5:H$1258,'Stock Price'!$I$9)-1,"")</f>
        <v>0.12193518083607335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107.73</v>
      </c>
      <c r="C582" s="18">
        <v>134.9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-0.22239064530099606</v>
      </c>
      <c r="P582" s="19">
        <f ca="1">IF('Stock Price'!$I$11="OK",C582/INDEX(C$5:C$1258,'Stock Price'!$I$9)-1,"")</f>
        <v>-0.26153003968797051</v>
      </c>
      <c r="Q582" s="19">
        <f ca="1">IF('Stock Price'!$I$11="OK",D582/INDEX(D$5:D$1258,'Stock Price'!$I$9)-1,"")</f>
        <v>-0.20854321982671775</v>
      </c>
      <c r="R582" s="19">
        <f ca="1">IF('Stock Price'!$I$11="OK",E582/INDEX(E$5:E$1258,'Stock Price'!$I$9)-1,"")</f>
        <v>-0.31778425655976672</v>
      </c>
      <c r="S582" s="19">
        <f ca="1">IF('Stock Price'!$I$11="OK",F582/INDEX(F$5:F$1258,'Stock Price'!$I$9)-1,"")</f>
        <v>3.4418411776902413E-2</v>
      </c>
      <c r="T582" s="19">
        <f ca="1">IF('Stock Price'!$I$11="OK",G582/INDEX(G$5:G$1258,'Stock Price'!$I$9)-1,"")</f>
        <v>-0.14421052631578934</v>
      </c>
      <c r="U582" s="19">
        <f ca="1">IF('Stock Price'!$I$11="OK",H582/INDEX(H$5:H$1258,'Stock Price'!$I$9)-1,"")</f>
        <v>0.12578675434476283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107.55</v>
      </c>
      <c r="C583" s="18">
        <v>131.91990000000001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-0.22368990905153741</v>
      </c>
      <c r="P583" s="19">
        <f ca="1">IF('Stock Price'!$I$11="OK",C583/INDEX(C$5:C$1258,'Stock Price'!$I$9)-1,"")</f>
        <v>-0.27784371150951137</v>
      </c>
      <c r="Q583" s="19">
        <f ca="1">IF('Stock Price'!$I$11="OK",D583/INDEX(D$5:D$1258,'Stock Price'!$I$9)-1,"")</f>
        <v>-0.21358049566794279</v>
      </c>
      <c r="R583" s="19">
        <f ca="1">IF('Stock Price'!$I$11="OK",E583/INDEX(E$5:E$1258,'Stock Price'!$I$9)-1,"")</f>
        <v>-0.31428571428571428</v>
      </c>
      <c r="S583" s="19">
        <f ca="1">IF('Stock Price'!$I$11="OK",F583/INDEX(F$5:F$1258,'Stock Price'!$I$9)-1,"")</f>
        <v>3.4418411776902413E-2</v>
      </c>
      <c r="T583" s="19">
        <f ca="1">IF('Stock Price'!$I$11="OK",G583/INDEX(G$5:G$1258,'Stock Price'!$I$9)-1,"")</f>
        <v>-0.14144736842105265</v>
      </c>
      <c r="U583" s="19">
        <f ca="1">IF('Stock Price'!$I$11="OK",H583/INDEX(H$5:H$1258,'Stock Price'!$I$9)-1,"")</f>
        <v>0.11676843588539221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106.99</v>
      </c>
      <c r="C584" s="18">
        <v>132.03989999999999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-0.22773206294211057</v>
      </c>
      <c r="P584" s="19">
        <f ca="1">IF('Stock Price'!$I$11="OK",C584/INDEX(C$5:C$1258,'Stock Price'!$I$9)-1,"")</f>
        <v>-0.27718680717120581</v>
      </c>
      <c r="Q584" s="19">
        <f ca="1">IF('Stock Price'!$I$11="OK",D584/INDEX(D$5:D$1258,'Stock Price'!$I$9)-1,"")</f>
        <v>-0.21740882530727379</v>
      </c>
      <c r="R584" s="19">
        <f ca="1">IF('Stock Price'!$I$11="OK",E584/INDEX(E$5:E$1258,'Stock Price'!$I$9)-1,"")</f>
        <v>-0.32244897959183683</v>
      </c>
      <c r="S584" s="19">
        <f ca="1">IF('Stock Price'!$I$11="OK",F584/INDEX(F$5:F$1258,'Stock Price'!$I$9)-1,"")</f>
        <v>3.4211071946921079E-2</v>
      </c>
      <c r="T584" s="19">
        <f ca="1">IF('Stock Price'!$I$11="OK",G584/INDEX(G$5:G$1258,'Stock Price'!$I$9)-1,"")</f>
        <v>-0.14144736842105265</v>
      </c>
      <c r="U584" s="19">
        <f ca="1">IF('Stock Price'!$I$11="OK",H584/INDEX(H$5:H$1258,'Stock Price'!$I$9)-1,"")</f>
        <v>0.12851103804603103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107.16</v>
      </c>
      <c r="C585" s="18">
        <v>131.75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-0.22650498051104373</v>
      </c>
      <c r="P585" s="19">
        <f ca="1">IF('Stock Price'!$I$11="OK",C585/INDEX(C$5:C$1258,'Stock Price'!$I$9)-1,"")</f>
        <v>-0.27877377856849606</v>
      </c>
      <c r="Q585" s="19">
        <f ca="1">IF('Stock Price'!$I$11="OK",D585/INDEX(D$5:D$1258,'Stock Price'!$I$9)-1,"")</f>
        <v>-0.2127745315333468</v>
      </c>
      <c r="R585" s="19">
        <f ca="1">IF('Stock Price'!$I$11="OK",E585/INDEX(E$5:E$1258,'Stock Price'!$I$9)-1,"")</f>
        <v>-0.3072886297376094</v>
      </c>
      <c r="S585" s="19">
        <f ca="1">IF('Stock Price'!$I$11="OK",F585/INDEX(F$5:F$1258,'Stock Price'!$I$9)-1,"")</f>
        <v>3.9601907526435998E-2</v>
      </c>
      <c r="T585" s="19">
        <f ca="1">IF('Stock Price'!$I$11="OK",G585/INDEX(G$5:G$1258,'Stock Price'!$I$9)-1,"")</f>
        <v>-0.1496052631578948</v>
      </c>
      <c r="U585" s="19">
        <f ca="1">IF('Stock Price'!$I$11="OK",H585/INDEX(H$5:H$1258,'Stock Price'!$I$9)-1,"")</f>
        <v>0.13499295443870363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107.95</v>
      </c>
      <c r="C586" s="18">
        <v>132.47989999999999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-0.22080265627255657</v>
      </c>
      <c r="P586" s="19">
        <f ca="1">IF('Stock Price'!$I$11="OK",C586/INDEX(C$5:C$1258,'Stock Price'!$I$9)-1,"")</f>
        <v>-0.27477815793075144</v>
      </c>
      <c r="Q586" s="19">
        <f ca="1">IF('Stock Price'!$I$11="OK",D586/INDEX(D$5:D$1258,'Stock Price'!$I$9)-1,"")</f>
        <v>-0.21297602256699577</v>
      </c>
      <c r="R586" s="19">
        <f ca="1">IF('Stock Price'!$I$11="OK",E586/INDEX(E$5:E$1258,'Stock Price'!$I$9)-1,"")</f>
        <v>-0.30379008746355685</v>
      </c>
      <c r="S586" s="19">
        <f ca="1">IF('Stock Price'!$I$11="OK",F586/INDEX(F$5:F$1258,'Stock Price'!$I$9)-1,"")</f>
        <v>4.2504665146174681E-2</v>
      </c>
      <c r="T586" s="19">
        <f ca="1">IF('Stock Price'!$I$11="OK",G586/INDEX(G$5:G$1258,'Stock Price'!$I$9)-1,"")</f>
        <v>-0.19092105263157888</v>
      </c>
      <c r="U586" s="19">
        <f ca="1">IF('Stock Price'!$I$11="OK",H586/INDEX(H$5:H$1258,'Stock Price'!$I$9)-1,"")</f>
        <v>0.13931423203381876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107.75</v>
      </c>
      <c r="C587" s="18">
        <v>131.25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-0.22224628266204705</v>
      </c>
      <c r="P587" s="19">
        <f ca="1">IF('Stock Price'!$I$11="OK",C587/INDEX(C$5:C$1258,'Stock Price'!$I$9)-1,"")</f>
        <v>-0.2815108799781032</v>
      </c>
      <c r="Q587" s="19">
        <f ca="1">IF('Stock Price'!$I$11="OK",D587/INDEX(D$5:D$1258,'Stock Price'!$I$9)-1,"")</f>
        <v>-0.21237154946604875</v>
      </c>
      <c r="R587" s="19">
        <f ca="1">IF('Stock Price'!$I$11="OK",E587/INDEX(E$5:E$1258,'Stock Price'!$I$9)-1,"")</f>
        <v>-0.3026239067055394</v>
      </c>
      <c r="S587" s="19">
        <f ca="1">IF('Stock Price'!$I$11="OK",F587/INDEX(F$5:F$1258,'Stock Price'!$I$9)-1,"")</f>
        <v>4.1882645656230677E-2</v>
      </c>
      <c r="T587" s="19">
        <f ca="1">IF('Stock Price'!$I$11="OK",G587/INDEX(G$5:G$1258,'Stock Price'!$I$9)-1,"")</f>
        <v>-0.20842105263157895</v>
      </c>
      <c r="U587" s="19">
        <f ca="1">IF('Stock Price'!$I$11="OK",H587/INDEX(H$5:H$1258,'Stock Price'!$I$9)-1,"")</f>
        <v>0.14288398309065276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103.47</v>
      </c>
      <c r="C588" s="18">
        <v>132.4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-0.25313988739714155</v>
      </c>
      <c r="P588" s="19">
        <f ca="1">IF('Stock Price'!$I$11="OK",C588/INDEX(C$5:C$1258,'Stock Price'!$I$9)-1,"")</f>
        <v>-0.27521554673600657</v>
      </c>
      <c r="Q588" s="19">
        <f ca="1">IF('Stock Price'!$I$11="OK",D588/INDEX(D$5:D$1258,'Stock Price'!$I$9)-1,"")</f>
        <v>-0.20531936328833378</v>
      </c>
      <c r="R588" s="19">
        <f ca="1">IF('Stock Price'!$I$11="OK",E588/INDEX(E$5:E$1258,'Stock Price'!$I$9)-1,"")</f>
        <v>-0.3170068027210885</v>
      </c>
      <c r="S588" s="19">
        <f ca="1">IF('Stock Price'!$I$11="OK",F588/INDEX(F$5:F$1258,'Stock Price'!$I$9)-1,"")</f>
        <v>3.4625751606883748E-2</v>
      </c>
      <c r="T588" s="19">
        <f ca="1">IF('Stock Price'!$I$11="OK",G588/INDEX(G$5:G$1258,'Stock Price'!$I$9)-1,"")</f>
        <v>-0.23947368421052639</v>
      </c>
      <c r="U588" s="19">
        <f ca="1">IF('Stock Price'!$I$11="OK",H588/INDEX(H$5:H$1258,'Stock Price'!$I$9)-1,"")</f>
        <v>0.13461719116956306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105.33</v>
      </c>
      <c r="C589" s="18">
        <v>132.12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-0.23971416197488082</v>
      </c>
      <c r="P589" s="19">
        <f ca="1">IF('Stock Price'!$I$11="OK",C589/INDEX(C$5:C$1258,'Stock Price'!$I$9)-1,"")</f>
        <v>-0.27674832352538659</v>
      </c>
      <c r="Q589" s="19">
        <f ca="1">IF('Stock Price'!$I$11="OK",D589/INDEX(D$5:D$1258,'Stock Price'!$I$9)-1,"")</f>
        <v>-0.18134193028410239</v>
      </c>
      <c r="R589" s="19">
        <f ca="1">IF('Stock Price'!$I$11="OK",E589/INDEX(E$5:E$1258,'Stock Price'!$I$9)-1,"")</f>
        <v>-0.33294460641399415</v>
      </c>
      <c r="S589" s="19">
        <f ca="1">IF('Stock Price'!$I$11="OK",F589/INDEX(F$5:F$1258,'Stock Price'!$I$9)-1,"")</f>
        <v>3.7321169396640208E-3</v>
      </c>
      <c r="T589" s="19">
        <f ca="1">IF('Stock Price'!$I$11="OK",G589/INDEX(G$5:G$1258,'Stock Price'!$I$9)-1,"")</f>
        <v>-0.25592105263157894</v>
      </c>
      <c r="U589" s="19">
        <f ca="1">IF('Stock Price'!$I$11="OK",H589/INDEX(H$5:H$1258,'Stock Price'!$I$9)-1,"")</f>
        <v>0.18722404884922494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103.72</v>
      </c>
      <c r="C590" s="18">
        <v>131.9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-0.25133535441027854</v>
      </c>
      <c r="P590" s="19">
        <f ca="1">IF('Stock Price'!$I$11="OK",C590/INDEX(C$5:C$1258,'Stock Price'!$I$9)-1,"")</f>
        <v>-0.27795264814561382</v>
      </c>
      <c r="Q590" s="19">
        <f ca="1">IF('Stock Price'!$I$11="OK",D590/INDEX(D$5:D$1258,'Stock Price'!$I$9)-1,"")</f>
        <v>-0.17952851098126144</v>
      </c>
      <c r="R590" s="19">
        <f ca="1">IF('Stock Price'!$I$11="OK",E590/INDEX(E$5:E$1258,'Stock Price'!$I$9)-1,"")</f>
        <v>-0.34013605442176864</v>
      </c>
      <c r="S590" s="19">
        <f ca="1">IF('Stock Price'!$I$11="OK",F590/INDEX(F$5:F$1258,'Stock Price'!$I$9)-1,"")</f>
        <v>-2.0733982998133893E-2</v>
      </c>
      <c r="T590" s="19">
        <f ca="1">IF('Stock Price'!$I$11="OK",G590/INDEX(G$5:G$1258,'Stock Price'!$I$9)-1,"")</f>
        <v>-0.245</v>
      </c>
      <c r="U590" s="19">
        <f ca="1">IF('Stock Price'!$I$11="OK",H590/INDEX(H$5:H$1258,'Stock Price'!$I$9)-1,"")</f>
        <v>0.18750587130108021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103.47</v>
      </c>
      <c r="C591" s="18">
        <v>128.04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-0.25313988739714155</v>
      </c>
      <c r="P591" s="19">
        <f ca="1">IF('Stock Price'!$I$11="OK",C591/INDEX(C$5:C$1258,'Stock Price'!$I$9)-1,"")</f>
        <v>-0.29908307102778164</v>
      </c>
      <c r="Q591" s="19">
        <f ca="1">IF('Stock Price'!$I$11="OK",D591/INDEX(D$5:D$1258,'Stock Price'!$I$9)-1,"")</f>
        <v>-0.16240177312109616</v>
      </c>
      <c r="R591" s="19">
        <f ca="1">IF('Stock Price'!$I$11="OK",E591/INDEX(E$5:E$1258,'Stock Price'!$I$9)-1,"")</f>
        <v>-0.35549076773566579</v>
      </c>
      <c r="S591" s="19">
        <f ca="1">IF('Stock Price'!$I$11="OK",F591/INDEX(F$5:F$1258,'Stock Price'!$I$9)-1,"")</f>
        <v>-2.653949823761137E-2</v>
      </c>
      <c r="T591" s="19">
        <f ca="1">IF('Stock Price'!$I$11="OK",G591/INDEX(G$5:G$1258,'Stock Price'!$I$9)-1,"")</f>
        <v>-0.24763157894736842</v>
      </c>
      <c r="U591" s="19">
        <f ca="1">IF('Stock Price'!$I$11="OK",H591/INDEX(H$5:H$1258,'Stock Price'!$I$9)-1,"")</f>
        <v>0.18534523250352275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103.74</v>
      </c>
      <c r="C592" s="18">
        <v>133.84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-0.25119099177132953</v>
      </c>
      <c r="P592" s="19">
        <f ca="1">IF('Stock Price'!$I$11="OK",C592/INDEX(C$5:C$1258,'Stock Price'!$I$9)-1,"")</f>
        <v>-0.2673326946763378</v>
      </c>
      <c r="Q592" s="19">
        <f ca="1">IF('Stock Price'!$I$11="OK",D592/INDEX(D$5:D$1258,'Stock Price'!$I$9)-1,"")</f>
        <v>-0.15877493451541413</v>
      </c>
      <c r="R592" s="19">
        <f ca="1">IF('Stock Price'!$I$11="OK",E592/INDEX(E$5:E$1258,'Stock Price'!$I$9)-1,"")</f>
        <v>-0.35335276967930029</v>
      </c>
      <c r="S592" s="19">
        <f ca="1">IF('Stock Price'!$I$11="OK",F592/INDEX(F$5:F$1258,'Stock Price'!$I$9)-1,"")</f>
        <v>-2.4258760107816579E-2</v>
      </c>
      <c r="T592" s="19">
        <f ca="1">IF('Stock Price'!$I$11="OK",G592/INDEX(G$5:G$1258,'Stock Price'!$I$9)-1,"")</f>
        <v>-0.23144736842105262</v>
      </c>
      <c r="U592" s="19">
        <f ca="1">IF('Stock Price'!$I$11="OK",H592/INDEX(H$5:H$1258,'Stock Price'!$I$9)-1,"")</f>
        <v>0.19192108971348043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103.46</v>
      </c>
      <c r="C593" s="18">
        <v>133.34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-0.25321206871661617</v>
      </c>
      <c r="P593" s="19">
        <f ca="1">IF('Stock Price'!$I$11="OK",C593/INDEX(C$5:C$1258,'Stock Price'!$I$9)-1,"")</f>
        <v>-0.27006979608594506</v>
      </c>
      <c r="Q593" s="19">
        <f ca="1">IF('Stock Price'!$I$11="OK",D593/INDEX(D$5:D$1258,'Stock Price'!$I$9)-1,"")</f>
        <v>-0.15333467660689093</v>
      </c>
      <c r="R593" s="19">
        <f ca="1">IF('Stock Price'!$I$11="OK",E593/INDEX(E$5:E$1258,'Stock Price'!$I$9)-1,"")</f>
        <v>-0.36734693877551028</v>
      </c>
      <c r="S593" s="19">
        <f ca="1">IF('Stock Price'!$I$11="OK",F593/INDEX(F$5:F$1258,'Stock Price'!$I$9)-1,"")</f>
        <v>-2.7161517727555373E-2</v>
      </c>
      <c r="T593" s="19">
        <f ca="1">IF('Stock Price'!$I$11="OK",G593/INDEX(G$5:G$1258,'Stock Price'!$I$9)-1,"")</f>
        <v>-0.24473684210526314</v>
      </c>
      <c r="U593" s="19">
        <f ca="1">IF('Stock Price'!$I$11="OK",H593/INDEX(H$5:H$1258,'Stock Price'!$I$9)-1,"")</f>
        <v>0.19746359793330193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101.36</v>
      </c>
      <c r="C594" s="18">
        <v>125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-0.26837014580626528</v>
      </c>
      <c r="P594" s="19">
        <f ca="1">IF('Stock Price'!$I$11="OK",C594/INDEX(C$5:C$1258,'Stock Price'!$I$9)-1,"")</f>
        <v>-0.31572464759819352</v>
      </c>
      <c r="Q594" s="19">
        <f ca="1">IF('Stock Price'!$I$11="OK",D594/INDEX(D$5:D$1258,'Stock Price'!$I$9)-1,"")</f>
        <v>-0.15736449727987112</v>
      </c>
      <c r="R594" s="19">
        <f ca="1">IF('Stock Price'!$I$11="OK",E594/INDEX(E$5:E$1258,'Stock Price'!$I$9)-1,"")</f>
        <v>-0.37609329446064144</v>
      </c>
      <c r="S594" s="19">
        <f ca="1">IF('Stock Price'!$I$11="OK",F594/INDEX(F$5:F$1258,'Stock Price'!$I$9)-1,"")</f>
        <v>-3.4625751606883526E-2</v>
      </c>
      <c r="T594" s="19">
        <f ca="1">IF('Stock Price'!$I$11="OK",G594/INDEX(G$5:G$1258,'Stock Price'!$I$9)-1,"")</f>
        <v>-0.26986842105263154</v>
      </c>
      <c r="U594" s="19">
        <f ca="1">IF('Stock Price'!$I$11="OK",H594/INDEX(H$5:H$1258,'Stock Price'!$I$9)-1,"")</f>
        <v>0.1893846876467824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101.03</v>
      </c>
      <c r="C595" s="18">
        <v>123.5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-0.27075212934892445</v>
      </c>
      <c r="P595" s="19">
        <f ca="1">IF('Stock Price'!$I$11="OK",C595/INDEX(C$5:C$1258,'Stock Price'!$I$9)-1,"")</f>
        <v>-0.32393595182701518</v>
      </c>
      <c r="Q595" s="19">
        <f ca="1">IF('Stock Price'!$I$11="OK",D595/INDEX(D$5:D$1258,'Stock Price'!$I$9)-1,"")</f>
        <v>-0.15555107797703016</v>
      </c>
      <c r="R595" s="19">
        <f ca="1">IF('Stock Price'!$I$11="OK",E595/INDEX(E$5:E$1258,'Stock Price'!$I$9)-1,"")</f>
        <v>-0.37201166180758016</v>
      </c>
      <c r="S595" s="19">
        <f ca="1">IF('Stock Price'!$I$11="OK",F595/INDEX(F$5:F$1258,'Stock Price'!$I$9)-1,"")</f>
        <v>-3.5869790586771644E-2</v>
      </c>
      <c r="T595" s="19">
        <f ca="1">IF('Stock Price'!$I$11="OK",G595/INDEX(G$5:G$1258,'Stock Price'!$I$9)-1,"")</f>
        <v>-0.26881578947368423</v>
      </c>
      <c r="U595" s="19">
        <f ca="1">IF('Stock Price'!$I$11="OK",H595/INDEX(H$5:H$1258,'Stock Price'!$I$9)-1,"")</f>
        <v>0.17848755284170981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100.53</v>
      </c>
      <c r="C596" s="18">
        <v>120.6649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-0.27436119532265046</v>
      </c>
      <c r="P596" s="19">
        <f ca="1">IF('Stock Price'!$I$11="OK",C596/INDEX(C$5:C$1258,'Stock Price'!$I$9)-1,"")</f>
        <v>-0.33945586423977014</v>
      </c>
      <c r="Q596" s="19">
        <f ca="1">IF('Stock Price'!$I$11="OK",D596/INDEX(D$5:D$1258,'Stock Price'!$I$9)-1,"")</f>
        <v>-0.17247632480354624</v>
      </c>
      <c r="R596" s="19">
        <f ca="1">IF('Stock Price'!$I$11="OK",E596/INDEX(E$5:E$1258,'Stock Price'!$I$9)-1,"")</f>
        <v>-0.36637512147716234</v>
      </c>
      <c r="S596" s="19">
        <f ca="1">IF('Stock Price'!$I$11="OK",F596/INDEX(F$5:F$1258,'Stock Price'!$I$9)-1,"")</f>
        <v>-3.9187227866472996E-2</v>
      </c>
      <c r="T596" s="19">
        <f ca="1">IF('Stock Price'!$I$11="OK",G596/INDEX(G$5:G$1258,'Stock Price'!$I$9)-1,"")</f>
        <v>-0.25460526315789478</v>
      </c>
      <c r="U596" s="19">
        <f ca="1">IF('Stock Price'!$I$11="OK",H596/INDEX(H$5:H$1258,'Stock Price'!$I$9)-1,"")</f>
        <v>0.1774542038515734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99.06</v>
      </c>
      <c r="C597" s="18">
        <v>123.5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-0.28497184928540487</v>
      </c>
      <c r="P597" s="19">
        <f ca="1">IF('Stock Price'!$I$11="OK",C597/INDEX(C$5:C$1258,'Stock Price'!$I$9)-1,"")</f>
        <v>-0.32393595182701518</v>
      </c>
      <c r="Q597" s="19">
        <f ca="1">IF('Stock Price'!$I$11="OK",D597/INDEX(D$5:D$1258,'Stock Price'!$I$9)-1,"")</f>
        <v>-0.16602861172677819</v>
      </c>
      <c r="R597" s="19">
        <f ca="1">IF('Stock Price'!$I$11="OK",E597/INDEX(E$5:E$1258,'Stock Price'!$I$9)-1,"")</f>
        <v>-0.3755102040816326</v>
      </c>
      <c r="S597" s="19">
        <f ca="1">IF('Stock Price'!$I$11="OK",F597/INDEX(F$5:F$1258,'Stock Price'!$I$9)-1,"")</f>
        <v>-5.1420277835372064E-2</v>
      </c>
      <c r="T597" s="19">
        <f ca="1">IF('Stock Price'!$I$11="OK",G597/INDEX(G$5:G$1258,'Stock Price'!$I$9)-1,"")</f>
        <v>-0.26552631578947372</v>
      </c>
      <c r="U597" s="19">
        <f ca="1">IF('Stock Price'!$I$11="OK",H597/INDEX(H$5:H$1258,'Stock Price'!$I$9)-1,"")</f>
        <v>0.17829967120713963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99.05</v>
      </c>
      <c r="C598" s="18">
        <v>121.8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-0.28504403060487948</v>
      </c>
      <c r="P598" s="19">
        <f ca="1">IF('Stock Price'!$I$11="OK",C598/INDEX(C$5:C$1258,'Stock Price'!$I$9)-1,"")</f>
        <v>-0.33324209661967985</v>
      </c>
      <c r="Q598" s="19">
        <f ca="1">IF('Stock Price'!$I$11="OK",D598/INDEX(D$5:D$1258,'Stock Price'!$I$9)-1,"")</f>
        <v>-0.15776747934716917</v>
      </c>
      <c r="R598" s="19">
        <f ca="1">IF('Stock Price'!$I$11="OK",E598/INDEX(E$5:E$1258,'Stock Price'!$I$9)-1,"")</f>
        <v>-0.37764820213799799</v>
      </c>
      <c r="S598" s="19">
        <f ca="1">IF('Stock Price'!$I$11="OK",F598/INDEX(F$5:F$1258,'Stock Price'!$I$9)-1,"")</f>
        <v>-5.0383578685465502E-2</v>
      </c>
      <c r="T598" s="19">
        <f ca="1">IF('Stock Price'!$I$11="OK",G598/INDEX(G$5:G$1258,'Stock Price'!$I$9)-1,"")</f>
        <v>-0.26131578947368417</v>
      </c>
      <c r="U598" s="19">
        <f ca="1">IF('Stock Price'!$I$11="OK",H598/INDEX(H$5:H$1258,'Stock Price'!$I$9)-1,"")</f>
        <v>0.18196336308125871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99.63</v>
      </c>
      <c r="C599" s="18">
        <v>124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-0.28085751407535731</v>
      </c>
      <c r="P599" s="19">
        <f ca="1">IF('Stock Price'!$I$11="OK",C599/INDEX(C$5:C$1258,'Stock Price'!$I$9)-1,"")</f>
        <v>-0.32119885041740803</v>
      </c>
      <c r="Q599" s="19">
        <f ca="1">IF('Stock Price'!$I$11="OK",D599/INDEX(D$5:D$1258,'Stock Price'!$I$9)-1,"")</f>
        <v>-0.15837195244811608</v>
      </c>
      <c r="R599" s="19">
        <f ca="1">IF('Stock Price'!$I$11="OK",E599/INDEX(E$5:E$1258,'Stock Price'!$I$9)-1,"")</f>
        <v>-0.37609329446064144</v>
      </c>
      <c r="S599" s="19">
        <f ca="1">IF('Stock Price'!$I$11="OK",F599/INDEX(F$5:F$1258,'Stock Price'!$I$9)-1,"")</f>
        <v>-3.8150528716566323E-2</v>
      </c>
      <c r="T599" s="19">
        <f ca="1">IF('Stock Price'!$I$11="OK",G599/INDEX(G$5:G$1258,'Stock Price'!$I$9)-1,"")</f>
        <v>-0.2617105263157895</v>
      </c>
      <c r="U599" s="19">
        <f ca="1">IF('Stock Price'!$I$11="OK",H599/INDEX(H$5:H$1258,'Stock Price'!$I$9)-1,"")</f>
        <v>0.18872710192578679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100.19</v>
      </c>
      <c r="C600" s="18">
        <v>127.38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-0.27681536018478414</v>
      </c>
      <c r="P600" s="19">
        <f ca="1">IF('Stock Price'!$I$11="OK",C600/INDEX(C$5:C$1258,'Stock Price'!$I$9)-1,"")</f>
        <v>-0.30269604488846313</v>
      </c>
      <c r="Q600" s="19">
        <f ca="1">IF('Stock Price'!$I$11="OK",D600/INDEX(D$5:D$1258,'Stock Price'!$I$9)-1,"")</f>
        <v>-0.15494660487608314</v>
      </c>
      <c r="R600" s="19">
        <f ca="1">IF('Stock Price'!$I$11="OK",E600/INDEX(E$5:E$1258,'Stock Price'!$I$9)-1,"")</f>
        <v>-0.37259475218658888</v>
      </c>
      <c r="S600" s="19">
        <f ca="1">IF('Stock Price'!$I$11="OK",F600/INDEX(F$5:F$1258,'Stock Price'!$I$9)-1,"")</f>
        <v>-4.2504665146174569E-2</v>
      </c>
      <c r="T600" s="19">
        <f ca="1">IF('Stock Price'!$I$11="OK",G600/INDEX(G$5:G$1258,'Stock Price'!$I$9)-1,"")</f>
        <v>-0.24710526315789472</v>
      </c>
      <c r="U600" s="19">
        <f ca="1">IF('Stock Price'!$I$11="OK",H600/INDEX(H$5:H$1258,'Stock Price'!$I$9)-1,"")</f>
        <v>0.20046970408642562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102.72</v>
      </c>
      <c r="C601" s="18">
        <v>128.5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-0.25855348635773057</v>
      </c>
      <c r="P601" s="19">
        <f ca="1">IF('Stock Price'!$I$11="OK",C601/INDEX(C$5:C$1258,'Stock Price'!$I$9)-1,"")</f>
        <v>-0.29656493773094295</v>
      </c>
      <c r="Q601" s="19">
        <f ca="1">IF('Stock Price'!$I$11="OK",D601/INDEX(D$5:D$1258,'Stock Price'!$I$9)-1,"")</f>
        <v>-0.15333467660689093</v>
      </c>
      <c r="R601" s="19">
        <f ca="1">IF('Stock Price'!$I$11="OK",E601/INDEX(E$5:E$1258,'Stock Price'!$I$9)-1,"")</f>
        <v>-0.36365403304178812</v>
      </c>
      <c r="S601" s="19">
        <f ca="1">IF('Stock Price'!$I$11="OK",F601/INDEX(F$5:F$1258,'Stock Price'!$I$9)-1,"")</f>
        <v>-2.8612896537424715E-2</v>
      </c>
      <c r="T601" s="19">
        <f ca="1">IF('Stock Price'!$I$11="OK",G601/INDEX(G$5:G$1258,'Stock Price'!$I$9)-1,"")</f>
        <v>-0.24302631578947365</v>
      </c>
      <c r="U601" s="19">
        <f ca="1">IF('Stock Price'!$I$11="OK",H601/INDEX(H$5:H$1258,'Stock Price'!$I$9)-1,"")</f>
        <v>0.19652418976045083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102.56</v>
      </c>
      <c r="C602" s="18">
        <v>127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-0.2597083874693229</v>
      </c>
      <c r="P602" s="19">
        <f ca="1">IF('Stock Price'!$I$11="OK",C602/INDEX(C$5:C$1258,'Stock Price'!$I$9)-1,"")</f>
        <v>-0.3047762419597646</v>
      </c>
      <c r="Q602" s="19">
        <f ca="1">IF('Stock Price'!$I$11="OK",D602/INDEX(D$5:D$1258,'Stock Price'!$I$9)-1,"")</f>
        <v>-0.15494660487608314</v>
      </c>
      <c r="R602" s="19">
        <f ca="1">IF('Stock Price'!$I$11="OK",E602/INDEX(E$5:E$1258,'Stock Price'!$I$9)-1,"")</f>
        <v>-0.3603498542274054</v>
      </c>
      <c r="S602" s="19">
        <f ca="1">IF('Stock Price'!$I$11="OK",F602/INDEX(F$5:F$1258,'Stock Price'!$I$9)-1,"")</f>
        <v>-6.4275347294213692E-3</v>
      </c>
      <c r="T602" s="19">
        <f ca="1">IF('Stock Price'!$I$11="OK",G602/INDEX(G$5:G$1258,'Stock Price'!$I$9)-1,"")</f>
        <v>-0.23868421052631583</v>
      </c>
      <c r="U602" s="19">
        <f ca="1">IF('Stock Price'!$I$11="OK",H602/INDEX(H$5:H$1258,'Stock Price'!$I$9)-1,"")</f>
        <v>0.20356975105683417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102.8</v>
      </c>
      <c r="C603" s="18">
        <v>126.4684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-0.2579760358019344</v>
      </c>
      <c r="P603" s="19">
        <f ca="1">IF('Stock Price'!$I$11="OK",C603/INDEX(C$5:C$1258,'Stock Price'!$I$9)-1,"")</f>
        <v>-0.30768632817845909</v>
      </c>
      <c r="Q603" s="19">
        <f ca="1">IF('Stock Price'!$I$11="OK",D603/INDEX(D$5:D$1258,'Stock Price'!$I$9)-1,"")</f>
        <v>-0.15051380213580512</v>
      </c>
      <c r="R603" s="19">
        <f ca="1">IF('Stock Price'!$I$11="OK",E603/INDEX(E$5:E$1258,'Stock Price'!$I$9)-1,"")</f>
        <v>-0.36851311953352772</v>
      </c>
      <c r="S603" s="19">
        <f ca="1">IF('Stock Price'!$I$11="OK",F603/INDEX(F$5:F$1258,'Stock Price'!$I$9)-1,"")</f>
        <v>-8.9156126891976051E-3</v>
      </c>
      <c r="T603" s="19">
        <f ca="1">IF('Stock Price'!$I$11="OK",G603/INDEX(G$5:G$1258,'Stock Price'!$I$9)-1,"")</f>
        <v>-0.23921052631578943</v>
      </c>
      <c r="U603" s="19">
        <f ca="1">IF('Stock Price'!$I$11="OK",H603/INDEX(H$5:H$1258,'Stock Price'!$I$9)-1,"")</f>
        <v>0.21427900422733659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103.9</v>
      </c>
      <c r="C604" s="18">
        <v>129.15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-0.2500360906597372</v>
      </c>
      <c r="P604" s="19">
        <f ca="1">IF('Stock Price'!$I$11="OK",C604/INDEX(C$5:C$1258,'Stock Price'!$I$9)-1,"")</f>
        <v>-0.29300670589845357</v>
      </c>
      <c r="Q604" s="19">
        <f ca="1">IF('Stock Price'!$I$11="OK",D604/INDEX(D$5:D$1258,'Stock Price'!$I$9)-1,"")</f>
        <v>-0.14930485593391096</v>
      </c>
      <c r="R604" s="19">
        <f ca="1">IF('Stock Price'!$I$11="OK",E604/INDEX(E$5:E$1258,'Stock Price'!$I$9)-1,"")</f>
        <v>-0.35937803692905734</v>
      </c>
      <c r="S604" s="19">
        <f ca="1">IF('Stock Price'!$I$11="OK",F604/INDEX(F$5:F$1258,'Stock Price'!$I$9)-1,"")</f>
        <v>1.1196350818992507E-2</v>
      </c>
      <c r="T604" s="19">
        <f ca="1">IF('Stock Price'!$I$11="OK",G604/INDEX(G$5:G$1258,'Stock Price'!$I$9)-1,"")</f>
        <v>-0.24171052631578949</v>
      </c>
      <c r="U604" s="19">
        <f ca="1">IF('Stock Price'!$I$11="OK",H604/INDEX(H$5:H$1258,'Stock Price'!$I$9)-1,"")</f>
        <v>0.2160638797557537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103.25</v>
      </c>
      <c r="C605" s="18">
        <v>129.99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-0.25472787642558103</v>
      </c>
      <c r="P605" s="19">
        <f ca="1">IF('Stock Price'!$I$11="OK",C605/INDEX(C$5:C$1258,'Stock Price'!$I$9)-1,"")</f>
        <v>-0.2884083755303134</v>
      </c>
      <c r="Q605" s="19">
        <f ca="1">IF('Stock Price'!$I$11="OK",D605/INDEX(D$5:D$1258,'Stock Price'!$I$9)-1,"")</f>
        <v>-0.14688696353012287</v>
      </c>
      <c r="R605" s="19">
        <f ca="1">IF('Stock Price'!$I$11="OK",E605/INDEX(E$5:E$1258,'Stock Price'!$I$9)-1,"")</f>
        <v>-0.36793002915451889</v>
      </c>
      <c r="S605" s="19">
        <f ca="1">IF('Stock Price'!$I$11="OK",F605/INDEX(F$5:F$1258,'Stock Price'!$I$9)-1,"")</f>
        <v>-6.2201948994389245E-4</v>
      </c>
      <c r="T605" s="19">
        <f ca="1">IF('Stock Price'!$I$11="OK",G605/INDEX(G$5:G$1258,'Stock Price'!$I$9)-1,"")</f>
        <v>-0.2477631578947368</v>
      </c>
      <c r="U605" s="19">
        <f ca="1">IF('Stock Price'!$I$11="OK",H605/INDEX(H$5:H$1258,'Stock Price'!$I$9)-1,"")</f>
        <v>0.21033348990136225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103.15</v>
      </c>
      <c r="C606" s="18">
        <v>131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-0.25544968962032621</v>
      </c>
      <c r="P606" s="19">
        <f ca="1">IF('Stock Price'!$I$11="OK",C606/INDEX(C$5:C$1258,'Stock Price'!$I$9)-1,"")</f>
        <v>-0.28287943068290688</v>
      </c>
      <c r="Q606" s="19">
        <f ca="1">IF('Stock Price'!$I$11="OK",D606/INDEX(D$5:D$1258,'Stock Price'!$I$9)-1,"")</f>
        <v>-0.14608099939552688</v>
      </c>
      <c r="R606" s="19">
        <f ca="1">IF('Stock Price'!$I$11="OK",E606/INDEX(E$5:E$1258,'Stock Price'!$I$9)-1,"")</f>
        <v>-0.35801749271137029</v>
      </c>
      <c r="S606" s="19">
        <f ca="1">IF('Stock Price'!$I$11="OK",F606/INDEX(F$5:F$1258,'Stock Price'!$I$9)-1,"")</f>
        <v>-4.1467965996255796E-4</v>
      </c>
      <c r="T606" s="19">
        <f ca="1">IF('Stock Price'!$I$11="OK",G606/INDEX(G$5:G$1258,'Stock Price'!$I$9)-1,"")</f>
        <v>-0.23328947368421049</v>
      </c>
      <c r="U606" s="19">
        <f ca="1">IF('Stock Price'!$I$11="OK",H606/INDEX(H$5:H$1258,'Stock Price'!$I$9)-1,"")</f>
        <v>0.21211836542977913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102.22</v>
      </c>
      <c r="C607" s="18">
        <v>131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-0.26216255233145658</v>
      </c>
      <c r="P607" s="19">
        <f ca="1">IF('Stock Price'!$I$11="OK",C607/INDEX(C$5:C$1258,'Stock Price'!$I$9)-1,"")</f>
        <v>-0.28287943068290688</v>
      </c>
      <c r="Q607" s="19">
        <f ca="1">IF('Stock Price'!$I$11="OK",D607/INDEX(D$5:D$1258,'Stock Price'!$I$9)-1,"")</f>
        <v>-0.14688696353012287</v>
      </c>
      <c r="R607" s="19">
        <f ca="1">IF('Stock Price'!$I$11="OK",E607/INDEX(E$5:E$1258,'Stock Price'!$I$9)-1,"")</f>
        <v>-0.35996112730806618</v>
      </c>
      <c r="S607" s="19">
        <f ca="1">IF('Stock Price'!$I$11="OK",F607/INDEX(F$5:F$1258,'Stock Price'!$I$9)-1,"")</f>
        <v>-4.7688160895706933E-3</v>
      </c>
      <c r="T607" s="19">
        <f ca="1">IF('Stock Price'!$I$11="OK",G607/INDEX(G$5:G$1258,'Stock Price'!$I$9)-1,"")</f>
        <v>-0.24842105263157899</v>
      </c>
      <c r="U607" s="19">
        <f ca="1">IF('Stock Price'!$I$11="OK",H607/INDEX(H$5:H$1258,'Stock Price'!$I$9)-1,"")</f>
        <v>0.20422733677783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100.97</v>
      </c>
      <c r="C608" s="18">
        <v>126.625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-0.27118521726577161</v>
      </c>
      <c r="P608" s="19">
        <f ca="1">IF('Stock Price'!$I$11="OK",C608/INDEX(C$5:C$1258,'Stock Price'!$I$9)-1,"")</f>
        <v>-0.30682906801697007</v>
      </c>
      <c r="Q608" s="19">
        <f ca="1">IF('Stock Price'!$I$11="OK",D608/INDEX(D$5:D$1258,'Stock Price'!$I$9)-1,"")</f>
        <v>-0.15575256901067913</v>
      </c>
      <c r="R608" s="19">
        <f ca="1">IF('Stock Price'!$I$11="OK",E608/INDEX(E$5:E$1258,'Stock Price'!$I$9)-1,"")</f>
        <v>-0.36384839650145784</v>
      </c>
      <c r="S608" s="19">
        <f ca="1">IF('Stock Price'!$I$11="OK",F608/INDEX(F$5:F$1258,'Stock Price'!$I$9)-1,"")</f>
        <v>-7.8789135392908216E-3</v>
      </c>
      <c r="T608" s="19">
        <f ca="1">IF('Stock Price'!$I$11="OK",G608/INDEX(G$5:G$1258,'Stock Price'!$I$9)-1,"")</f>
        <v>-0.26078947368421057</v>
      </c>
      <c r="U608" s="19">
        <f ca="1">IF('Stock Price'!$I$11="OK",H608/INDEX(H$5:H$1258,'Stock Price'!$I$9)-1,"")</f>
        <v>0.19445749178017846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102.06</v>
      </c>
      <c r="C609" s="18">
        <v>130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-0.26331745344304891</v>
      </c>
      <c r="P609" s="19">
        <f ca="1">IF('Stock Price'!$I$11="OK",C609/INDEX(C$5:C$1258,'Stock Price'!$I$9)-1,"")</f>
        <v>-0.28835363350212129</v>
      </c>
      <c r="Q609" s="19">
        <f ca="1">IF('Stock Price'!$I$11="OK",D609/INDEX(D$5:D$1258,'Stock Price'!$I$9)-1,"")</f>
        <v>-0.15313318557324196</v>
      </c>
      <c r="R609" s="19">
        <f ca="1">IF('Stock Price'!$I$11="OK",E609/INDEX(E$5:E$1258,'Stock Price'!$I$9)-1,"")</f>
        <v>-0.35704567541302246</v>
      </c>
      <c r="S609" s="19">
        <f ca="1">IF('Stock Price'!$I$11="OK",F609/INDEX(F$5:F$1258,'Stock Price'!$I$9)-1,"")</f>
        <v>-1.9489944018245886E-2</v>
      </c>
      <c r="T609" s="19">
        <f ca="1">IF('Stock Price'!$I$11="OK",G609/INDEX(G$5:G$1258,'Stock Price'!$I$9)-1,"")</f>
        <v>-0.25447368421052641</v>
      </c>
      <c r="U609" s="19">
        <f ca="1">IF('Stock Price'!$I$11="OK",H609/INDEX(H$5:H$1258,'Stock Price'!$I$9)-1,"")</f>
        <v>0.19267261625176135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101.97</v>
      </c>
      <c r="C610" s="18">
        <v>129.65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-0.26396708531831958</v>
      </c>
      <c r="P610" s="19">
        <f ca="1">IF('Stock Price'!$I$11="OK",C610/INDEX(C$5:C$1258,'Stock Price'!$I$9)-1,"")</f>
        <v>-0.29026960448884631</v>
      </c>
      <c r="Q610" s="19">
        <f ca="1">IF('Stock Price'!$I$11="OK",D610/INDEX(D$5:D$1258,'Stock Price'!$I$9)-1,"")</f>
        <v>-0.14487205319363294</v>
      </c>
      <c r="R610" s="19">
        <f ca="1">IF('Stock Price'!$I$11="OK",E610/INDEX(E$5:E$1258,'Stock Price'!$I$9)-1,"")</f>
        <v>-0.36093294460641401</v>
      </c>
      <c r="S610" s="19">
        <f ca="1">IF('Stock Price'!$I$11="OK",F610/INDEX(F$5:F$1258,'Stock Price'!$I$9)-1,"")</f>
        <v>-2.2392701637984569E-2</v>
      </c>
      <c r="T610" s="19">
        <f ca="1">IF('Stock Price'!$I$11="OK",G610/INDEX(G$5:G$1258,'Stock Price'!$I$9)-1,"")</f>
        <v>-0.26105263157894742</v>
      </c>
      <c r="U610" s="19">
        <f ca="1">IF('Stock Price'!$I$11="OK",H610/INDEX(H$5:H$1258,'Stock Price'!$I$9)-1,"")</f>
        <v>0.16533583842179422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102.1</v>
      </c>
      <c r="C611" s="18">
        <v>126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-0.26302872816515088</v>
      </c>
      <c r="P611" s="19">
        <f ca="1">IF('Stock Price'!$I$11="OK",C611/INDEX(C$5:C$1258,'Stock Price'!$I$9)-1,"")</f>
        <v>-0.31025044477897912</v>
      </c>
      <c r="Q611" s="19">
        <f ca="1">IF('Stock Price'!$I$11="OK",D611/INDEX(D$5:D$1258,'Stock Price'!$I$9)-1,"")</f>
        <v>-0.14164819665524886</v>
      </c>
      <c r="R611" s="19">
        <f ca="1">IF('Stock Price'!$I$11="OK",E611/INDEX(E$5:E$1258,'Stock Price'!$I$9)-1,"")</f>
        <v>-0.35568513119533529</v>
      </c>
      <c r="S611" s="19">
        <f ca="1">IF('Stock Price'!$I$11="OK",F611/INDEX(F$5:F$1258,'Stock Price'!$I$9)-1,"")</f>
        <v>-1.5135807588637751E-2</v>
      </c>
      <c r="T611" s="19">
        <f ca="1">IF('Stock Price'!$I$11="OK",G611/INDEX(G$5:G$1258,'Stock Price'!$I$9)-1,"")</f>
        <v>-0.31697368421052641</v>
      </c>
      <c r="U611" s="19">
        <f ca="1">IF('Stock Price'!$I$11="OK",H611/INDEX(H$5:H$1258,'Stock Price'!$I$9)-1,"")</f>
        <v>0.15387505871301066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102.64</v>
      </c>
      <c r="C612" s="18">
        <v>128.9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-0.25913093691352673</v>
      </c>
      <c r="P612" s="19">
        <f ca="1">IF('Stock Price'!$I$11="OK",C612/INDEX(C$5:C$1258,'Stock Price'!$I$9)-1,"")</f>
        <v>-0.29437525660325714</v>
      </c>
      <c r="Q612" s="19">
        <f ca="1">IF('Stock Price'!$I$11="OK",D612/INDEX(D$5:D$1258,'Stock Price'!$I$9)-1,"")</f>
        <v>-0.14124521458795092</v>
      </c>
      <c r="R612" s="19">
        <f ca="1">IF('Stock Price'!$I$11="OK",E612/INDEX(E$5:E$1258,'Stock Price'!$I$9)-1,"")</f>
        <v>-0.34946550048590874</v>
      </c>
      <c r="S612" s="19">
        <f ca="1">IF('Stock Price'!$I$11="OK",F612/INDEX(F$5:F$1258,'Stock Price'!$I$9)-1,"")</f>
        <v>-1.1403690648973619E-2</v>
      </c>
      <c r="T612" s="19">
        <f ca="1">IF('Stock Price'!$I$11="OK",G612/INDEX(G$5:G$1258,'Stock Price'!$I$9)-1,"")</f>
        <v>-0.29881578947368426</v>
      </c>
      <c r="U612" s="19">
        <f ca="1">IF('Stock Price'!$I$11="OK",H612/INDEX(H$5:H$1258,'Stock Price'!$I$9)-1,"")</f>
        <v>0.16251761390324093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99.93</v>
      </c>
      <c r="C613" s="18">
        <v>129.25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-0.27869207449112166</v>
      </c>
      <c r="P613" s="19">
        <f ca="1">IF('Stock Price'!$I$11="OK",C613/INDEX(C$5:C$1258,'Stock Price'!$I$9)-1,"")</f>
        <v>-0.29245928561653212</v>
      </c>
      <c r="Q613" s="19">
        <f ca="1">IF('Stock Price'!$I$11="OK",D613/INDEX(D$5:D$1258,'Stock Price'!$I$9)-1,"")</f>
        <v>-0.12190207535764663</v>
      </c>
      <c r="R613" s="19">
        <f ca="1">IF('Stock Price'!$I$11="OK",E613/INDEX(E$5:E$1258,'Stock Price'!$I$9)-1,"")</f>
        <v>-0.34363459669582119</v>
      </c>
      <c r="S613" s="19">
        <f ca="1">IF('Stock Price'!$I$11="OK",F613/INDEX(F$5:F$1258,'Stock Price'!$I$9)-1,"")</f>
        <v>-3.5247771096826863E-3</v>
      </c>
      <c r="T613" s="19">
        <f ca="1">IF('Stock Price'!$I$11="OK",G613/INDEX(G$5:G$1258,'Stock Price'!$I$9)-1,"")</f>
        <v>-0.30513157894736842</v>
      </c>
      <c r="U613" s="19">
        <f ca="1">IF('Stock Price'!$I$11="OK",H613/INDEX(H$5:H$1258,'Stock Price'!$I$9)-1,"")</f>
        <v>0.16477219351808348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100.71</v>
      </c>
      <c r="C614" s="18">
        <v>131.125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-0.27306193157210912</v>
      </c>
      <c r="P614" s="19">
        <f ca="1">IF('Stock Price'!$I$11="OK",C614/INDEX(C$5:C$1258,'Stock Price'!$I$9)-1,"")</f>
        <v>-0.28219515533050499</v>
      </c>
      <c r="Q614" s="19">
        <f ca="1">IF('Stock Price'!$I$11="OK",D614/INDEX(D$5:D$1258,'Stock Price'!$I$9)-1,"")</f>
        <v>-0.13076768083820278</v>
      </c>
      <c r="R614" s="19">
        <f ca="1">IF('Stock Price'!$I$11="OK",E614/INDEX(E$5:E$1258,'Stock Price'!$I$9)-1,"")</f>
        <v>-0.3411078717201167</v>
      </c>
      <c r="S614" s="19">
        <f ca="1">IF('Stock Price'!$I$11="OK",F614/INDEX(F$5:F$1258,'Stock Price'!$I$9)-1,"")</f>
        <v>4.1467965996266898E-4</v>
      </c>
      <c r="T614" s="19">
        <f ca="1">IF('Stock Price'!$I$11="OK",G614/INDEX(G$5:G$1258,'Stock Price'!$I$9)-1,"")</f>
        <v>-0.30855263157894741</v>
      </c>
      <c r="U614" s="19">
        <f ca="1">IF('Stock Price'!$I$11="OK",H614/INDEX(H$5:H$1258,'Stock Price'!$I$9)-1,"")</f>
        <v>0.16016909347111308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101.37</v>
      </c>
      <c r="C615" s="18">
        <v>133.375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-0.26829796448679077</v>
      </c>
      <c r="P615" s="19">
        <f ca="1">IF('Stock Price'!$I$11="OK",C615/INDEX(C$5:C$1258,'Stock Price'!$I$9)-1,"")</f>
        <v>-0.2698781989872725</v>
      </c>
      <c r="Q615" s="19">
        <f ca="1">IF('Stock Price'!$I$11="OK",D615/INDEX(D$5:D$1258,'Stock Price'!$I$9)-1,"")</f>
        <v>-0.1352004835784808</v>
      </c>
      <c r="R615" s="19">
        <f ca="1">IF('Stock Price'!$I$11="OK",E615/INDEX(E$5:E$1258,'Stock Price'!$I$9)-1,"")</f>
        <v>-0.32730806608357632</v>
      </c>
      <c r="S615" s="19">
        <f ca="1">IF('Stock Price'!$I$11="OK",F615/INDEX(F$5:F$1258,'Stock Price'!$I$9)-1,"")</f>
        <v>2.4880779597762359E-3</v>
      </c>
      <c r="T615" s="19">
        <f ca="1">IF('Stock Price'!$I$11="OK",G615/INDEX(G$5:G$1258,'Stock Price'!$I$9)-1,"")</f>
        <v>-0.29421052631578948</v>
      </c>
      <c r="U615" s="19">
        <f ca="1">IF('Stock Price'!$I$11="OK",H615/INDEX(H$5:H$1258,'Stock Price'!$I$9)-1,"")</f>
        <v>0.15331141380930013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99.77</v>
      </c>
      <c r="C616" s="18">
        <v>133.31989999999999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-0.27984697560271399</v>
      </c>
      <c r="P616" s="19">
        <f ca="1">IF('Stock Price'!$I$11="OK",C616/INDEX(C$5:C$1258,'Stock Price'!$I$9)-1,"")</f>
        <v>-0.27017982756261127</v>
      </c>
      <c r="Q616" s="19">
        <f ca="1">IF('Stock Price'!$I$11="OK",D616/INDEX(D$5:D$1258,'Stock Price'!$I$9)-1,"")</f>
        <v>-0.12814829740076561</v>
      </c>
      <c r="R616" s="19">
        <f ca="1">IF('Stock Price'!$I$11="OK",E616/INDEX(E$5:E$1258,'Stock Price'!$I$9)-1,"")</f>
        <v>-0.31681243926141889</v>
      </c>
      <c r="S616" s="19">
        <f ca="1">IF('Stock Price'!$I$11="OK",F616/INDEX(F$5:F$1258,'Stock Price'!$I$9)-1,"")</f>
        <v>4.7688160895709153E-3</v>
      </c>
      <c r="T616" s="19">
        <f ca="1">IF('Stock Price'!$I$11="OK",G616/INDEX(G$5:G$1258,'Stock Price'!$I$9)-1,"")</f>
        <v>-0.30289473684210533</v>
      </c>
      <c r="U616" s="19">
        <f ca="1">IF('Stock Price'!$I$11="OK",H616/INDEX(H$5:H$1258,'Stock Price'!$I$9)-1,"")</f>
        <v>0.15227806481916395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99</v>
      </c>
      <c r="C617" s="18">
        <v>136.4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-0.28540493720225202</v>
      </c>
      <c r="P617" s="19">
        <f ca="1">IF('Stock Price'!$I$11="OK",C617/INDEX(C$5:C$1258,'Stock Price'!$I$9)-1,"")</f>
        <v>-0.25331873545914874</v>
      </c>
      <c r="Q617" s="19">
        <f ca="1">IF('Stock Price'!$I$11="OK",D617/INDEX(D$5:D$1258,'Stock Price'!$I$9)-1,"")</f>
        <v>-0.12633487809792465</v>
      </c>
      <c r="R617" s="19">
        <f ca="1">IF('Stock Price'!$I$11="OK",E617/INDEX(E$5:E$1258,'Stock Price'!$I$9)-1,"")</f>
        <v>-0.33488824101069004</v>
      </c>
      <c r="S617" s="19">
        <f ca="1">IF('Stock Price'!$I$11="OK",F617/INDEX(F$5:F$1258,'Stock Price'!$I$9)-1,"")</f>
        <v>2.0733982998155653E-4</v>
      </c>
      <c r="T617" s="19">
        <f ca="1">IF('Stock Price'!$I$11="OK",G617/INDEX(G$5:G$1258,'Stock Price'!$I$9)-1,"")</f>
        <v>-0.30631578947368421</v>
      </c>
      <c r="U617" s="19">
        <f ca="1">IF('Stock Price'!$I$11="OK",H617/INDEX(H$5:H$1258,'Stock Price'!$I$9)-1,"")</f>
        <v>0.14758102395490824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98.13</v>
      </c>
      <c r="C618" s="18">
        <v>134.125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-0.29168471199653534</v>
      </c>
      <c r="P618" s="19">
        <f ca="1">IF('Stock Price'!$I$11="OK",C618/INDEX(C$5:C$1258,'Stock Price'!$I$9)-1,"")</f>
        <v>-0.26577254687286167</v>
      </c>
      <c r="Q618" s="19">
        <f ca="1">IF('Stock Price'!$I$11="OK",D618/INDEX(D$5:D$1258,'Stock Price'!$I$9)-1,"")</f>
        <v>-0.13197662704009683</v>
      </c>
      <c r="R618" s="19">
        <f ca="1">IF('Stock Price'!$I$11="OK",E618/INDEX(E$5:E$1258,'Stock Price'!$I$9)-1,"")</f>
        <v>-0.3607385811467444</v>
      </c>
      <c r="S618" s="19">
        <f ca="1">IF('Stock Price'!$I$11="OK",F618/INDEX(F$5:F$1258,'Stock Price'!$I$9)-1,"")</f>
        <v>-2.9027576197385718E-3</v>
      </c>
      <c r="T618" s="19">
        <f ca="1">IF('Stock Price'!$I$11="OK",G618/INDEX(G$5:G$1258,'Stock Price'!$I$9)-1,"")</f>
        <v>-0.31513157894736843</v>
      </c>
      <c r="U618" s="19">
        <f ca="1">IF('Stock Price'!$I$11="OK",H618/INDEX(H$5:H$1258,'Stock Price'!$I$9)-1,"")</f>
        <v>0.13208078910286525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97.27</v>
      </c>
      <c r="C619" s="18">
        <v>131.41990000000001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-0.29789230547134404</v>
      </c>
      <c r="P619" s="19">
        <f ca="1">IF('Stock Price'!$I$11="OK",C619/INDEX(C$5:C$1258,'Stock Price'!$I$9)-1,"")</f>
        <v>-0.28058081291911863</v>
      </c>
      <c r="Q619" s="19">
        <f ca="1">IF('Stock Price'!$I$11="OK",D619/INDEX(D$5:D$1258,'Stock Price'!$I$9)-1,"")</f>
        <v>-0.14990932903485799</v>
      </c>
      <c r="R619" s="19">
        <f ca="1">IF('Stock Price'!$I$11="OK",E619/INDEX(E$5:E$1258,'Stock Price'!$I$9)-1,"")</f>
        <v>-0.365597667638484</v>
      </c>
      <c r="S619" s="19">
        <f ca="1">IF('Stock Price'!$I$11="OK",F619/INDEX(F$5:F$1258,'Stock Price'!$I$9)-1,"")</f>
        <v>1.2440389798880069E-3</v>
      </c>
      <c r="T619" s="19">
        <f ca="1">IF('Stock Price'!$I$11="OK",G619/INDEX(G$5:G$1258,'Stock Price'!$I$9)-1,"")</f>
        <v>-0.30960526315789472</v>
      </c>
      <c r="U619" s="19">
        <f ca="1">IF('Stock Price'!$I$11="OK",H619/INDEX(H$5:H$1258,'Stock Price'!$I$9)-1,"")</f>
        <v>0.14156881164866131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95.92</v>
      </c>
      <c r="C620" s="18">
        <v>130.91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-0.30763678360040414</v>
      </c>
      <c r="P620" s="19">
        <f ca="1">IF('Stock Price'!$I$11="OK",C620/INDEX(C$5:C$1258,'Stock Price'!$I$9)-1,"")</f>
        <v>-0.28337210893663611</v>
      </c>
      <c r="Q620" s="19">
        <f ca="1">IF('Stock Price'!$I$11="OK",D620/INDEX(D$5:D$1258,'Stock Price'!$I$9)-1,"")</f>
        <v>-0.15091678420310295</v>
      </c>
      <c r="R620" s="19">
        <f ca="1">IF('Stock Price'!$I$11="OK",E620/INDEX(E$5:E$1258,'Stock Price'!$I$9)-1,"")</f>
        <v>-0.37453838678328477</v>
      </c>
      <c r="S620" s="19">
        <f ca="1">IF('Stock Price'!$I$11="OK",F620/INDEX(F$5:F$1258,'Stock Price'!$I$9)-1,"")</f>
        <v>-8.2935931992536016E-3</v>
      </c>
      <c r="T620" s="19">
        <f ca="1">IF('Stock Price'!$I$11="OK",G620/INDEX(G$5:G$1258,'Stock Price'!$I$9)-1,"")</f>
        <v>-0.31013157894736842</v>
      </c>
      <c r="U620" s="19">
        <f ca="1">IF('Stock Price'!$I$11="OK",H620/INDEX(H$5:H$1258,'Stock Price'!$I$9)-1,"")</f>
        <v>0.14081728511038039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96.32</v>
      </c>
      <c r="C621" s="18">
        <v>129.94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-0.30474953082142342</v>
      </c>
      <c r="P621" s="19">
        <f ca="1">IF('Stock Price'!$I$11="OK",C621/INDEX(C$5:C$1258,'Stock Price'!$I$9)-1,"")</f>
        <v>-0.28868208567127418</v>
      </c>
      <c r="Q621" s="19">
        <f ca="1">IF('Stock Price'!$I$11="OK",D621/INDEX(D$5:D$1258,'Stock Price'!$I$9)-1,"")</f>
        <v>-0.14728994559742092</v>
      </c>
      <c r="R621" s="19">
        <f ca="1">IF('Stock Price'!$I$11="OK",E621/INDEX(E$5:E$1258,'Stock Price'!$I$9)-1,"")</f>
        <v>-0.37570456754130233</v>
      </c>
      <c r="S621" s="19">
        <f ca="1">IF('Stock Price'!$I$11="OK",F621/INDEX(F$5:F$1258,'Stock Price'!$I$9)-1,"")</f>
        <v>-1.555048724860042E-2</v>
      </c>
      <c r="T621" s="19">
        <f ca="1">IF('Stock Price'!$I$11="OK",G621/INDEX(G$5:G$1258,'Stock Price'!$I$9)-1,"")</f>
        <v>-0.3192105263157895</v>
      </c>
      <c r="U621" s="19">
        <f ca="1">IF('Stock Price'!$I$11="OK",H621/INDEX(H$5:H$1258,'Stock Price'!$I$9)-1,"")</f>
        <v>0.14795678722404881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96.05</v>
      </c>
      <c r="C622" s="18">
        <v>130.99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-0.30669842644723544</v>
      </c>
      <c r="P622" s="19">
        <f ca="1">IF('Stock Price'!$I$11="OK",C622/INDEX(C$5:C$1258,'Stock Price'!$I$9)-1,"")</f>
        <v>-0.28293417271109889</v>
      </c>
      <c r="Q622" s="19">
        <f ca="1">IF('Stock Price'!$I$11="OK",D622/INDEX(D$5:D$1258,'Stock Price'!$I$9)-1,"")</f>
        <v>-0.15514809590973211</v>
      </c>
      <c r="R622" s="19">
        <f ca="1">IF('Stock Price'!$I$11="OK",E622/INDEX(E$5:E$1258,'Stock Price'!$I$9)-1,"")</f>
        <v>-0.36598639455782322</v>
      </c>
      <c r="S622" s="19">
        <f ca="1">IF('Stock Price'!$I$11="OK",F622/INDEX(F$5:F$1258,'Stock Price'!$I$9)-1,"")</f>
        <v>0</v>
      </c>
      <c r="T622" s="19">
        <f ca="1">IF('Stock Price'!$I$11="OK",G622/INDEX(G$5:G$1258,'Stock Price'!$I$9)-1,"")</f>
        <v>-0.31013157894736842</v>
      </c>
      <c r="U622" s="19">
        <f ca="1">IF('Stock Price'!$I$11="OK",H622/INDEX(H$5:H$1258,'Stock Price'!$I$9)-1,"")</f>
        <v>0.16345702207609203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96.08</v>
      </c>
      <c r="C623" s="18">
        <v>131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-0.30648188248881192</v>
      </c>
      <c r="P623" s="19">
        <f ca="1">IF('Stock Price'!$I$11="OK",C623/INDEX(C$5:C$1258,'Stock Price'!$I$9)-1,"")</f>
        <v>-0.28287943068290688</v>
      </c>
      <c r="Q623" s="19">
        <f ca="1">IF('Stock Price'!$I$11="OK",D623/INDEX(D$5:D$1258,'Stock Price'!$I$9)-1,"")</f>
        <v>-0.14628249042917596</v>
      </c>
      <c r="R623" s="19">
        <f ca="1">IF('Stock Price'!$I$11="OK",E623/INDEX(E$5:E$1258,'Stock Price'!$I$9)-1,"")</f>
        <v>-0.39125364431486886</v>
      </c>
      <c r="S623" s="19">
        <f ca="1">IF('Stock Price'!$I$11="OK",F623/INDEX(F$5:F$1258,'Stock Price'!$I$9)-1,"")</f>
        <v>-1.0366991499066947E-2</v>
      </c>
      <c r="T623" s="19">
        <f ca="1">IF('Stock Price'!$I$11="OK",G623/INDEX(G$5:G$1258,'Stock Price'!$I$9)-1,"")</f>
        <v>-0.30315789473684207</v>
      </c>
      <c r="U623" s="19">
        <f ca="1">IF('Stock Price'!$I$11="OK",H623/INDEX(H$5:H$1258,'Stock Price'!$I$9)-1,"")</f>
        <v>0.16129638327853457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96.23</v>
      </c>
      <c r="C624" s="18">
        <v>132.37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-0.30539916269669398</v>
      </c>
      <c r="P624" s="19">
        <f ca="1">IF('Stock Price'!$I$11="OK",C624/INDEX(C$5:C$1258,'Stock Price'!$I$9)-1,"")</f>
        <v>-0.27537977282058301</v>
      </c>
      <c r="Q624" s="19">
        <f ca="1">IF('Stock Price'!$I$11="OK",D624/INDEX(D$5:D$1258,'Stock Price'!$I$9)-1,"")</f>
        <v>-0.1466854724964739</v>
      </c>
      <c r="R624" s="19">
        <f ca="1">IF('Stock Price'!$I$11="OK",E624/INDEX(E$5:E$1258,'Stock Price'!$I$9)-1,"")</f>
        <v>-0.39125364431486886</v>
      </c>
      <c r="S624" s="19">
        <f ca="1">IF('Stock Price'!$I$11="OK",F624/INDEX(F$5:F$1258,'Stock Price'!$I$9)-1,"")</f>
        <v>-3.3174372797013518E-3</v>
      </c>
      <c r="T624" s="19">
        <f ca="1">IF('Stock Price'!$I$11="OK",G624/INDEX(G$5:G$1258,'Stock Price'!$I$9)-1,"")</f>
        <v>-0.29618421052631572</v>
      </c>
      <c r="U624" s="19">
        <f ca="1">IF('Stock Price'!$I$11="OK",H624/INDEX(H$5:H$1258,'Stock Price'!$I$9)-1,"")</f>
        <v>0.16345702207609203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95.73</v>
      </c>
      <c r="C625" s="18">
        <v>133.22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-0.30900822867041999</v>
      </c>
      <c r="P625" s="19">
        <f ca="1">IF('Stock Price'!$I$11="OK",C625/INDEX(C$5:C$1258,'Stock Price'!$I$9)-1,"")</f>
        <v>-0.27072670042425073</v>
      </c>
      <c r="Q625" s="19">
        <f ca="1">IF('Stock Price'!$I$11="OK",D625/INDEX(D$5:D$1258,'Stock Price'!$I$9)-1,"")</f>
        <v>-0.13701390288132187</v>
      </c>
      <c r="R625" s="19">
        <f ca="1">IF('Stock Price'!$I$11="OK",E625/INDEX(E$5:E$1258,'Stock Price'!$I$9)-1,"")</f>
        <v>-0.39183673469387759</v>
      </c>
      <c r="S625" s="19">
        <f ca="1">IF('Stock Price'!$I$11="OK",F625/INDEX(F$5:F$1258,'Stock Price'!$I$9)-1,"")</f>
        <v>2.5088119427742139E-2</v>
      </c>
      <c r="T625" s="19">
        <f ca="1">IF('Stock Price'!$I$11="OK",G625/INDEX(G$5:G$1258,'Stock Price'!$I$9)-1,"")</f>
        <v>-0.29368421052631577</v>
      </c>
      <c r="U625" s="19">
        <f ca="1">IF('Stock Price'!$I$11="OK",H625/INDEX(H$5:H$1258,'Stock Price'!$I$9)-1,"")</f>
        <v>0.17717238139971814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95.27</v>
      </c>
      <c r="C626" s="18">
        <v>130.55000000000001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-0.31232856936624798</v>
      </c>
      <c r="P626" s="19">
        <f ca="1">IF('Stock Price'!$I$11="OK",C626/INDEX(C$5:C$1258,'Stock Price'!$I$9)-1,"")</f>
        <v>-0.28534282195155325</v>
      </c>
      <c r="Q626" s="19">
        <f ca="1">IF('Stock Price'!$I$11="OK",D626/INDEX(D$5:D$1258,'Stock Price'!$I$9)-1,"")</f>
        <v>-0.13781986701591786</v>
      </c>
      <c r="R626" s="19">
        <f ca="1">IF('Stock Price'!$I$11="OK",E626/INDEX(E$5:E$1258,'Stock Price'!$I$9)-1,"")</f>
        <v>-0.39144800777453848</v>
      </c>
      <c r="S626" s="19">
        <f ca="1">IF('Stock Price'!$I$11="OK",F626/INDEX(F$5:F$1258,'Stock Price'!$I$9)-1,"")</f>
        <v>3.1515654157163731E-2</v>
      </c>
      <c r="T626" s="19">
        <f ca="1">IF('Stock Price'!$I$11="OK",G626/INDEX(G$5:G$1258,'Stock Price'!$I$9)-1,"")</f>
        <v>-0.2811842105263157</v>
      </c>
      <c r="U626" s="19">
        <f ca="1">IF('Stock Price'!$I$11="OK",H626/INDEX(H$5:H$1258,'Stock Price'!$I$9)-1,"")</f>
        <v>0.17914513856270542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95.88</v>
      </c>
      <c r="C627" s="18">
        <v>134.70490000000001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-0.30792550887830228</v>
      </c>
      <c r="P627" s="19">
        <f ca="1">IF('Stock Price'!$I$11="OK",C627/INDEX(C$5:C$1258,'Stock Price'!$I$9)-1,"")</f>
        <v>-0.26259805665799918</v>
      </c>
      <c r="Q627" s="19">
        <f ca="1">IF('Stock Price'!$I$11="OK",D627/INDEX(D$5:D$1258,'Stock Price'!$I$9)-1,"")</f>
        <v>-0.13379004634293779</v>
      </c>
      <c r="R627" s="19">
        <f ca="1">IF('Stock Price'!$I$11="OK",E627/INDEX(E$5:E$1258,'Stock Price'!$I$9)-1,"")</f>
        <v>-0.39144800777453848</v>
      </c>
      <c r="S627" s="19">
        <f ca="1">IF('Stock Price'!$I$11="OK",F627/INDEX(F$5:F$1258,'Stock Price'!$I$9)-1,"")</f>
        <v>2.7161517727555484E-2</v>
      </c>
      <c r="T627" s="19">
        <f ca="1">IF('Stock Price'!$I$11="OK",G627/INDEX(G$5:G$1258,'Stock Price'!$I$9)-1,"")</f>
        <v>-0.25210526315789472</v>
      </c>
      <c r="U627" s="19">
        <f ca="1">IF('Stock Price'!$I$11="OK",H627/INDEX(H$5:H$1258,'Stock Price'!$I$9)-1,"")</f>
        <v>0.23767026773132915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96.73</v>
      </c>
      <c r="C628" s="18">
        <v>136.96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-0.30179009672296808</v>
      </c>
      <c r="P628" s="19">
        <f ca="1">IF('Stock Price'!$I$11="OK",C628/INDEX(C$5:C$1258,'Stock Price'!$I$9)-1,"")</f>
        <v>-0.2502531818803887</v>
      </c>
      <c r="Q628" s="19">
        <f ca="1">IF('Stock Price'!$I$11="OK",D628/INDEX(D$5:D$1258,'Stock Price'!$I$9)-1,"")</f>
        <v>-0.13620793874672588</v>
      </c>
      <c r="R628" s="19">
        <f ca="1">IF('Stock Price'!$I$11="OK",E628/INDEX(E$5:E$1258,'Stock Price'!$I$9)-1,"")</f>
        <v>-0.37959183673469388</v>
      </c>
      <c r="S628" s="19">
        <f ca="1">IF('Stock Price'!$I$11="OK",F628/INDEX(F$5:F$1258,'Stock Price'!$I$9)-1,"")</f>
        <v>7.6715737093095981E-3</v>
      </c>
      <c r="T628" s="19">
        <f ca="1">IF('Stock Price'!$I$11="OK",G628/INDEX(G$5:G$1258,'Stock Price'!$I$9)-1,"")</f>
        <v>-0.25184210526315787</v>
      </c>
      <c r="U628" s="19">
        <f ca="1">IF('Stock Price'!$I$11="OK",H628/INDEX(H$5:H$1258,'Stock Price'!$I$9)-1,"")</f>
        <v>0.23954908407703135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95.87</v>
      </c>
      <c r="C629" s="18">
        <v>135.80000000000001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-0.30799769019777679</v>
      </c>
      <c r="P629" s="19">
        <f ca="1">IF('Stock Price'!$I$11="OK",C629/INDEX(C$5:C$1258,'Stock Price'!$I$9)-1,"")</f>
        <v>-0.25660325715067744</v>
      </c>
      <c r="Q629" s="19">
        <f ca="1">IF('Stock Price'!$I$11="OK",D629/INDEX(D$5:D$1258,'Stock Price'!$I$9)-1,"")</f>
        <v>-0.14527503526093088</v>
      </c>
      <c r="R629" s="19">
        <f ca="1">IF('Stock Price'!$I$11="OK",E629/INDEX(E$5:E$1258,'Stock Price'!$I$9)-1,"")</f>
        <v>-0.37900874635568516</v>
      </c>
      <c r="S629" s="19">
        <f ca="1">IF('Stock Price'!$I$11="OK",F629/INDEX(F$5:F$1258,'Stock Price'!$I$9)-1,"")</f>
        <v>1.2440389798880069E-3</v>
      </c>
      <c r="T629" s="19">
        <f ca="1">IF('Stock Price'!$I$11="OK",G629/INDEX(G$5:G$1258,'Stock Price'!$I$9)-1,"")</f>
        <v>-0.25184210526315787</v>
      </c>
      <c r="U629" s="19">
        <f ca="1">IF('Stock Price'!$I$11="OK",H629/INDEX(H$5:H$1258,'Stock Price'!$I$9)-1,"")</f>
        <v>0.23053076561766095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94.41</v>
      </c>
      <c r="C630" s="18">
        <v>131.66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-0.31853616284105668</v>
      </c>
      <c r="P630" s="19">
        <f ca="1">IF('Stock Price'!$I$11="OK",C630/INDEX(C$5:C$1258,'Stock Price'!$I$9)-1,"")</f>
        <v>-0.27926645682222528</v>
      </c>
      <c r="Q630" s="19">
        <f ca="1">IF('Stock Price'!$I$11="OK",D630/INDEX(D$5:D$1258,'Stock Price'!$I$9)-1,"")</f>
        <v>-0.15796897038081814</v>
      </c>
      <c r="R630" s="19">
        <f ca="1">IF('Stock Price'!$I$11="OK",E630/INDEX(E$5:E$1258,'Stock Price'!$I$9)-1,"")</f>
        <v>-0.39008746355685131</v>
      </c>
      <c r="S630" s="19">
        <f ca="1">IF('Stock Price'!$I$11="OK",F630/INDEX(F$5:F$1258,'Stock Price'!$I$9)-1,"")</f>
        <v>-1.0989010989010839E-2</v>
      </c>
      <c r="T630" s="19">
        <f ca="1">IF('Stock Price'!$I$11="OK",G630/INDEX(G$5:G$1258,'Stock Price'!$I$9)-1,"")</f>
        <v>-0.26328947368421052</v>
      </c>
      <c r="U630" s="19">
        <f ca="1">IF('Stock Price'!$I$11="OK",H630/INDEX(H$5:H$1258,'Stock Price'!$I$9)-1,"")</f>
        <v>0.22451855331141379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94.37</v>
      </c>
      <c r="C631" s="18">
        <v>131.76490000000001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-0.31882488811895471</v>
      </c>
      <c r="P631" s="19">
        <f ca="1">IF('Stock Price'!$I$11="OK",C631/INDEX(C$5:C$1258,'Stock Price'!$I$9)-1,"")</f>
        <v>-0.2786922129464896</v>
      </c>
      <c r="Q631" s="19">
        <f ca="1">IF('Stock Price'!$I$11="OK",D631/INDEX(D$5:D$1258,'Stock Price'!$I$9)-1,"")</f>
        <v>-0.16300624622204318</v>
      </c>
      <c r="R631" s="19">
        <f ca="1">IF('Stock Price'!$I$11="OK",E631/INDEX(E$5:E$1258,'Stock Price'!$I$9)-1,"")</f>
        <v>-0.39164237123420798</v>
      </c>
      <c r="S631" s="19">
        <f ca="1">IF('Stock Price'!$I$11="OK",F631/INDEX(F$5:F$1258,'Stock Price'!$I$9)-1,"")</f>
        <v>-5.5981754094960312E-3</v>
      </c>
      <c r="T631" s="19">
        <f ca="1">IF('Stock Price'!$I$11="OK",G631/INDEX(G$5:G$1258,'Stock Price'!$I$9)-1,"")</f>
        <v>-0.24302631578947365</v>
      </c>
      <c r="U631" s="19">
        <f ca="1">IF('Stock Price'!$I$11="OK",H631/INDEX(H$5:H$1258,'Stock Price'!$I$9)-1,"")</f>
        <v>0.22029121653358397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96.89</v>
      </c>
      <c r="C632" s="18">
        <v>137.35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-0.30063519561137575</v>
      </c>
      <c r="P632" s="19">
        <f ca="1">IF('Stock Price'!$I$11="OK",C632/INDEX(C$5:C$1258,'Stock Price'!$I$9)-1,"")</f>
        <v>-0.24811824278089512</v>
      </c>
      <c r="Q632" s="19">
        <f ca="1">IF('Stock Price'!$I$11="OK",D632/INDEX(D$5:D$1258,'Stock Price'!$I$9)-1,"")</f>
        <v>-0.1767076365101754</v>
      </c>
      <c r="R632" s="19">
        <f ca="1">IF('Stock Price'!$I$11="OK",E632/INDEX(E$5:E$1258,'Stock Price'!$I$9)-1,"")</f>
        <v>-0.40233236151603502</v>
      </c>
      <c r="S632" s="19">
        <f ca="1">IF('Stock Price'!$I$11="OK",F632/INDEX(F$5:F$1258,'Stock Price'!$I$9)-1,"")</f>
        <v>-8.9156126891976051E-3</v>
      </c>
      <c r="T632" s="19">
        <f ca="1">IF('Stock Price'!$I$11="OK",G632/INDEX(G$5:G$1258,'Stock Price'!$I$9)-1,"")</f>
        <v>-0.24842105263157899</v>
      </c>
      <c r="U632" s="19">
        <f ca="1">IF('Stock Price'!$I$11="OK",H632/INDEX(H$5:H$1258,'Stock Price'!$I$9)-1,"")</f>
        <v>0.19924847346171903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95.79</v>
      </c>
      <c r="C633" s="18">
        <v>133.22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-0.30857514075357284</v>
      </c>
      <c r="P633" s="19">
        <f ca="1">IF('Stock Price'!$I$11="OK",C633/INDEX(C$5:C$1258,'Stock Price'!$I$9)-1,"")</f>
        <v>-0.27072670042425073</v>
      </c>
      <c r="Q633" s="19">
        <f ca="1">IF('Stock Price'!$I$11="OK",D633/INDEX(D$5:D$1258,'Stock Price'!$I$9)-1,"")</f>
        <v>-0.17005843239975826</v>
      </c>
      <c r="R633" s="19">
        <f ca="1">IF('Stock Price'!$I$11="OK",E633/INDEX(E$5:E$1258,'Stock Price'!$I$9)-1,"")</f>
        <v>-0.41224489795918373</v>
      </c>
      <c r="S633" s="19">
        <f ca="1">IF('Stock Price'!$I$11="OK",F633/INDEX(F$5:F$1258,'Stock Price'!$I$9)-1,"")</f>
        <v>-2.0319303338171224E-2</v>
      </c>
      <c r="T633" s="19">
        <f ca="1">IF('Stock Price'!$I$11="OK",G633/INDEX(G$5:G$1258,'Stock Price'!$I$9)-1,"")</f>
        <v>-0.27802631578947368</v>
      </c>
      <c r="U633" s="19">
        <f ca="1">IF('Stock Price'!$I$11="OK",H633/INDEX(H$5:H$1258,'Stock Price'!$I$9)-1,"")</f>
        <v>0.20234852043212759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95.48</v>
      </c>
      <c r="C634" s="18">
        <v>136.63999999999999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-0.310812761657283</v>
      </c>
      <c r="P634" s="19">
        <f ca="1">IF('Stock Price'!$I$11="OK",C634/INDEX(C$5:C$1258,'Stock Price'!$I$9)-1,"")</f>
        <v>-0.25200492678253739</v>
      </c>
      <c r="Q634" s="19">
        <f ca="1">IF('Stock Price'!$I$11="OK",D634/INDEX(D$5:D$1258,'Stock Price'!$I$9)-1,"")</f>
        <v>-0.17690912754382426</v>
      </c>
      <c r="R634" s="19">
        <f ca="1">IF('Stock Price'!$I$11="OK",E634/INDEX(E$5:E$1258,'Stock Price'!$I$9)-1,"")</f>
        <v>-0.41321671525753156</v>
      </c>
      <c r="S634" s="19">
        <f ca="1">IF('Stock Price'!$I$11="OK",F634/INDEX(F$5:F$1258,'Stock Price'!$I$9)-1,"")</f>
        <v>-2.2392701637984569E-2</v>
      </c>
      <c r="T634" s="19">
        <f ca="1">IF('Stock Price'!$I$11="OK",G634/INDEX(G$5:G$1258,'Stock Price'!$I$9)-1,"")</f>
        <v>-0.28092105263157896</v>
      </c>
      <c r="U634" s="19">
        <f ca="1">IF('Stock Price'!$I$11="OK",H634/INDEX(H$5:H$1258,'Stock Price'!$I$9)-1,"")</f>
        <v>0.18891498356035696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95.81</v>
      </c>
      <c r="C635" s="18">
        <v>134.75989999999999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-0.30843077811462383</v>
      </c>
      <c r="P635" s="19">
        <f ca="1">IF('Stock Price'!$I$11="OK",C635/INDEX(C$5:C$1258,'Stock Price'!$I$9)-1,"")</f>
        <v>-0.26229697550294251</v>
      </c>
      <c r="Q635" s="19">
        <f ca="1">IF('Stock Price'!$I$11="OK",D635/INDEX(D$5:D$1258,'Stock Price'!$I$9)-1,"")</f>
        <v>-0.17630465444287724</v>
      </c>
      <c r="R635" s="19">
        <f ca="1">IF('Stock Price'!$I$11="OK",E635/INDEX(E$5:E$1258,'Stock Price'!$I$9)-1,"")</f>
        <v>-0.4040816326530613</v>
      </c>
      <c r="S635" s="19">
        <f ca="1">IF('Stock Price'!$I$11="OK",F635/INDEX(F$5:F$1258,'Stock Price'!$I$9)-1,"")</f>
        <v>-1.4513788098693636E-2</v>
      </c>
      <c r="T635" s="19">
        <f ca="1">IF('Stock Price'!$I$11="OK",G635/INDEX(G$5:G$1258,'Stock Price'!$I$9)-1,"")</f>
        <v>-0.27907894736842109</v>
      </c>
      <c r="U635" s="19">
        <f ca="1">IF('Stock Price'!$I$11="OK",H635/INDEX(H$5:H$1258,'Stock Price'!$I$9)-1,"")</f>
        <v>0.1903240958196335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94.38</v>
      </c>
      <c r="C636" s="18">
        <v>136.25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-0.31875270679948031</v>
      </c>
      <c r="P636" s="19">
        <f ca="1">IF('Stock Price'!$I$11="OK",C636/INDEX(C$5:C$1258,'Stock Price'!$I$9)-1,"")</f>
        <v>-0.25413986588203097</v>
      </c>
      <c r="Q636" s="19">
        <f ca="1">IF('Stock Price'!$I$11="OK",D636/INDEX(D$5:D$1258,'Stock Price'!$I$9)-1,"")</f>
        <v>-0.18013298408220846</v>
      </c>
      <c r="R636" s="19">
        <f ca="1">IF('Stock Price'!$I$11="OK",E636/INDEX(E$5:E$1258,'Stock Price'!$I$9)-1,"")</f>
        <v>-0.40544217687074835</v>
      </c>
      <c r="S636" s="19">
        <f ca="1">IF('Stock Price'!$I$11="OK",F636/INDEX(F$5:F$1258,'Stock Price'!$I$9)-1,"")</f>
        <v>-2.2807381297947238E-2</v>
      </c>
      <c r="T636" s="19">
        <f ca="1">IF('Stock Price'!$I$11="OK",G636/INDEX(G$5:G$1258,'Stock Price'!$I$9)-1,"")</f>
        <v>-0.27434210526315794</v>
      </c>
      <c r="U636" s="19">
        <f ca="1">IF('Stock Price'!$I$11="OK",H636/INDEX(H$5:H$1258,'Stock Price'!$I$9)-1,"")</f>
        <v>0.19069985908877407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94.34</v>
      </c>
      <c r="C637" s="18">
        <v>136.5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-0.31904143207737834</v>
      </c>
      <c r="P637" s="19">
        <f ca="1">IF('Stock Price'!$I$11="OK",C637/INDEX(C$5:C$1258,'Stock Price'!$I$9)-1,"")</f>
        <v>-0.2527713151772274</v>
      </c>
      <c r="Q637" s="19">
        <f ca="1">IF('Stock Price'!$I$11="OK",D637/INDEX(D$5:D$1258,'Stock Price'!$I$9)-1,"")</f>
        <v>-0.17791658271206945</v>
      </c>
      <c r="R637" s="19">
        <f ca="1">IF('Stock Price'!$I$11="OK",E637/INDEX(E$5:E$1258,'Stock Price'!$I$9)-1,"")</f>
        <v>-0.39825072886297375</v>
      </c>
      <c r="S637" s="19">
        <f ca="1">IF('Stock Price'!$I$11="OK",F637/INDEX(F$5:F$1258,'Stock Price'!$I$9)-1,"")</f>
        <v>-3.3796392286958188E-2</v>
      </c>
      <c r="T637" s="19">
        <f ca="1">IF('Stock Price'!$I$11="OK",G637/INDEX(G$5:G$1258,'Stock Price'!$I$9)-1,"")</f>
        <v>-0.28894736842105262</v>
      </c>
      <c r="U637" s="19">
        <f ca="1">IF('Stock Price'!$I$11="OK",H637/INDEX(H$5:H$1258,'Stock Price'!$I$9)-1,"")</f>
        <v>0.18506341005166749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93.52</v>
      </c>
      <c r="C638" s="18">
        <v>138.88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-0.32496030027428902</v>
      </c>
      <c r="P638" s="19">
        <f ca="1">IF('Stock Price'!$I$11="OK",C638/INDEX(C$5:C$1258,'Stock Price'!$I$9)-1,"")</f>
        <v>-0.23974271246749701</v>
      </c>
      <c r="Q638" s="19">
        <f ca="1">IF('Stock Price'!$I$11="OK",D638/INDEX(D$5:D$1258,'Stock Price'!$I$9)-1,"")</f>
        <v>-0.18073745718315548</v>
      </c>
      <c r="R638" s="19">
        <f ca="1">IF('Stock Price'!$I$11="OK",E638/INDEX(E$5:E$1258,'Stock Price'!$I$9)-1,"")</f>
        <v>-0.40544217687074835</v>
      </c>
      <c r="S638" s="19">
        <f ca="1">IF('Stock Price'!$I$11="OK",F638/INDEX(F$5:F$1258,'Stock Price'!$I$9)-1,"")</f>
        <v>-4.7688160895708043E-2</v>
      </c>
      <c r="T638" s="19">
        <f ca="1">IF('Stock Price'!$I$11="OK",G638/INDEX(G$5:G$1258,'Stock Price'!$I$9)-1,"")</f>
        <v>-0.29039473684210526</v>
      </c>
      <c r="U638" s="19">
        <f ca="1">IF('Stock Price'!$I$11="OK",H638/INDEX(H$5:H$1258,'Stock Price'!$I$9)-1,"")</f>
        <v>0.18121183654297779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94.41</v>
      </c>
      <c r="C639" s="18">
        <v>135.94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-0.31853616284105668</v>
      </c>
      <c r="P639" s="19">
        <f ca="1">IF('Stock Price'!$I$11="OK",C639/INDEX(C$5:C$1258,'Stock Price'!$I$9)-1,"")</f>
        <v>-0.25583686875598743</v>
      </c>
      <c r="Q639" s="19">
        <f ca="1">IF('Stock Price'!$I$11="OK",D639/INDEX(D$5:D$1258,'Stock Price'!$I$9)-1,"")</f>
        <v>-0.18396131372153945</v>
      </c>
      <c r="R639" s="19">
        <f ca="1">IF('Stock Price'!$I$11="OK",E639/INDEX(E$5:E$1258,'Stock Price'!$I$9)-1,"")</f>
        <v>-0.40563654033041796</v>
      </c>
      <c r="S639" s="19">
        <f ca="1">IF('Stock Price'!$I$11="OK",F639/INDEX(F$5:F$1258,'Stock Price'!$I$9)-1,"")</f>
        <v>-4.1260626166286452E-2</v>
      </c>
      <c r="T639" s="19">
        <f ca="1">IF('Stock Price'!$I$11="OK",G639/INDEX(G$5:G$1258,'Stock Price'!$I$9)-1,"")</f>
        <v>-0.30368421052631578</v>
      </c>
      <c r="U639" s="19">
        <f ca="1">IF('Stock Price'!$I$11="OK",H639/INDEX(H$5:H$1258,'Stock Price'!$I$9)-1,"")</f>
        <v>0.18543917332080784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93.2</v>
      </c>
      <c r="C640" s="18">
        <v>135.30500000000001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-0.32727010249747357</v>
      </c>
      <c r="P640" s="19">
        <f ca="1">IF('Stock Price'!$I$11="OK",C640/INDEX(C$5:C$1258,'Stock Price'!$I$9)-1,"")</f>
        <v>-0.25931298754618859</v>
      </c>
      <c r="Q640" s="19">
        <f ca="1">IF('Stock Price'!$I$11="OK",D640/INDEX(D$5:D$1258,'Stock Price'!$I$9)-1,"")</f>
        <v>-0.1950433205722345</v>
      </c>
      <c r="R640" s="19">
        <f ca="1">IF('Stock Price'!$I$11="OK",E640/INDEX(E$5:E$1258,'Stock Price'!$I$9)-1,"")</f>
        <v>-0.41243926141885323</v>
      </c>
      <c r="S640" s="19">
        <f ca="1">IF('Stock Price'!$I$11="OK",F640/INDEX(F$5:F$1258,'Stock Price'!$I$9)-1,"")</f>
        <v>-5.0383578685465502E-2</v>
      </c>
      <c r="T640" s="19">
        <f ca="1">IF('Stock Price'!$I$11="OK",G640/INDEX(G$5:G$1258,'Stock Price'!$I$9)-1,"")</f>
        <v>-0.31368421052631579</v>
      </c>
      <c r="U640" s="19">
        <f ca="1">IF('Stock Price'!$I$11="OK",H640/INDEX(H$5:H$1258,'Stock Price'!$I$9)-1,"")</f>
        <v>0.17482386096759051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93.08</v>
      </c>
      <c r="C641" s="18">
        <v>140.15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-0.32813627833116787</v>
      </c>
      <c r="P641" s="19">
        <f ca="1">IF('Stock Price'!$I$11="OK",C641/INDEX(C$5:C$1258,'Stock Price'!$I$9)-1,"")</f>
        <v>-0.23279047488709459</v>
      </c>
      <c r="Q641" s="19">
        <f ca="1">IF('Stock Price'!$I$11="OK",D641/INDEX(D$5:D$1258,'Stock Price'!$I$9)-1,"")</f>
        <v>-0.20209550674994969</v>
      </c>
      <c r="R641" s="19">
        <f ca="1">IF('Stock Price'!$I$11="OK",E641/INDEX(E$5:E$1258,'Stock Price'!$I$9)-1,"")</f>
        <v>-0.41535471331389706</v>
      </c>
      <c r="S641" s="19">
        <f ca="1">IF('Stock Price'!$I$11="OK",F641/INDEX(F$5:F$1258,'Stock Price'!$I$9)-1,"")</f>
        <v>-4.3956043956043911E-2</v>
      </c>
      <c r="T641" s="19">
        <f ca="1">IF('Stock Price'!$I$11="OK",G641/INDEX(G$5:G$1258,'Stock Price'!$I$9)-1,"")</f>
        <v>-0.30921052631578949</v>
      </c>
      <c r="U641" s="19">
        <f ca="1">IF('Stock Price'!$I$11="OK",H641/INDEX(H$5:H$1258,'Stock Price'!$I$9)-1,"")</f>
        <v>0.17773602630342888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92.57</v>
      </c>
      <c r="C642" s="18">
        <v>138.24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-0.33181752562436839</v>
      </c>
      <c r="P642" s="19">
        <f ca="1">IF('Stock Price'!$I$11="OK",C642/INDEX(C$5:C$1258,'Stock Price'!$I$9)-1,"")</f>
        <v>-0.24324620227179417</v>
      </c>
      <c r="Q642" s="19">
        <f ca="1">IF('Stock Price'!$I$11="OK",D642/INDEX(D$5:D$1258,'Stock Price'!$I$9)-1,"")</f>
        <v>-0.20874471086036672</v>
      </c>
      <c r="R642" s="19">
        <f ca="1">IF('Stock Price'!$I$11="OK",E642/INDEX(E$5:E$1258,'Stock Price'!$I$9)-1,"")</f>
        <v>-0.41593780369290578</v>
      </c>
      <c r="S642" s="19">
        <f ca="1">IF('Stock Price'!$I$11="OK",F642/INDEX(F$5:F$1258,'Stock Price'!$I$9)-1,"")</f>
        <v>-5.8884511714700327E-2</v>
      </c>
      <c r="T642" s="19">
        <f ca="1">IF('Stock Price'!$I$11="OK",G642/INDEX(G$5:G$1258,'Stock Price'!$I$9)-1,"")</f>
        <v>-0.30947368421052635</v>
      </c>
      <c r="U642" s="19">
        <f ca="1">IF('Stock Price'!$I$11="OK",H642/INDEX(H$5:H$1258,'Stock Price'!$I$9)-1,"")</f>
        <v>0.17642085486143722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94.36</v>
      </c>
      <c r="C643" s="18">
        <v>136.19999999999999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-0.31889706943842933</v>
      </c>
      <c r="P643" s="19">
        <f ca="1">IF('Stock Price'!$I$11="OK",C643/INDEX(C$5:C$1258,'Stock Price'!$I$9)-1,"")</f>
        <v>-0.25441357602299175</v>
      </c>
      <c r="Q643" s="19">
        <f ca="1">IF('Stock Price'!$I$11="OK",D643/INDEX(D$5:D$1258,'Stock Price'!$I$9)-1,"")</f>
        <v>-0.19907314124521458</v>
      </c>
      <c r="R643" s="19">
        <f ca="1">IF('Stock Price'!$I$11="OK",E643/INDEX(E$5:E$1258,'Stock Price'!$I$9)-1,"")</f>
        <v>-0.40894071914480079</v>
      </c>
      <c r="S643" s="19">
        <f ca="1">IF('Stock Price'!$I$11="OK",F643/INDEX(F$5:F$1258,'Stock Price'!$I$9)-1,"")</f>
        <v>-4.0016587186398556E-2</v>
      </c>
      <c r="T643" s="19">
        <f ca="1">IF('Stock Price'!$I$11="OK",G643/INDEX(G$5:G$1258,'Stock Price'!$I$9)-1,"")</f>
        <v>-0.30723684210526314</v>
      </c>
      <c r="U643" s="19">
        <f ca="1">IF('Stock Price'!$I$11="OK",H643/INDEX(H$5:H$1258,'Stock Price'!$I$9)-1,"")</f>
        <v>0.18158759981211836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95.12</v>
      </c>
      <c r="C644" s="18">
        <v>138.72999999999999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-0.31341128915836569</v>
      </c>
      <c r="P644" s="19">
        <f ca="1">IF('Stock Price'!$I$11="OK",C644/INDEX(C$5:C$1258,'Stock Price'!$I$9)-1,"")</f>
        <v>-0.24056384289037924</v>
      </c>
      <c r="Q644" s="19">
        <f ca="1">IF('Stock Price'!$I$11="OK",D644/INDEX(D$5:D$1258,'Stock Price'!$I$9)-1,"")</f>
        <v>-0.18214789441869839</v>
      </c>
      <c r="R644" s="19">
        <f ca="1">IF('Stock Price'!$I$11="OK",E644/INDEX(E$5:E$1258,'Stock Price'!$I$9)-1,"")</f>
        <v>-0.39922254616132169</v>
      </c>
      <c r="S644" s="19">
        <f ca="1">IF('Stock Price'!$I$11="OK",F644/INDEX(F$5:F$1258,'Stock Price'!$I$9)-1,"")</f>
        <v>-2.2392701637984569E-2</v>
      </c>
      <c r="T644" s="19">
        <f ca="1">IF('Stock Price'!$I$11="OK",G644/INDEX(G$5:G$1258,'Stock Price'!$I$9)-1,"")</f>
        <v>-0.2811842105263157</v>
      </c>
      <c r="U644" s="19">
        <f ca="1">IF('Stock Price'!$I$11="OK",H644/INDEX(H$5:H$1258,'Stock Price'!$I$9)-1,"")</f>
        <v>0.19248473461719118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97.28</v>
      </c>
      <c r="C645" s="18">
        <v>140.30000000000001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-0.29782012415186943</v>
      </c>
      <c r="P645" s="19">
        <f ca="1">IF('Stock Price'!$I$11="OK",C645/INDEX(C$5:C$1258,'Stock Price'!$I$9)-1,"")</f>
        <v>-0.23196934446421236</v>
      </c>
      <c r="Q645" s="19">
        <f ca="1">IF('Stock Price'!$I$11="OK",D645/INDEX(D$5:D$1258,'Stock Price'!$I$9)-1,"")</f>
        <v>-0.16905097723151319</v>
      </c>
      <c r="R645" s="19">
        <f ca="1">IF('Stock Price'!$I$11="OK",E645/INDEX(E$5:E$1258,'Stock Price'!$I$9)-1,"")</f>
        <v>-0.39280855199222553</v>
      </c>
      <c r="S645" s="19">
        <f ca="1">IF('Stock Price'!$I$11="OK",F645/INDEX(F$5:F$1258,'Stock Price'!$I$9)-1,"")</f>
        <v>-1.1196350818992284E-2</v>
      </c>
      <c r="T645" s="19">
        <f ca="1">IF('Stock Price'!$I$11="OK",G645/INDEX(G$5:G$1258,'Stock Price'!$I$9)-1,"")</f>
        <v>-0.28039473684210525</v>
      </c>
      <c r="U645" s="19">
        <f ca="1">IF('Stock Price'!$I$11="OK",H645/INDEX(H$5:H$1258,'Stock Price'!$I$9)-1,"")</f>
        <v>0.19192108971348043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98.35</v>
      </c>
      <c r="C646" s="18">
        <v>135.35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-0.29009672296809585</v>
      </c>
      <c r="P646" s="19">
        <f ca="1">IF('Stock Price'!$I$11="OK",C646/INDEX(C$5:C$1258,'Stock Price'!$I$9)-1,"")</f>
        <v>-0.25906664841932403</v>
      </c>
      <c r="Q646" s="19">
        <f ca="1">IF('Stock Price'!$I$11="OK",D646/INDEX(D$5:D$1258,'Stock Price'!$I$9)-1,"")</f>
        <v>-0.1767076365101754</v>
      </c>
      <c r="R646" s="19">
        <f ca="1">IF('Stock Price'!$I$11="OK",E646/INDEX(E$5:E$1258,'Stock Price'!$I$9)-1,"")</f>
        <v>-0.40641399416909629</v>
      </c>
      <c r="S646" s="19">
        <f ca="1">IF('Stock Price'!$I$11="OK",F646/INDEX(F$5:F$1258,'Stock Price'!$I$9)-1,"")</f>
        <v>-3.3589052456976964E-2</v>
      </c>
      <c r="T646" s="19">
        <f ca="1">IF('Stock Price'!$I$11="OK",G646/INDEX(G$5:G$1258,'Stock Price'!$I$9)-1,"")</f>
        <v>-0.29026315789473689</v>
      </c>
      <c r="U646" s="19">
        <f ca="1">IF('Stock Price'!$I$11="OK",H646/INDEX(H$5:H$1258,'Stock Price'!$I$9)-1,"")</f>
        <v>0.1930483795209017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99.06</v>
      </c>
      <c r="C647" s="18">
        <v>146.0549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-0.28497184928540487</v>
      </c>
      <c r="P647" s="19">
        <f ca="1">IF('Stock Price'!$I$11="OK",C647/INDEX(C$5:C$1258,'Stock Price'!$I$9)-1,"")</f>
        <v>-0.20046585465991518</v>
      </c>
      <c r="Q647" s="19">
        <f ca="1">IF('Stock Price'!$I$11="OK",D647/INDEX(D$5:D$1258,'Stock Price'!$I$9)-1,"")</f>
        <v>-0.17570018134193044</v>
      </c>
      <c r="R647" s="19">
        <f ca="1">IF('Stock Price'!$I$11="OK",E647/INDEX(E$5:E$1258,'Stock Price'!$I$9)-1,"")</f>
        <v>-0.4165208940719145</v>
      </c>
      <c r="S647" s="19">
        <f ca="1">IF('Stock Price'!$I$11="OK",F647/INDEX(F$5:F$1258,'Stock Price'!$I$9)-1,"")</f>
        <v>2.3429400787891463E-2</v>
      </c>
      <c r="T647" s="19">
        <f ca="1">IF('Stock Price'!$I$11="OK",G647/INDEX(G$5:G$1258,'Stock Price'!$I$9)-1,"")</f>
        <v>-0.29223684210526313</v>
      </c>
      <c r="U647" s="19">
        <f ca="1">IF('Stock Price'!$I$11="OK",H647/INDEX(H$5:H$1258,'Stock Price'!$I$9)-1,"")</f>
        <v>0.22799436355096292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97.44</v>
      </c>
      <c r="C648" s="18">
        <v>145.1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-0.2966652230402772</v>
      </c>
      <c r="P648" s="19">
        <f ca="1">IF('Stock Price'!$I$11="OK",C648/INDEX(C$5:C$1258,'Stock Price'!$I$9)-1,"")</f>
        <v>-0.20569317093198314</v>
      </c>
      <c r="Q648" s="19">
        <f ca="1">IF('Stock Price'!$I$11="OK",D648/INDEX(D$5:D$1258,'Stock Price'!$I$9)-1,"")</f>
        <v>-0.17167036066895025</v>
      </c>
      <c r="R648" s="19">
        <f ca="1">IF('Stock Price'!$I$11="OK",E648/INDEX(E$5:E$1258,'Stock Price'!$I$9)-1,"")</f>
        <v>-0.41205053449951412</v>
      </c>
      <c r="S648" s="19">
        <f ca="1">IF('Stock Price'!$I$11="OK",F648/INDEX(F$5:F$1258,'Stock Price'!$I$9)-1,"")</f>
        <v>1.866058469832077E-2</v>
      </c>
      <c r="T648" s="19">
        <f ca="1">IF('Stock Price'!$I$11="OK",G648/INDEX(G$5:G$1258,'Stock Price'!$I$9)-1,"")</f>
        <v>-0.27894736842105272</v>
      </c>
      <c r="U648" s="19">
        <f ca="1">IF('Stock Price'!$I$11="OK",H648/INDEX(H$5:H$1258,'Stock Price'!$I$9)-1,"")</f>
        <v>0.23250352278064801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97.09</v>
      </c>
      <c r="C649" s="18">
        <v>146.25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-0.29919156922188528</v>
      </c>
      <c r="P649" s="19">
        <f ca="1">IF('Stock Price'!$I$11="OK",C649/INDEX(C$5:C$1258,'Stock Price'!$I$9)-1,"")</f>
        <v>-0.1993978376898865</v>
      </c>
      <c r="Q649" s="19">
        <f ca="1">IF('Stock Price'!$I$11="OK",D649/INDEX(D$5:D$1258,'Stock Price'!$I$9)-1,"")</f>
        <v>-0.16159580898650017</v>
      </c>
      <c r="R649" s="19">
        <f ca="1">IF('Stock Price'!$I$11="OK",E649/INDEX(E$5:E$1258,'Stock Price'!$I$9)-1,"")</f>
        <v>-0.41049562682215746</v>
      </c>
      <c r="S649" s="19">
        <f ca="1">IF('Stock Price'!$I$11="OK",F649/INDEX(F$5:F$1258,'Stock Price'!$I$9)-1,"")</f>
        <v>1.7831225378395432E-2</v>
      </c>
      <c r="T649" s="19">
        <f ca="1">IF('Stock Price'!$I$11="OK",G649/INDEX(G$5:G$1258,'Stock Price'!$I$9)-1,"")</f>
        <v>-0.27394736842105261</v>
      </c>
      <c r="U649" s="19">
        <f ca="1">IF('Stock Price'!$I$11="OK",H649/INDEX(H$5:H$1258,'Stock Price'!$I$9)-1,"")</f>
        <v>0.22235791451385634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97.13</v>
      </c>
      <c r="C650" s="18">
        <v>151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-0.29890284394398725</v>
      </c>
      <c r="P650" s="19">
        <f ca="1">IF('Stock Price'!$I$11="OK",C650/INDEX(C$5:C$1258,'Stock Price'!$I$9)-1,"")</f>
        <v>-0.17339537429861784</v>
      </c>
      <c r="Q650" s="19">
        <f ca="1">IF('Stock Price'!$I$11="OK",D650/INDEX(D$5:D$1258,'Stock Price'!$I$9)-1,"")</f>
        <v>-0.16502115655853322</v>
      </c>
      <c r="R650" s="19">
        <f ca="1">IF('Stock Price'!$I$11="OK",E650/INDEX(E$5:E$1258,'Stock Price'!$I$9)-1,"")</f>
        <v>-0.42040816326530617</v>
      </c>
      <c r="S650" s="19">
        <f ca="1">IF('Stock Price'!$I$11="OK",F650/INDEX(F$5:F$1258,'Stock Price'!$I$9)-1,"")</f>
        <v>2.0733982998133893E-2</v>
      </c>
      <c r="T650" s="19">
        <f ca="1">IF('Stock Price'!$I$11="OK",G650/INDEX(G$5:G$1258,'Stock Price'!$I$9)-1,"")</f>
        <v>-0.28026315789473677</v>
      </c>
      <c r="U650" s="19">
        <f ca="1">IF('Stock Price'!$I$11="OK",H650/INDEX(H$5:H$1258,'Stock Price'!$I$9)-1,"")</f>
        <v>0.21390324095819624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97.5</v>
      </c>
      <c r="C651" s="18">
        <v>151.024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-0.29623213512343005</v>
      </c>
      <c r="P651" s="19">
        <f ca="1">IF('Stock Price'!$I$11="OK",C651/INDEX(C$5:C$1258,'Stock Price'!$I$9)-1,"")</f>
        <v>-0.17326399343095666</v>
      </c>
      <c r="Q651" s="19">
        <f ca="1">IF('Stock Price'!$I$11="OK",D651/INDEX(D$5:D$1258,'Stock Price'!$I$9)-1,"")</f>
        <v>-0.14225266975619588</v>
      </c>
      <c r="R651" s="19">
        <f ca="1">IF('Stock Price'!$I$11="OK",E651/INDEX(E$5:E$1258,'Stock Price'!$I$9)-1,"")</f>
        <v>-0.42176870748299322</v>
      </c>
      <c r="S651" s="19">
        <f ca="1">IF('Stock Price'!$I$11="OK",F651/INDEX(F$5:F$1258,'Stock Price'!$I$9)-1,"")</f>
        <v>3.7321169396641096E-2</v>
      </c>
      <c r="T651" s="19">
        <f ca="1">IF('Stock Price'!$I$11="OK",G651/INDEX(G$5:G$1258,'Stock Price'!$I$9)-1,"")</f>
        <v>-0.28026315789473677</v>
      </c>
      <c r="U651" s="19">
        <f ca="1">IF('Stock Price'!$I$11="OK",H651/INDEX(H$5:H$1258,'Stock Price'!$I$9)-1,"")</f>
        <v>0.20995772663222168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97.34</v>
      </c>
      <c r="C652" s="18">
        <v>153.47999999999999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-0.29738703623502227</v>
      </c>
      <c r="P652" s="19">
        <f ca="1">IF('Stock Price'!$I$11="OK",C652/INDEX(C$5:C$1258,'Stock Price'!$I$9)-1,"")</f>
        <v>-0.15981935130696601</v>
      </c>
      <c r="Q652" s="19">
        <f ca="1">IF('Stock Price'!$I$11="OK",D652/INDEX(D$5:D$1258,'Stock Price'!$I$9)-1,"")</f>
        <v>-0.12653636913157362</v>
      </c>
      <c r="R652" s="19">
        <f ca="1">IF('Stock Price'!$I$11="OK",E652/INDEX(E$5:E$1258,'Stock Price'!$I$9)-1,"")</f>
        <v>-0.43129251700680271</v>
      </c>
      <c r="S652" s="19">
        <f ca="1">IF('Stock Price'!$I$11="OK",F652/INDEX(F$5:F$1258,'Stock Price'!$I$9)-1,"")</f>
        <v>2.5502799087704808E-2</v>
      </c>
      <c r="T652" s="19">
        <f ca="1">IF('Stock Price'!$I$11="OK",G652/INDEX(G$5:G$1258,'Stock Price'!$I$9)-1,"")</f>
        <v>-0.25973684210526315</v>
      </c>
      <c r="U652" s="19">
        <f ca="1">IF('Stock Price'!$I$11="OK",H652/INDEX(H$5:H$1258,'Stock Price'!$I$9)-1,"")</f>
        <v>0.20488492249882562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97.27</v>
      </c>
      <c r="C653" s="18">
        <v>149.245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-0.29789230547134404</v>
      </c>
      <c r="P653" s="19">
        <f ca="1">IF('Stock Price'!$I$11="OK",C653/INDEX(C$5:C$1258,'Stock Price'!$I$9)-1,"")</f>
        <v>-0.18300260024633919</v>
      </c>
      <c r="Q653" s="19">
        <f ca="1">IF('Stock Price'!$I$11="OK",D653/INDEX(D$5:D$1258,'Stock Price'!$I$9)-1,"")</f>
        <v>-0.12351400362683862</v>
      </c>
      <c r="R653" s="19">
        <f ca="1">IF('Stock Price'!$I$11="OK",E653/INDEX(E$5:E$1258,'Stock Price'!$I$9)-1,"")</f>
        <v>-0.42021379980563656</v>
      </c>
      <c r="S653" s="19">
        <f ca="1">IF('Stock Price'!$I$11="OK",F653/INDEX(F$5:F$1258,'Stock Price'!$I$9)-1,"")</f>
        <v>1.6172506738544534E-2</v>
      </c>
      <c r="T653" s="19">
        <f ca="1">IF('Stock Price'!$I$11="OK",G653/INDEX(G$5:G$1258,'Stock Price'!$I$9)-1,"")</f>
        <v>-0.26263157894736844</v>
      </c>
      <c r="U653" s="19">
        <f ca="1">IF('Stock Price'!$I$11="OK",H653/INDEX(H$5:H$1258,'Stock Price'!$I$9)-1,"")</f>
        <v>0.1978393612024425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97.73</v>
      </c>
      <c r="C654" s="18">
        <v>148.22999999999999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-0.29457196477551606</v>
      </c>
      <c r="P654" s="19">
        <f ca="1">IF('Stock Price'!$I$11="OK",C654/INDEX(C$5:C$1258,'Stock Price'!$I$9)-1,"")</f>
        <v>-0.18855891610784192</v>
      </c>
      <c r="Q654" s="19">
        <f ca="1">IF('Stock Price'!$I$11="OK",D654/INDEX(D$5:D$1258,'Stock Price'!$I$9)-1,"")</f>
        <v>-0.12452145879508358</v>
      </c>
      <c r="R654" s="19">
        <f ca="1">IF('Stock Price'!$I$11="OK",E654/INDEX(E$5:E$1258,'Stock Price'!$I$9)-1,"")</f>
        <v>-0.41516034985422745</v>
      </c>
      <c r="S654" s="19">
        <f ca="1">IF('Stock Price'!$I$11="OK",F654/INDEX(F$5:F$1258,'Stock Price'!$I$9)-1,"")</f>
        <v>2.280738129794746E-2</v>
      </c>
      <c r="T654" s="19">
        <f ca="1">IF('Stock Price'!$I$11="OK",G654/INDEX(G$5:G$1258,'Stock Price'!$I$9)-1,"")</f>
        <v>-0.26157894736842113</v>
      </c>
      <c r="U654" s="19">
        <f ca="1">IF('Stock Price'!$I$11="OK",H654/INDEX(H$5:H$1258,'Stock Price'!$I$9)-1,"")</f>
        <v>0.19840300610615302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99.07</v>
      </c>
      <c r="C655" s="18">
        <v>146.65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-0.28489966796593047</v>
      </c>
      <c r="P655" s="19">
        <f ca="1">IF('Stock Price'!$I$11="OK",C655/INDEX(C$5:C$1258,'Stock Price'!$I$9)-1,"")</f>
        <v>-0.1972081565622007</v>
      </c>
      <c r="Q655" s="19">
        <f ca="1">IF('Stock Price'!$I$11="OK",D655/INDEX(D$5:D$1258,'Stock Price'!$I$9)-1,"")</f>
        <v>-0.11041708643965353</v>
      </c>
      <c r="R655" s="19">
        <f ca="1">IF('Stock Price'!$I$11="OK",E655/INDEX(E$5:E$1258,'Stock Price'!$I$9)-1,"")</f>
        <v>-0.40758017492711374</v>
      </c>
      <c r="S655" s="19">
        <f ca="1">IF('Stock Price'!$I$11="OK",F655/INDEX(F$5:F$1258,'Stock Price'!$I$9)-1,"")</f>
        <v>2.7783537217499488E-2</v>
      </c>
      <c r="T655" s="19">
        <f ca="1">IF('Stock Price'!$I$11="OK",G655/INDEX(G$5:G$1258,'Stock Price'!$I$9)-1,"")</f>
        <v>-0.25039473684210523</v>
      </c>
      <c r="U655" s="19">
        <f ca="1">IF('Stock Price'!$I$11="OK",H655/INDEX(H$5:H$1258,'Stock Price'!$I$9)-1,"")</f>
        <v>0.22480037576326906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99.6</v>
      </c>
      <c r="C656" s="18">
        <v>152.4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-0.28107405803378083</v>
      </c>
      <c r="P656" s="19">
        <f ca="1">IF('Stock Price'!$I$11="OK",C656/INDEX(C$5:C$1258,'Stock Price'!$I$9)-1,"")</f>
        <v>-0.16573149035171753</v>
      </c>
      <c r="Q656" s="19">
        <f ca="1">IF('Stock Price'!$I$11="OK",D656/INDEX(D$5:D$1258,'Stock Price'!$I$9)-1,"")</f>
        <v>-0.1106185774733025</v>
      </c>
      <c r="R656" s="19">
        <f ca="1">IF('Stock Price'!$I$11="OK",E656/INDEX(E$5:E$1258,'Stock Price'!$I$9)-1,"")</f>
        <v>-0.40874635568513118</v>
      </c>
      <c r="S656" s="19">
        <f ca="1">IF('Stock Price'!$I$11="OK",F656/INDEX(F$5:F$1258,'Stock Price'!$I$9)-1,"")</f>
        <v>3.877254820651066E-2</v>
      </c>
      <c r="T656" s="19">
        <f ca="1">IF('Stock Price'!$I$11="OK",G656/INDEX(G$5:G$1258,'Stock Price'!$I$9)-1,"")</f>
        <v>-0.25065789473684208</v>
      </c>
      <c r="U656" s="19">
        <f ca="1">IF('Stock Price'!$I$11="OK",H656/INDEX(H$5:H$1258,'Stock Price'!$I$9)-1,"")</f>
        <v>0.21700328792860502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100.21</v>
      </c>
      <c r="C657" s="18">
        <v>152.33000000000001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-0.27667099754583513</v>
      </c>
      <c r="P657" s="19">
        <f ca="1">IF('Stock Price'!$I$11="OK",C657/INDEX(C$5:C$1258,'Stock Price'!$I$9)-1,"")</f>
        <v>-0.16611468454906253</v>
      </c>
      <c r="Q657" s="19">
        <f ca="1">IF('Stock Price'!$I$11="OK",D657/INDEX(D$5:D$1258,'Stock Price'!$I$9)-1,"")</f>
        <v>-9.9939552689905287E-2</v>
      </c>
      <c r="R657" s="19">
        <f ca="1">IF('Stock Price'!$I$11="OK",E657/INDEX(E$5:E$1258,'Stock Price'!$I$9)-1,"")</f>
        <v>-0.3994169096209913</v>
      </c>
      <c r="S657" s="19">
        <f ca="1">IF('Stock Price'!$I$11="OK",F657/INDEX(F$5:F$1258,'Stock Price'!$I$9)-1,"")</f>
        <v>9.5376321791416085E-3</v>
      </c>
      <c r="T657" s="19">
        <f ca="1">IF('Stock Price'!$I$11="OK",G657/INDEX(G$5:G$1258,'Stock Price'!$I$9)-1,"")</f>
        <v>-0.245</v>
      </c>
      <c r="U657" s="19">
        <f ca="1">IF('Stock Price'!$I$11="OK",H657/INDEX(H$5:H$1258,'Stock Price'!$I$9)-1,"")</f>
        <v>0.2233912635039923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102.1</v>
      </c>
      <c r="C658" s="18">
        <v>156.00729999999999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-0.26302872816515088</v>
      </c>
      <c r="P658" s="19">
        <f ca="1">IF('Stock Price'!$I$11="OK",C658/INDEX(C$5:C$1258,'Stock Price'!$I$9)-1,"")</f>
        <v>-0.14598439852196532</v>
      </c>
      <c r="Q658" s="19">
        <f ca="1">IF('Stock Price'!$I$11="OK",D658/INDEX(D$5:D$1258,'Stock Price'!$I$9)-1,"")</f>
        <v>-9.1879911343945242E-2</v>
      </c>
      <c r="R658" s="19">
        <f ca="1">IF('Stock Price'!$I$11="OK",E658/INDEX(E$5:E$1258,'Stock Price'!$I$9)-1,"")</f>
        <v>-0.39844509232264336</v>
      </c>
      <c r="S658" s="19">
        <f ca="1">IF('Stock Price'!$I$11="OK",F658/INDEX(F$5:F$1258,'Stock Price'!$I$9)-1,"")</f>
        <v>2.1770682148040787E-2</v>
      </c>
      <c r="T658" s="19">
        <f ca="1">IF('Stock Price'!$I$11="OK",G658/INDEX(G$5:G$1258,'Stock Price'!$I$9)-1,"")</f>
        <v>-0.23802631578947375</v>
      </c>
      <c r="U658" s="19">
        <f ca="1">IF('Stock Price'!$I$11="OK",H658/INDEX(H$5:H$1258,'Stock Price'!$I$9)-1,"")</f>
        <v>0.22179426961014559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102.26</v>
      </c>
      <c r="C659" s="18">
        <v>155.84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-0.26187382705355844</v>
      </c>
      <c r="P659" s="19">
        <f ca="1">IF('Stock Price'!$I$11="OK",C659/INDEX(C$5:C$1258,'Stock Price'!$I$9)-1,"")</f>
        <v>-0.14690023265361984</v>
      </c>
      <c r="Q659" s="19">
        <f ca="1">IF('Stock Price'!$I$11="OK",D659/INDEX(D$5:D$1258,'Stock Price'!$I$9)-1,"")</f>
        <v>-8.9865001007455203E-2</v>
      </c>
      <c r="R659" s="19">
        <f ca="1">IF('Stock Price'!$I$11="OK",E659/INDEX(E$5:E$1258,'Stock Price'!$I$9)-1,"")</f>
        <v>-0.41010689990281823</v>
      </c>
      <c r="S659" s="19">
        <f ca="1">IF('Stock Price'!$I$11="OK",F659/INDEX(F$5:F$1258,'Stock Price'!$I$9)-1,"")</f>
        <v>4.1053286336305339E-2</v>
      </c>
      <c r="T659" s="19">
        <f ca="1">IF('Stock Price'!$I$11="OK",G659/INDEX(G$5:G$1258,'Stock Price'!$I$9)-1,"")</f>
        <v>-0.22684210526315796</v>
      </c>
      <c r="U659" s="19">
        <f ca="1">IF('Stock Price'!$I$11="OK",H659/INDEX(H$5:H$1258,'Stock Price'!$I$9)-1,"")</f>
        <v>0.21456082667919207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103.31</v>
      </c>
      <c r="C660" s="18">
        <v>152.87989999999999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-0.25429478850873388</v>
      </c>
      <c r="P660" s="19">
        <f ca="1">IF('Stock Price'!$I$11="OK",C660/INDEX(C$5:C$1258,'Stock Price'!$I$9)-1,"")</f>
        <v>-0.1631044204187766</v>
      </c>
      <c r="Q660" s="19">
        <f ca="1">IF('Stock Price'!$I$11="OK",D660/INDEX(D$5:D$1258,'Stock Price'!$I$9)-1,"")</f>
        <v>-7.9991940358654201E-2</v>
      </c>
      <c r="R660" s="19">
        <f ca="1">IF('Stock Price'!$I$11="OK",E660/INDEX(E$5:E$1258,'Stock Price'!$I$9)-1,"")</f>
        <v>-0.39844509232264336</v>
      </c>
      <c r="S660" s="19">
        <f ca="1">IF('Stock Price'!$I$11="OK",F660/INDEX(F$5:F$1258,'Stock Price'!$I$9)-1,"")</f>
        <v>2.6332158407630146E-2</v>
      </c>
      <c r="T660" s="19">
        <f ca="1">IF('Stock Price'!$I$11="OK",G660/INDEX(G$5:G$1258,'Stock Price'!$I$9)-1,"")</f>
        <v>-0.2310526315789474</v>
      </c>
      <c r="U660" s="19">
        <f ca="1">IF('Stock Price'!$I$11="OK",H660/INDEX(H$5:H$1258,'Stock Price'!$I$9)-1,"")</f>
        <v>0.20864255519023001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103.22</v>
      </c>
      <c r="C661" s="18">
        <v>153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-0.25494442038400456</v>
      </c>
      <c r="P661" s="19">
        <f ca="1">IF('Stock Price'!$I$11="OK",C661/INDEX(C$5:C$1258,'Stock Price'!$I$9)-1,"")</f>
        <v>-0.16244696866018893</v>
      </c>
      <c r="Q661" s="19">
        <f ca="1">IF('Stock Price'!$I$11="OK",D661/INDEX(D$5:D$1258,'Stock Price'!$I$9)-1,"")</f>
        <v>-7.9185976224057986E-2</v>
      </c>
      <c r="R661" s="19">
        <f ca="1">IF('Stock Price'!$I$11="OK",E661/INDEX(E$5:E$1258,'Stock Price'!$I$9)-1,"")</f>
        <v>-0.3896987366375122</v>
      </c>
      <c r="S661" s="19">
        <f ca="1">IF('Stock Price'!$I$11="OK",F661/INDEX(F$5:F$1258,'Stock Price'!$I$9)-1,"")</f>
        <v>1.6172506738544534E-2</v>
      </c>
      <c r="T661" s="19">
        <f ca="1">IF('Stock Price'!$I$11="OK",G661/INDEX(G$5:G$1258,'Stock Price'!$I$9)-1,"")</f>
        <v>-0.2282894736842106</v>
      </c>
      <c r="U661" s="19">
        <f ca="1">IF('Stock Price'!$I$11="OK",H661/INDEX(H$5:H$1258,'Stock Price'!$I$9)-1,"")</f>
        <v>0.23748238609675898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102.69</v>
      </c>
      <c r="C662" s="18">
        <v>155.72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-0.2587700303161542</v>
      </c>
      <c r="P662" s="19">
        <f ca="1">IF('Stock Price'!$I$11="OK",C662/INDEX(C$5:C$1258,'Stock Price'!$I$9)-1,"")</f>
        <v>-0.14755713699192563</v>
      </c>
      <c r="Q662" s="19">
        <f ca="1">IF('Stock Price'!$I$11="OK",D662/INDEX(D$5:D$1258,'Stock Price'!$I$9)-1,"")</f>
        <v>-9.5708240983276238E-2</v>
      </c>
      <c r="R662" s="19">
        <f ca="1">IF('Stock Price'!$I$11="OK",E662/INDEX(E$5:E$1258,'Stock Price'!$I$9)-1,"")</f>
        <v>-0.36540330417881439</v>
      </c>
      <c r="S662" s="19">
        <f ca="1">IF('Stock Price'!$I$11="OK",F662/INDEX(F$5:F$1258,'Stock Price'!$I$9)-1,"")</f>
        <v>1.2233049968899179E-2</v>
      </c>
      <c r="T662" s="19">
        <f ca="1">IF('Stock Price'!$I$11="OK",G662/INDEX(G$5:G$1258,'Stock Price'!$I$9)-1,"")</f>
        <v>-0.24605263157894741</v>
      </c>
      <c r="U662" s="19">
        <f ca="1">IF('Stock Price'!$I$11="OK",H662/INDEX(H$5:H$1258,'Stock Price'!$I$9)-1,"")</f>
        <v>0.22949741662752454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102.57</v>
      </c>
      <c r="C663" s="18">
        <v>155.26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-0.25963620614984839</v>
      </c>
      <c r="P663" s="19">
        <f ca="1">IF('Stock Price'!$I$11="OK",C663/INDEX(C$5:C$1258,'Stock Price'!$I$9)-1,"")</f>
        <v>-0.15007527028876433</v>
      </c>
      <c r="Q663" s="19">
        <f ca="1">IF('Stock Price'!$I$11="OK",D663/INDEX(D$5:D$1258,'Stock Price'!$I$9)-1,"")</f>
        <v>-9.369333064678631E-2</v>
      </c>
      <c r="R663" s="19">
        <f ca="1">IF('Stock Price'!$I$11="OK",E663/INDEX(E$5:E$1258,'Stock Price'!$I$9)-1,"")</f>
        <v>-0.36229348882410106</v>
      </c>
      <c r="S663" s="19">
        <f ca="1">IF('Stock Price'!$I$11="OK",F663/INDEX(F$5:F$1258,'Stock Price'!$I$9)-1,"")</f>
        <v>9.1229525191789396E-3</v>
      </c>
      <c r="T663" s="19">
        <f ca="1">IF('Stock Price'!$I$11="OK",G663/INDEX(G$5:G$1258,'Stock Price'!$I$9)-1,"")</f>
        <v>-0.24789473684210528</v>
      </c>
      <c r="U663" s="19">
        <f ca="1">IF('Stock Price'!$I$11="OK",H663/INDEX(H$5:H$1258,'Stock Price'!$I$9)-1,"")</f>
        <v>0.23240958196336292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102.84</v>
      </c>
      <c r="C664" s="18">
        <v>154.61000000000001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-0.25768731052403626</v>
      </c>
      <c r="P664" s="19">
        <f ca="1">IF('Stock Price'!$I$11="OK",C664/INDEX(C$5:C$1258,'Stock Price'!$I$9)-1,"")</f>
        <v>-0.1536335021212536</v>
      </c>
      <c r="Q664" s="19">
        <f ca="1">IF('Stock Price'!$I$11="OK",D664/INDEX(D$5:D$1258,'Stock Price'!$I$9)-1,"")</f>
        <v>-0.10155148095909727</v>
      </c>
      <c r="R664" s="19">
        <f ca="1">IF('Stock Price'!$I$11="OK",E664/INDEX(E$5:E$1258,'Stock Price'!$I$9)-1,"")</f>
        <v>-0.36307094266277939</v>
      </c>
      <c r="S664" s="19">
        <f ca="1">IF('Stock Price'!$I$11="OK",F664/INDEX(F$5:F$1258,'Stock Price'!$I$9)-1,"")</f>
        <v>3.9394567696455773E-3</v>
      </c>
      <c r="T664" s="19">
        <f ca="1">IF('Stock Price'!$I$11="OK",G664/INDEX(G$5:G$1258,'Stock Price'!$I$9)-1,"")</f>
        <v>-0.24565789473684208</v>
      </c>
      <c r="U664" s="19">
        <f ca="1">IF('Stock Price'!$I$11="OK",H664/INDEX(H$5:H$1258,'Stock Price'!$I$9)-1,"")</f>
        <v>0.23053076561766095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102.84</v>
      </c>
      <c r="C665" s="18">
        <v>159.06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-0.25768731052403626</v>
      </c>
      <c r="P665" s="19">
        <f ca="1">IF('Stock Price'!$I$11="OK",C665/INDEX(C$5:C$1258,'Stock Price'!$I$9)-1,"")</f>
        <v>-0.12927329957574929</v>
      </c>
      <c r="Q665" s="19">
        <f ca="1">IF('Stock Price'!$I$11="OK",D665/INDEX(D$5:D$1258,'Stock Price'!$I$9)-1,"")</f>
        <v>-0.10417086439653434</v>
      </c>
      <c r="R665" s="19">
        <f ca="1">IF('Stock Price'!$I$11="OK",E665/INDEX(E$5:E$1258,'Stock Price'!$I$9)-1,"")</f>
        <v>-0.37181729834791066</v>
      </c>
      <c r="S665" s="19">
        <f ca="1">IF('Stock Price'!$I$11="OK",F665/INDEX(F$5:F$1258,'Stock Price'!$I$9)-1,"")</f>
        <v>1.4928467758656527E-2</v>
      </c>
      <c r="T665" s="19">
        <f ca="1">IF('Stock Price'!$I$11="OK",G665/INDEX(G$5:G$1258,'Stock Price'!$I$9)-1,"")</f>
        <v>-0.25486842105263152</v>
      </c>
      <c r="U665" s="19">
        <f ca="1">IF('Stock Price'!$I$11="OK",H665/INDEX(H$5:H$1258,'Stock Price'!$I$9)-1,"")</f>
        <v>0.22837012682010327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101.96</v>
      </c>
      <c r="C666" s="18">
        <v>158.74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-0.26403926663779409</v>
      </c>
      <c r="P666" s="19">
        <f ca="1">IF('Stock Price'!$I$11="OK",C666/INDEX(C$5:C$1258,'Stock Price'!$I$9)-1,"")</f>
        <v>-0.13102504447789787</v>
      </c>
      <c r="Q666" s="19">
        <f ca="1">IF('Stock Price'!$I$11="OK",D666/INDEX(D$5:D$1258,'Stock Price'!$I$9)-1,"")</f>
        <v>-7.7574047954865999E-2</v>
      </c>
      <c r="R666" s="19">
        <f ca="1">IF('Stock Price'!$I$11="OK",E666/INDEX(E$5:E$1258,'Stock Price'!$I$9)-1,"")</f>
        <v>-0.38445092322643348</v>
      </c>
      <c r="S666" s="19">
        <f ca="1">IF('Stock Price'!$I$11="OK",F666/INDEX(F$5:F$1258,'Stock Price'!$I$9)-1,"")</f>
        <v>4.4163383786025356E-2</v>
      </c>
      <c r="T666" s="19">
        <f ca="1">IF('Stock Price'!$I$11="OK",G666/INDEX(G$5:G$1258,'Stock Price'!$I$9)-1,"")</f>
        <v>-0.2527631578947368</v>
      </c>
      <c r="U666" s="19">
        <f ca="1">IF('Stock Price'!$I$11="OK",H666/INDEX(H$5:H$1258,'Stock Price'!$I$9)-1,"")</f>
        <v>0.23156411460779691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101.11</v>
      </c>
      <c r="C667" s="18">
        <v>159.36000000000001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-0.27017467879312829</v>
      </c>
      <c r="P667" s="19">
        <f ca="1">IF('Stock Price'!$I$11="OK",C667/INDEX(C$5:C$1258,'Stock Price'!$I$9)-1,"")</f>
        <v>-0.12763103872998494</v>
      </c>
      <c r="Q667" s="19">
        <f ca="1">IF('Stock Price'!$I$11="OK",D667/INDEX(D$5:D$1258,'Stock Price'!$I$9)-1,"")</f>
        <v>-9.0267983074753255E-2</v>
      </c>
      <c r="R667" s="19">
        <f ca="1">IF('Stock Price'!$I$11="OK",E667/INDEX(E$5:E$1258,'Stock Price'!$I$9)-1,"")</f>
        <v>-0.38211856171039849</v>
      </c>
      <c r="S667" s="19">
        <f ca="1">IF('Stock Price'!$I$11="OK",F667/INDEX(F$5:F$1258,'Stock Price'!$I$9)-1,"")</f>
        <v>1.59651669085632E-2</v>
      </c>
      <c r="T667" s="19">
        <f ca="1">IF('Stock Price'!$I$11="OK",G667/INDEX(G$5:G$1258,'Stock Price'!$I$9)-1,"")</f>
        <v>-0.27407894736842098</v>
      </c>
      <c r="U667" s="19">
        <f ca="1">IF('Stock Price'!$I$11="OK",H667/INDEX(H$5:H$1258,'Stock Price'!$I$9)-1,"")</f>
        <v>0.23147017379051205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100.53</v>
      </c>
      <c r="C668" s="18">
        <v>159.12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-0.27436119532265046</v>
      </c>
      <c r="P668" s="19">
        <f ca="1">IF('Stock Price'!$I$11="OK",C668/INDEX(C$5:C$1258,'Stock Price'!$I$9)-1,"")</f>
        <v>-0.1289448474065964</v>
      </c>
      <c r="Q668" s="19">
        <f ca="1">IF('Stock Price'!$I$11="OK",D668/INDEX(D$5:D$1258,'Stock Price'!$I$9)-1,"")</f>
        <v>-9.0872456175700278E-2</v>
      </c>
      <c r="R668" s="19">
        <f ca="1">IF('Stock Price'!$I$11="OK",E668/INDEX(E$5:E$1258,'Stock Price'!$I$9)-1,"")</f>
        <v>-0.38581146744412054</v>
      </c>
      <c r="S668" s="19">
        <f ca="1">IF('Stock Price'!$I$11="OK",F668/INDEX(F$5:F$1258,'Stock Price'!$I$9)-1,"")</f>
        <v>6.4275347294215912E-3</v>
      </c>
      <c r="T668" s="19">
        <f ca="1">IF('Stock Price'!$I$11="OK",G668/INDEX(G$5:G$1258,'Stock Price'!$I$9)-1,"")</f>
        <v>-0.2728947368421053</v>
      </c>
      <c r="U668" s="19">
        <f ca="1">IF('Stock Price'!$I$11="OK",H668/INDEX(H$5:H$1258,'Stock Price'!$I$9)-1,"")</f>
        <v>0.21643964302489427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99.68</v>
      </c>
      <c r="C669" s="18">
        <v>158.5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-0.28049660747798466</v>
      </c>
      <c r="P669" s="19">
        <f ca="1">IF('Stock Price'!$I$11="OK",C669/INDEX(C$5:C$1258,'Stock Price'!$I$9)-1,"")</f>
        <v>-0.13233885315450944</v>
      </c>
      <c r="Q669" s="19">
        <f ca="1">IF('Stock Price'!$I$11="OK",D669/INDEX(D$5:D$1258,'Stock Price'!$I$9)-1,"")</f>
        <v>-0.10860366713681247</v>
      </c>
      <c r="R669" s="19">
        <f ca="1">IF('Stock Price'!$I$11="OK",E669/INDEX(E$5:E$1258,'Stock Price'!$I$9)-1,"")</f>
        <v>-0.39164237123420798</v>
      </c>
      <c r="S669" s="19">
        <f ca="1">IF('Stock Price'!$I$11="OK",F669/INDEX(F$5:F$1258,'Stock Price'!$I$9)-1,"")</f>
        <v>-6.0128550694588112E-3</v>
      </c>
      <c r="T669" s="19">
        <f ca="1">IF('Stock Price'!$I$11="OK",G669/INDEX(G$5:G$1258,'Stock Price'!$I$9)-1,"")</f>
        <v>-0.26842105263157889</v>
      </c>
      <c r="U669" s="19">
        <f ca="1">IF('Stock Price'!$I$11="OK",H669/INDEX(H$5:H$1258,'Stock Price'!$I$9)-1,"")</f>
        <v>0.18449976514795674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99.36</v>
      </c>
      <c r="C670" s="18">
        <v>146.19999999999999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-0.28280640970116933</v>
      </c>
      <c r="P670" s="19">
        <f ca="1">IF('Stock Price'!$I$11="OK",C670/INDEX(C$5:C$1258,'Stock Price'!$I$9)-1,"")</f>
        <v>-0.19967154783084728</v>
      </c>
      <c r="Q670" s="19">
        <f ca="1">IF('Stock Price'!$I$11="OK",D670/INDEX(D$5:D$1258,'Stock Price'!$I$9)-1,"")</f>
        <v>-0.10779770300221647</v>
      </c>
      <c r="R670" s="19">
        <f ca="1">IF('Stock Price'!$I$11="OK",E670/INDEX(E$5:E$1258,'Stock Price'!$I$9)-1,"")</f>
        <v>-0.39105928085519925</v>
      </c>
      <c r="S670" s="19">
        <f ca="1">IF('Stock Price'!$I$11="OK",F670/INDEX(F$5:F$1258,'Stock Price'!$I$9)-1,"")</f>
        <v>-1.3684428778768298E-2</v>
      </c>
      <c r="T670" s="19">
        <f ca="1">IF('Stock Price'!$I$11="OK",G670/INDEX(G$5:G$1258,'Stock Price'!$I$9)-1,"")</f>
        <v>-0.29144736842105257</v>
      </c>
      <c r="U670" s="19">
        <f ca="1">IF('Stock Price'!$I$11="OK",H670/INDEX(H$5:H$1258,'Stock Price'!$I$9)-1,"")</f>
        <v>0.18271488961953963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100.7</v>
      </c>
      <c r="C671" s="18">
        <v>146.19999999999999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-0.27313411289158362</v>
      </c>
      <c r="P671" s="19">
        <f ca="1">IF('Stock Price'!$I$11="OK",C671/INDEX(C$5:C$1258,'Stock Price'!$I$9)-1,"")</f>
        <v>-0.19967154783084728</v>
      </c>
      <c r="Q671" s="19">
        <f ca="1">IF('Stock Price'!$I$11="OK",D671/INDEX(D$5:D$1258,'Stock Price'!$I$9)-1,"")</f>
        <v>-0.11303646987709048</v>
      </c>
      <c r="R671" s="19">
        <f ca="1">IF('Stock Price'!$I$11="OK",E671/INDEX(E$5:E$1258,'Stock Price'!$I$9)-1,"")</f>
        <v>-0.38639455782312926</v>
      </c>
      <c r="S671" s="19">
        <f ca="1">IF('Stock Price'!$I$11="OK",F671/INDEX(F$5:F$1258,'Stock Price'!$I$9)-1,"")</f>
        <v>-8.2935931992536016E-3</v>
      </c>
      <c r="T671" s="19">
        <f ca="1">IF('Stock Price'!$I$11="OK",G671/INDEX(G$5:G$1258,'Stock Price'!$I$9)-1,"")</f>
        <v>-0.2617105263157895</v>
      </c>
      <c r="U671" s="19">
        <f ca="1">IF('Stock Price'!$I$11="OK",H671/INDEX(H$5:H$1258,'Stock Price'!$I$9)-1,"")</f>
        <v>0.16984499765147953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103.13</v>
      </c>
      <c r="C672" s="18">
        <v>153.78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-0.25559405225927534</v>
      </c>
      <c r="P672" s="19">
        <f ca="1">IF('Stock Price'!$I$11="OK",C672/INDEX(C$5:C$1258,'Stock Price'!$I$9)-1,"")</f>
        <v>-0.15817709046120165</v>
      </c>
      <c r="Q672" s="19">
        <f ca="1">IF('Stock Price'!$I$11="OK",D672/INDEX(D$5:D$1258,'Stock Price'!$I$9)-1,"")</f>
        <v>-9.7924642353415248E-2</v>
      </c>
      <c r="R672" s="19">
        <f ca="1">IF('Stock Price'!$I$11="OK",E672/INDEX(E$5:E$1258,'Stock Price'!$I$9)-1,"")</f>
        <v>-0.37784256559766771</v>
      </c>
      <c r="S672" s="19">
        <f ca="1">IF('Stock Price'!$I$11="OK",F672/INDEX(F$5:F$1258,'Stock Price'!$I$9)-1,"")</f>
        <v>1.6587186398507203E-2</v>
      </c>
      <c r="T672" s="19">
        <f ca="1">IF('Stock Price'!$I$11="OK",G672/INDEX(G$5:G$1258,'Stock Price'!$I$9)-1,"")</f>
        <v>-0.25684210526315798</v>
      </c>
      <c r="U672" s="19">
        <f ca="1">IF('Stock Price'!$I$11="OK",H672/INDEX(H$5:H$1258,'Stock Price'!$I$9)-1,"")</f>
        <v>0.17933302019727582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102.76</v>
      </c>
      <c r="C673" s="18">
        <v>158.43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-0.25826476107983243</v>
      </c>
      <c r="P673" s="19">
        <f ca="1">IF('Stock Price'!$I$11="OK",C673/INDEX(C$5:C$1258,'Stock Price'!$I$9)-1,"")</f>
        <v>-0.13272204735185444</v>
      </c>
      <c r="Q673" s="19">
        <f ca="1">IF('Stock Price'!$I$11="OK",D673/INDEX(D$5:D$1258,'Stock Price'!$I$9)-1,"")</f>
        <v>-0.17630465444287724</v>
      </c>
      <c r="R673" s="19">
        <f ca="1">IF('Stock Price'!$I$11="OK",E673/INDEX(E$5:E$1258,'Stock Price'!$I$9)-1,"")</f>
        <v>-0.37142857142857144</v>
      </c>
      <c r="S673" s="19">
        <f ca="1">IF('Stock Price'!$I$11="OK",F673/INDEX(F$5:F$1258,'Stock Price'!$I$9)-1,"")</f>
        <v>2.1148662658096784E-2</v>
      </c>
      <c r="T673" s="19">
        <f ca="1">IF('Stock Price'!$I$11="OK",G673/INDEX(G$5:G$1258,'Stock Price'!$I$9)-1,"")</f>
        <v>-0.24671052631578949</v>
      </c>
      <c r="U673" s="19">
        <f ca="1">IF('Stock Price'!$I$11="OK",H673/INDEX(H$5:H$1258,'Stock Price'!$I$9)-1,"")</f>
        <v>0.20638797557538746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104.92</v>
      </c>
      <c r="C674" s="18">
        <v>156.35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-0.24267359607333616</v>
      </c>
      <c r="P674" s="19">
        <f ca="1">IF('Stock Price'!$I$11="OK",C674/INDEX(C$5:C$1258,'Stock Price'!$I$9)-1,"")</f>
        <v>-0.14410838921582048</v>
      </c>
      <c r="Q674" s="19">
        <f ca="1">IF('Stock Price'!$I$11="OK",D674/INDEX(D$5:D$1258,'Stock Price'!$I$9)-1,"")</f>
        <v>-0.16683457586137418</v>
      </c>
      <c r="R674" s="19">
        <f ca="1">IF('Stock Price'!$I$11="OK",E674/INDEX(E$5:E$1258,'Stock Price'!$I$9)-1,"")</f>
        <v>-0.3607385811467444</v>
      </c>
      <c r="S674" s="19">
        <f ca="1">IF('Stock Price'!$I$11="OK",F674/INDEX(F$5:F$1258,'Stock Price'!$I$9)-1,"")</f>
        <v>2.0319303338171446E-2</v>
      </c>
      <c r="T674" s="19">
        <f ca="1">IF('Stock Price'!$I$11="OK",G674/INDEX(G$5:G$1258,'Stock Price'!$I$9)-1,"")</f>
        <v>-0.25434210526315792</v>
      </c>
      <c r="U674" s="19">
        <f ca="1">IF('Stock Price'!$I$11="OK",H674/INDEX(H$5:H$1258,'Stock Price'!$I$9)-1,"")</f>
        <v>0.20911225927665567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105.36</v>
      </c>
      <c r="C675" s="18">
        <v>160.1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-0.2394976180164573</v>
      </c>
      <c r="P675" s="19">
        <f ca="1">IF('Stock Price'!$I$11="OK",C675/INDEX(C$5:C$1258,'Stock Price'!$I$9)-1,"")</f>
        <v>-0.12358012864376633</v>
      </c>
      <c r="Q675" s="19">
        <f ca="1">IF('Stock Price'!$I$11="OK",D675/INDEX(D$5:D$1258,'Stock Price'!$I$9)-1,"")</f>
        <v>-0.15434213177513612</v>
      </c>
      <c r="R675" s="19">
        <f ca="1">IF('Stock Price'!$I$11="OK",E675/INDEX(E$5:E$1258,'Stock Price'!$I$9)-1,"")</f>
        <v>-0.35782312925170068</v>
      </c>
      <c r="S675" s="19">
        <f ca="1">IF('Stock Price'!$I$11="OK",F675/INDEX(F$5:F$1258,'Stock Price'!$I$9)-1,"")</f>
        <v>1.866058469832077E-2</v>
      </c>
      <c r="T675" s="19">
        <f ca="1">IF('Stock Price'!$I$11="OK",G675/INDEX(G$5:G$1258,'Stock Price'!$I$9)-1,"")</f>
        <v>-0.24750000000000005</v>
      </c>
      <c r="U675" s="19">
        <f ca="1">IF('Stock Price'!$I$11="OK",H675/INDEX(H$5:H$1258,'Stock Price'!$I$9)-1,"")</f>
        <v>0.2160638797557537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106.13</v>
      </c>
      <c r="C676" s="18">
        <v>159.96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-0.23393965641691927</v>
      </c>
      <c r="P676" s="19">
        <f ca="1">IF('Stock Price'!$I$11="OK",C676/INDEX(C$5:C$1258,'Stock Price'!$I$9)-1,"")</f>
        <v>-0.12434651703845634</v>
      </c>
      <c r="Q676" s="19">
        <f ca="1">IF('Stock Price'!$I$11="OK",D676/INDEX(D$5:D$1258,'Stock Price'!$I$9)-1,"")</f>
        <v>-0.16300624622204318</v>
      </c>
      <c r="R676" s="19">
        <f ca="1">IF('Stock Price'!$I$11="OK",E676/INDEX(E$5:E$1258,'Stock Price'!$I$9)-1,"")</f>
        <v>-0.34927113702623913</v>
      </c>
      <c r="S676" s="19">
        <f ca="1">IF('Stock Price'!$I$11="OK",F676/INDEX(F$5:F$1258,'Stock Price'!$I$9)-1,"")</f>
        <v>2.6539498237611481E-2</v>
      </c>
      <c r="T676" s="19">
        <f ca="1">IF('Stock Price'!$I$11="OK",G676/INDEX(G$5:G$1258,'Stock Price'!$I$9)-1,"")</f>
        <v>-0.25302631578947365</v>
      </c>
      <c r="U676" s="19">
        <f ca="1">IF('Stock Price'!$I$11="OK",H676/INDEX(H$5:H$1258,'Stock Price'!$I$9)-1,"")</f>
        <v>0.22611554720526073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105.33</v>
      </c>
      <c r="C677" s="18">
        <v>159.96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-0.23971416197488082</v>
      </c>
      <c r="P677" s="19">
        <f ca="1">IF('Stock Price'!$I$11="OK",C677/INDEX(C$5:C$1258,'Stock Price'!$I$9)-1,"")</f>
        <v>-0.12434651703845634</v>
      </c>
      <c r="Q677" s="19">
        <f ca="1">IF('Stock Price'!$I$11="OK",D677/INDEX(D$5:D$1258,'Stock Price'!$I$9)-1,"")</f>
        <v>-0.16965545033246021</v>
      </c>
      <c r="R677" s="19">
        <f ca="1">IF('Stock Price'!$I$11="OK",E677/INDEX(E$5:E$1258,'Stock Price'!$I$9)-1,"")</f>
        <v>-0.34791059280855208</v>
      </c>
      <c r="S677" s="19">
        <f ca="1">IF('Stock Price'!$I$11="OK",F677/INDEX(F$5:F$1258,'Stock Price'!$I$9)-1,"")</f>
        <v>1.5550487248600531E-2</v>
      </c>
      <c r="T677" s="19">
        <f ca="1">IF('Stock Price'!$I$11="OK",G677/INDEX(G$5:G$1258,'Stock Price'!$I$9)-1,"")</f>
        <v>-0.26078947368421057</v>
      </c>
      <c r="U677" s="19">
        <f ca="1">IF('Stock Price'!$I$11="OK",H677/INDEX(H$5:H$1258,'Stock Price'!$I$9)-1,"")</f>
        <v>0.22752465946453726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105.4</v>
      </c>
      <c r="C678" s="18">
        <v>159.37989999999999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-0.23920889273855916</v>
      </c>
      <c r="P678" s="19">
        <f ca="1">IF('Stock Price'!$I$11="OK",C678/INDEX(C$5:C$1258,'Stock Price'!$I$9)-1,"")</f>
        <v>-0.12752210209388271</v>
      </c>
      <c r="Q678" s="19">
        <f ca="1">IF('Stock Price'!$I$11="OK",D678/INDEX(D$5:D$1258,'Stock Price'!$I$9)-1,"")</f>
        <v>-0.16804352206326822</v>
      </c>
      <c r="R678" s="19">
        <f ca="1">IF('Stock Price'!$I$11="OK",E678/INDEX(E$5:E$1258,'Stock Price'!$I$9)-1,"")</f>
        <v>-0.34965986394557824</v>
      </c>
      <c r="S678" s="19">
        <f ca="1">IF('Stock Price'!$I$11="OK",F678/INDEX(F$5:F$1258,'Stock Price'!$I$9)-1,"")</f>
        <v>1.3062409288824517E-2</v>
      </c>
      <c r="T678" s="19">
        <f ca="1">IF('Stock Price'!$I$11="OK",G678/INDEX(G$5:G$1258,'Stock Price'!$I$9)-1,"")</f>
        <v>-0.27697368421052626</v>
      </c>
      <c r="U678" s="19">
        <f ca="1">IF('Stock Price'!$I$11="OK",H678/INDEX(H$5:H$1258,'Stock Price'!$I$9)-1,"")</f>
        <v>0.23522780648191643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104.51</v>
      </c>
      <c r="C679" s="18">
        <v>161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-0.2456330301717915</v>
      </c>
      <c r="P679" s="19">
        <f ca="1">IF('Stock Price'!$I$11="OK",C679/INDEX(C$5:C$1258,'Stock Price'!$I$9)-1,"")</f>
        <v>-0.11865334610647327</v>
      </c>
      <c r="Q679" s="19">
        <f ca="1">IF('Stock Price'!$I$11="OK",D679/INDEX(D$5:D$1258,'Stock Price'!$I$9)-1,"")</f>
        <v>-0.17267781583719521</v>
      </c>
      <c r="R679" s="19">
        <f ca="1">IF('Stock Price'!$I$11="OK",E679/INDEX(E$5:E$1258,'Stock Price'!$I$9)-1,"")</f>
        <v>-0.34868804664723041</v>
      </c>
      <c r="S679" s="19">
        <f ca="1">IF('Stock Price'!$I$11="OK",F679/INDEX(F$5:F$1258,'Stock Price'!$I$9)-1,"")</f>
        <v>5.8055152394775877E-3</v>
      </c>
      <c r="T679" s="19">
        <f ca="1">IF('Stock Price'!$I$11="OK",G679/INDEX(G$5:G$1258,'Stock Price'!$I$9)-1,"")</f>
        <v>-0.28736842105263161</v>
      </c>
      <c r="U679" s="19">
        <f ca="1">IF('Stock Price'!$I$11="OK",H679/INDEX(H$5:H$1258,'Stock Price'!$I$9)-1,"")</f>
        <v>0.23851573508689516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105.55</v>
      </c>
      <c r="C680" s="18">
        <v>160.44999999999999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-0.23812617294644145</v>
      </c>
      <c r="P680" s="19">
        <f ca="1">IF('Stock Price'!$I$11="OK",C680/INDEX(C$5:C$1258,'Stock Price'!$I$9)-1,"")</f>
        <v>-0.12166415765704131</v>
      </c>
      <c r="Q680" s="19">
        <f ca="1">IF('Stock Price'!$I$11="OK",D680/INDEX(D$5:D$1258,'Stock Price'!$I$9)-1,"")</f>
        <v>-0.17167036066895025</v>
      </c>
      <c r="R680" s="19">
        <f ca="1">IF('Stock Price'!$I$11="OK",E680/INDEX(E$5:E$1258,'Stock Price'!$I$9)-1,"")</f>
        <v>-0.33741496598639453</v>
      </c>
      <c r="S680" s="19">
        <f ca="1">IF('Stock Price'!$I$11="OK",F680/INDEX(F$5:F$1258,'Stock Price'!$I$9)-1,"")</f>
        <v>4.3541364296082463E-3</v>
      </c>
      <c r="T680" s="19">
        <f ca="1">IF('Stock Price'!$I$11="OK",G680/INDEX(G$5:G$1258,'Stock Price'!$I$9)-1,"")</f>
        <v>-0.26776315789473681</v>
      </c>
      <c r="U680" s="19">
        <f ca="1">IF('Stock Price'!$I$11="OK",H680/INDEX(H$5:H$1258,'Stock Price'!$I$9)-1,"")</f>
        <v>0.22310944105213704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106.02</v>
      </c>
      <c r="C681" s="18">
        <v>160.44999999999999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-0.23473365093113896</v>
      </c>
      <c r="P681" s="19">
        <f ca="1">IF('Stock Price'!$I$11="OK",C681/INDEX(C$5:C$1258,'Stock Price'!$I$9)-1,"")</f>
        <v>-0.12166415765704131</v>
      </c>
      <c r="Q681" s="19">
        <f ca="1">IF('Stock Price'!$I$11="OK",D681/INDEX(D$5:D$1258,'Stock Price'!$I$9)-1,"")</f>
        <v>-0.17167036066895025</v>
      </c>
      <c r="R681" s="19">
        <f ca="1">IF('Stock Price'!$I$11="OK",E681/INDEX(E$5:E$1258,'Stock Price'!$I$9)-1,"")</f>
        <v>-0.32905733722060249</v>
      </c>
      <c r="S681" s="19">
        <f ca="1">IF('Stock Price'!$I$11="OK",F681/INDEX(F$5:F$1258,'Stock Price'!$I$9)-1,"")</f>
        <v>-1.4513788098693636E-2</v>
      </c>
      <c r="T681" s="19">
        <f ca="1">IF('Stock Price'!$I$11="OK",G681/INDEX(G$5:G$1258,'Stock Price'!$I$9)-1,"")</f>
        <v>-0.28039473684210525</v>
      </c>
      <c r="U681" s="19">
        <f ca="1">IF('Stock Price'!$I$11="OK",H681/INDEX(H$5:H$1258,'Stock Price'!$I$9)-1,"")</f>
        <v>0.215312353217473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105.72</v>
      </c>
      <c r="C682" s="18">
        <v>160.41999999999999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-0.23689909051537461</v>
      </c>
      <c r="P682" s="19">
        <f ca="1">IF('Stock Price'!$I$11="OK",C682/INDEX(C$5:C$1258,'Stock Price'!$I$9)-1,"")</f>
        <v>-0.12182838374161775</v>
      </c>
      <c r="Q682" s="19">
        <f ca="1">IF('Stock Price'!$I$11="OK",D682/INDEX(D$5:D$1258,'Stock Price'!$I$9)-1,"")</f>
        <v>-0.18093894821680445</v>
      </c>
      <c r="R682" s="19">
        <f ca="1">IF('Stock Price'!$I$11="OK",E682/INDEX(E$5:E$1258,'Stock Price'!$I$9)-1,"")</f>
        <v>-0.32614188532555877</v>
      </c>
      <c r="S682" s="19">
        <f ca="1">IF('Stock Price'!$I$11="OK",F682/INDEX(F$5:F$1258,'Stock Price'!$I$9)-1,"")</f>
        <v>-4.1053286336305117E-2</v>
      </c>
      <c r="T682" s="19">
        <f ca="1">IF('Stock Price'!$I$11="OK",G682/INDEX(G$5:G$1258,'Stock Price'!$I$9)-1,"")</f>
        <v>-0.28776315789473683</v>
      </c>
      <c r="U682" s="19">
        <f ca="1">IF('Stock Price'!$I$11="OK",H682/INDEX(H$5:H$1258,'Stock Price'!$I$9)-1,"")</f>
        <v>0.21634570220760918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104.93</v>
      </c>
      <c r="C683" s="18">
        <v>160.41999999999999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-0.24260141475386165</v>
      </c>
      <c r="P683" s="19">
        <f ca="1">IF('Stock Price'!$I$11="OK",C683/INDEX(C$5:C$1258,'Stock Price'!$I$9)-1,"")</f>
        <v>-0.12182838374161775</v>
      </c>
      <c r="Q683" s="19">
        <f ca="1">IF('Stock Price'!$I$11="OK",D683/INDEX(D$5:D$1258,'Stock Price'!$I$9)-1,"")</f>
        <v>-0.18073745718315548</v>
      </c>
      <c r="R683" s="19">
        <f ca="1">IF('Stock Price'!$I$11="OK",E683/INDEX(E$5:E$1258,'Stock Price'!$I$9)-1,"")</f>
        <v>-0.32789115646258515</v>
      </c>
      <c r="S683" s="19">
        <f ca="1">IF('Stock Price'!$I$11="OK",F683/INDEX(F$5:F$1258,'Stock Price'!$I$9)-1,"")</f>
        <v>-1.9489944018245886E-2</v>
      </c>
      <c r="T683" s="19">
        <f ca="1">IF('Stock Price'!$I$11="OK",G683/INDEX(G$5:G$1258,'Stock Price'!$I$9)-1,"")</f>
        <v>-0.31236842105263163</v>
      </c>
      <c r="U683" s="19">
        <f ca="1">IF('Stock Price'!$I$11="OK",H683/INDEX(H$5:H$1258,'Stock Price'!$I$9)-1,"")</f>
        <v>0.19774542038515741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104.94</v>
      </c>
      <c r="C684" s="18">
        <v>158.80000000000001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-0.24252923343438715</v>
      </c>
      <c r="P684" s="19">
        <f ca="1">IF('Stock Price'!$I$11="OK",C684/INDEX(C$5:C$1258,'Stock Price'!$I$9)-1,"")</f>
        <v>-0.13069659230874509</v>
      </c>
      <c r="Q684" s="19">
        <f ca="1">IF('Stock Price'!$I$11="OK",D684/INDEX(D$5:D$1258,'Stock Price'!$I$9)-1,"")</f>
        <v>-0.17489421720733422</v>
      </c>
      <c r="R684" s="19">
        <f ca="1">IF('Stock Price'!$I$11="OK",E684/INDEX(E$5:E$1258,'Stock Price'!$I$9)-1,"")</f>
        <v>-0.32011661807580183</v>
      </c>
      <c r="S684" s="19">
        <f ca="1">IF('Stock Price'!$I$11="OK",F684/INDEX(F$5:F$1258,'Stock Price'!$I$9)-1,"")</f>
        <v>-2.0941322828115227E-2</v>
      </c>
      <c r="T684" s="19">
        <f ca="1">IF('Stock Price'!$I$11="OK",G684/INDEX(G$5:G$1258,'Stock Price'!$I$9)-1,"")</f>
        <v>-0.31210526315789477</v>
      </c>
      <c r="U684" s="19">
        <f ca="1">IF('Stock Price'!$I$11="OK",H684/INDEX(H$5:H$1258,'Stock Price'!$I$9)-1,"")</f>
        <v>0.20234852043212759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105.74</v>
      </c>
      <c r="C685" s="18">
        <v>152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-0.2367547278764256</v>
      </c>
      <c r="P685" s="19">
        <f ca="1">IF('Stock Price'!$I$11="OK",C685/INDEX(C$5:C$1258,'Stock Price'!$I$9)-1,"")</f>
        <v>-0.16792117147940333</v>
      </c>
      <c r="Q685" s="19">
        <f ca="1">IF('Stock Price'!$I$11="OK",D685/INDEX(D$5:D$1258,'Stock Price'!$I$9)-1,"")</f>
        <v>-0.17872254684666544</v>
      </c>
      <c r="R685" s="19">
        <f ca="1">IF('Stock Price'!$I$11="OK",E685/INDEX(E$5:E$1258,'Stock Price'!$I$9)-1,"")</f>
        <v>-0.31545189504373183</v>
      </c>
      <c r="S685" s="19">
        <f ca="1">IF('Stock Price'!$I$11="OK",F685/INDEX(F$5:F$1258,'Stock Price'!$I$9)-1,"")</f>
        <v>-2.8612896537424715E-2</v>
      </c>
      <c r="T685" s="19">
        <f ca="1">IF('Stock Price'!$I$11="OK",G685/INDEX(G$5:G$1258,'Stock Price'!$I$9)-1,"")</f>
        <v>-0.31578947368421051</v>
      </c>
      <c r="U685" s="19">
        <f ca="1">IF('Stock Price'!$I$11="OK",H685/INDEX(H$5:H$1258,'Stock Price'!$I$9)-1,"")</f>
        <v>0.21813057773602607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105.22</v>
      </c>
      <c r="C686" s="18">
        <v>152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-0.24050815648910062</v>
      </c>
      <c r="P686" s="19">
        <f ca="1">IF('Stock Price'!$I$11="OK",C686/INDEX(C$5:C$1258,'Stock Price'!$I$9)-1,"")</f>
        <v>-0.16792117147940333</v>
      </c>
      <c r="Q686" s="19">
        <f ca="1">IF('Stock Price'!$I$11="OK",D686/INDEX(D$5:D$1258,'Stock Price'!$I$9)-1,"")</f>
        <v>-0.18436429578883751</v>
      </c>
      <c r="R686" s="19">
        <f ca="1">IF('Stock Price'!$I$11="OK",E686/INDEX(E$5:E$1258,'Stock Price'!$I$9)-1,"")</f>
        <v>-0.30826044703595723</v>
      </c>
      <c r="S686" s="19">
        <f ca="1">IF('Stock Price'!$I$11="OK",F686/INDEX(F$5:F$1258,'Stock Price'!$I$9)-1,"")</f>
        <v>-2.1148662658096562E-2</v>
      </c>
      <c r="T686" s="19">
        <f ca="1">IF('Stock Price'!$I$11="OK",G686/INDEX(G$5:G$1258,'Stock Price'!$I$9)-1,"")</f>
        <v>-0.31578947368421051</v>
      </c>
      <c r="U686" s="19">
        <f ca="1">IF('Stock Price'!$I$11="OK",H686/INDEX(H$5:H$1258,'Stock Price'!$I$9)-1,"")</f>
        <v>0.22799436355096292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106.95</v>
      </c>
      <c r="C687" s="18">
        <v>152.11000000000001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-0.2280207882200086</v>
      </c>
      <c r="P687" s="19">
        <f ca="1">IF('Stock Price'!$I$11="OK",C687/INDEX(C$5:C$1258,'Stock Price'!$I$9)-1,"")</f>
        <v>-0.16731900916928966</v>
      </c>
      <c r="Q687" s="19">
        <f ca="1">IF('Stock Price'!$I$11="OK",D687/INDEX(D$5:D$1258,'Stock Price'!$I$9)-1,"")</f>
        <v>-0.18295385855329449</v>
      </c>
      <c r="R687" s="19">
        <f ca="1">IF('Stock Price'!$I$11="OK",E687/INDEX(E$5:E$1258,'Stock Price'!$I$9)-1,"")</f>
        <v>-0.30592808551992223</v>
      </c>
      <c r="S687" s="19">
        <f ca="1">IF('Stock Price'!$I$11="OK",F687/INDEX(F$5:F$1258,'Stock Price'!$I$9)-1,"")</f>
        <v>1.5343147418619196E-2</v>
      </c>
      <c r="T687" s="19">
        <f ca="1">IF('Stock Price'!$I$11="OK",G687/INDEX(G$5:G$1258,'Stock Price'!$I$9)-1,"")</f>
        <v>-0.29855263157894729</v>
      </c>
      <c r="U687" s="19">
        <f ca="1">IF('Stock Price'!$I$11="OK",H687/INDEX(H$5:H$1258,'Stock Price'!$I$9)-1,"")</f>
        <v>0.24903710662282763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107.37</v>
      </c>
      <c r="C688" s="18">
        <v>157.87989999999999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-0.22498917280207875</v>
      </c>
      <c r="P688" s="19">
        <f ca="1">IF('Stock Price'!$I$11="OK",C688/INDEX(C$5:C$1258,'Stock Price'!$I$9)-1,"")</f>
        <v>-0.13573340632270436</v>
      </c>
      <c r="Q688" s="19">
        <f ca="1">IF('Stock Price'!$I$11="OK",D688/INDEX(D$5:D$1258,'Stock Price'!$I$9)-1,"")</f>
        <v>-0.18778964336087045</v>
      </c>
      <c r="R688" s="19">
        <f ca="1">IF('Stock Price'!$I$11="OK",E688/INDEX(E$5:E$1258,'Stock Price'!$I$9)-1,"")</f>
        <v>-0.30864917395529645</v>
      </c>
      <c r="S688" s="19">
        <f ca="1">IF('Stock Price'!$I$11="OK",F688/INDEX(F$5:F$1258,'Stock Price'!$I$9)-1,"")</f>
        <v>3.8979888036491772E-2</v>
      </c>
      <c r="T688" s="19">
        <f ca="1">IF('Stock Price'!$I$11="OK",G688/INDEX(G$5:G$1258,'Stock Price'!$I$9)-1,"")</f>
        <v>-0.31184210526315792</v>
      </c>
      <c r="U688" s="19">
        <f ca="1">IF('Stock Price'!$I$11="OK",H688/INDEX(H$5:H$1258,'Stock Price'!$I$9)-1,"")</f>
        <v>0.24866134335368706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107.07</v>
      </c>
      <c r="C689" s="18">
        <v>157.87989999999999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-0.2271546123863144</v>
      </c>
      <c r="P689" s="19">
        <f ca="1">IF('Stock Price'!$I$11="OK",C689/INDEX(C$5:C$1258,'Stock Price'!$I$9)-1,"")</f>
        <v>-0.13573340632270436</v>
      </c>
      <c r="Q689" s="19">
        <f ca="1">IF('Stock Price'!$I$11="OK",D689/INDEX(D$5:D$1258,'Stock Price'!$I$9)-1,"")</f>
        <v>-0.21680435220632688</v>
      </c>
      <c r="R689" s="19">
        <f ca="1">IF('Stock Price'!$I$11="OK",E689/INDEX(E$5:E$1258,'Stock Price'!$I$9)-1,"")</f>
        <v>-0.32633624878522849</v>
      </c>
      <c r="S689" s="19">
        <f ca="1">IF('Stock Price'!$I$11="OK",F689/INDEX(F$5:F$1258,'Stock Price'!$I$9)-1,"")</f>
        <v>2.0733982998133449E-3</v>
      </c>
      <c r="T689" s="19">
        <f ca="1">IF('Stock Price'!$I$11="OK",G689/INDEX(G$5:G$1258,'Stock Price'!$I$9)-1,"")</f>
        <v>-0.31618421052631585</v>
      </c>
      <c r="U689" s="19">
        <f ca="1">IF('Stock Price'!$I$11="OK",H689/INDEX(H$5:H$1258,'Stock Price'!$I$9)-1,"")</f>
        <v>0.23532174729920152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106.55</v>
      </c>
      <c r="C690" s="18">
        <v>158.63999999999999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-0.23090804099898943</v>
      </c>
      <c r="P690" s="19">
        <f ca="1">IF('Stock Price'!$I$11="OK",C690/INDEX(C$5:C$1258,'Stock Price'!$I$9)-1,"")</f>
        <v>-0.13157246475981943</v>
      </c>
      <c r="Q690" s="19">
        <f ca="1">IF('Stock Price'!$I$11="OK",D690/INDEX(D$5:D$1258,'Stock Price'!$I$9)-1,"")</f>
        <v>-0.22143864598025387</v>
      </c>
      <c r="R690" s="19">
        <f ca="1">IF('Stock Price'!$I$11="OK",E690/INDEX(E$5:E$1258,'Stock Price'!$I$9)-1,"")</f>
        <v>-0.32147716229348888</v>
      </c>
      <c r="S690" s="19">
        <f ca="1">IF('Stock Price'!$I$11="OK",F690/INDEX(F$5:F$1258,'Stock Price'!$I$9)-1,"")</f>
        <v>-3.1100974497200173E-3</v>
      </c>
      <c r="T690" s="19">
        <f ca="1">IF('Stock Price'!$I$11="OK",G690/INDEX(G$5:G$1258,'Stock Price'!$I$9)-1,"")</f>
        <v>-0.31289473684210523</v>
      </c>
      <c r="U690" s="19">
        <f ca="1">IF('Stock Price'!$I$11="OK",H690/INDEX(H$5:H$1258,'Stock Price'!$I$9)-1,"")</f>
        <v>0.21953968999530282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106.46</v>
      </c>
      <c r="C691" s="18">
        <v>156.26750000000001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-0.2315576728742601</v>
      </c>
      <c r="P691" s="19">
        <f ca="1">IF('Stock Price'!$I$11="OK",C691/INDEX(C$5:C$1258,'Stock Price'!$I$9)-1,"")</f>
        <v>-0.14456001094840565</v>
      </c>
      <c r="Q691" s="19">
        <f ca="1">IF('Stock Price'!$I$11="OK",D691/INDEX(D$5:D$1258,'Stock Price'!$I$9)-1,"")</f>
        <v>-0.22425952045134001</v>
      </c>
      <c r="R691" s="19">
        <f ca="1">IF('Stock Price'!$I$11="OK",E691/INDEX(E$5:E$1258,'Stock Price'!$I$9)-1,"")</f>
        <v>-0.32614188532555877</v>
      </c>
      <c r="S691" s="19">
        <f ca="1">IF('Stock Price'!$I$11="OK",F691/INDEX(F$5:F$1258,'Stock Price'!$I$9)-1,"")</f>
        <v>6.0128550694589222E-3</v>
      </c>
      <c r="T691" s="19">
        <f ca="1">IF('Stock Price'!$I$11="OK",G691/INDEX(G$5:G$1258,'Stock Price'!$I$9)-1,"")</f>
        <v>-0.3057894736842105</v>
      </c>
      <c r="U691" s="19">
        <f ca="1">IF('Stock Price'!$I$11="OK",H691/INDEX(H$5:H$1258,'Stock Price'!$I$9)-1,"")</f>
        <v>0.16298731798966637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106.54</v>
      </c>
      <c r="C692" s="18">
        <v>157.5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-0.23098022231846393</v>
      </c>
      <c r="P692" s="19">
        <f ca="1">IF('Stock Price'!$I$11="OK",C692/INDEX(C$5:C$1258,'Stock Price'!$I$9)-1,"")</f>
        <v>-0.13781305597372384</v>
      </c>
      <c r="Q692" s="19">
        <f ca="1">IF('Stock Price'!$I$11="OK",D692/INDEX(D$5:D$1258,'Stock Price'!$I$9)-1,"")</f>
        <v>-0.22667741285512788</v>
      </c>
      <c r="R692" s="19">
        <f ca="1">IF('Stock Price'!$I$11="OK",E692/INDEX(E$5:E$1258,'Stock Price'!$I$9)-1,"")</f>
        <v>-0.3267249757045676</v>
      </c>
      <c r="S692" s="19">
        <f ca="1">IF('Stock Price'!$I$11="OK",F692/INDEX(F$5:F$1258,'Stock Price'!$I$9)-1,"")</f>
        <v>2.8198216877462379E-2</v>
      </c>
      <c r="T692" s="19">
        <f ca="1">IF('Stock Price'!$I$11="OK",G692/INDEX(G$5:G$1258,'Stock Price'!$I$9)-1,"")</f>
        <v>-0.31131578947368421</v>
      </c>
      <c r="U692" s="19">
        <f ca="1">IF('Stock Price'!$I$11="OK",H692/INDEX(H$5:H$1258,'Stock Price'!$I$9)-1,"")</f>
        <v>0.2015030530765618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106.44</v>
      </c>
      <c r="C693" s="18">
        <v>154.72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-0.23170203551320911</v>
      </c>
      <c r="P693" s="19">
        <f ca="1">IF('Stock Price'!$I$11="OK",C693/INDEX(C$5:C$1258,'Stock Price'!$I$9)-1,"")</f>
        <v>-0.15303133981114003</v>
      </c>
      <c r="Q693" s="19">
        <f ca="1">IF('Stock Price'!$I$11="OK",D693/INDEX(D$5:D$1258,'Stock Price'!$I$9)-1,"")</f>
        <v>-0.23010276042716105</v>
      </c>
      <c r="R693" s="19">
        <f ca="1">IF('Stock Price'!$I$11="OK",E693/INDEX(E$5:E$1258,'Stock Price'!$I$9)-1,"")</f>
        <v>-0.33080660835762876</v>
      </c>
      <c r="S693" s="19">
        <f ca="1">IF('Stock Price'!$I$11="OK",F693/INDEX(F$5:F$1258,'Stock Price'!$I$9)-1,"")</f>
        <v>6.4275347294215912E-3</v>
      </c>
      <c r="T693" s="19">
        <f ca="1">IF('Stock Price'!$I$11="OK",G693/INDEX(G$5:G$1258,'Stock Price'!$I$9)-1,"")</f>
        <v>-0.31960526315789473</v>
      </c>
      <c r="U693" s="19">
        <f ca="1">IF('Stock Price'!$I$11="OK",H693/INDEX(H$5:H$1258,'Stock Price'!$I$9)-1,"")</f>
        <v>0.19981211836542978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106.78</v>
      </c>
      <c r="C694" s="18">
        <v>147.15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-0.22924787065107544</v>
      </c>
      <c r="P694" s="19">
        <f ca="1">IF('Stock Price'!$I$11="OK",C694/INDEX(C$5:C$1258,'Stock Price'!$I$9)-1,"")</f>
        <v>-0.19447105515259344</v>
      </c>
      <c r="Q694" s="19">
        <f ca="1">IF('Stock Price'!$I$11="OK",D694/INDEX(D$5:D$1258,'Stock Price'!$I$9)-1,"")</f>
        <v>-0.22506548458593589</v>
      </c>
      <c r="R694" s="19">
        <f ca="1">IF('Stock Price'!$I$11="OK",E694/INDEX(E$5:E$1258,'Stock Price'!$I$9)-1,"")</f>
        <v>-0.33702623906705542</v>
      </c>
      <c r="S694" s="19">
        <f ca="1">IF('Stock Price'!$I$11="OK",F694/INDEX(F$5:F$1258,'Stock Price'!$I$9)-1,"")</f>
        <v>1.3062409288824517E-2</v>
      </c>
      <c r="T694" s="19">
        <f ca="1">IF('Stock Price'!$I$11="OK",G694/INDEX(G$5:G$1258,'Stock Price'!$I$9)-1,"")</f>
        <v>-0.30986842105263157</v>
      </c>
      <c r="U694" s="19">
        <f ca="1">IF('Stock Price'!$I$11="OK",H694/INDEX(H$5:H$1258,'Stock Price'!$I$9)-1,"")</f>
        <v>0.18224518553311397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108.13</v>
      </c>
      <c r="C695" s="18">
        <v>148.69999999999999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-0.21950339252201534</v>
      </c>
      <c r="P695" s="19">
        <f ca="1">IF('Stock Price'!$I$11="OK",C695/INDEX(C$5:C$1258,'Stock Price'!$I$9)-1,"")</f>
        <v>-0.18598604078281111</v>
      </c>
      <c r="Q695" s="19">
        <f ca="1">IF('Stock Price'!$I$11="OK",D695/INDEX(D$5:D$1258,'Stock Price'!$I$9)-1,"")</f>
        <v>-0.21740882530727379</v>
      </c>
      <c r="R695" s="19">
        <f ca="1">IF('Stock Price'!$I$11="OK",E695/INDEX(E$5:E$1258,'Stock Price'!$I$9)-1,"")</f>
        <v>-0.33858114674441209</v>
      </c>
      <c r="S695" s="19">
        <f ca="1">IF('Stock Price'!$I$11="OK",F695/INDEX(F$5:F$1258,'Stock Price'!$I$9)-1,"")</f>
        <v>2.9649595687331498E-2</v>
      </c>
      <c r="T695" s="19">
        <f ca="1">IF('Stock Price'!$I$11="OK",G695/INDEX(G$5:G$1258,'Stock Price'!$I$9)-1,"")</f>
        <v>-0.31144736842105269</v>
      </c>
      <c r="U695" s="19">
        <f ca="1">IF('Stock Price'!$I$11="OK",H695/INDEX(H$5:H$1258,'Stock Price'!$I$9)-1,"")</f>
        <v>0.18788163457022078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108.06</v>
      </c>
      <c r="C696" s="18">
        <v>157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-0.22000866175833689</v>
      </c>
      <c r="P696" s="19">
        <f ca="1">IF('Stock Price'!$I$11="OK",C696/INDEX(C$5:C$1258,'Stock Price'!$I$9)-1,"")</f>
        <v>-0.1405501573833311</v>
      </c>
      <c r="Q696" s="19">
        <f ca="1">IF('Stock Price'!$I$11="OK",D696/INDEX(D$5:D$1258,'Stock Price'!$I$9)-1,"")</f>
        <v>-0.22002820874471085</v>
      </c>
      <c r="R696" s="19">
        <f ca="1">IF('Stock Price'!$I$11="OK",E696/INDEX(E$5:E$1258,'Stock Price'!$I$9)-1,"")</f>
        <v>-0.3413022351797862</v>
      </c>
      <c r="S696" s="19">
        <f ca="1">IF('Stock Price'!$I$11="OK",F696/INDEX(F$5:F$1258,'Stock Price'!$I$9)-1,"")</f>
        <v>4.1675305826249343E-2</v>
      </c>
      <c r="T696" s="19">
        <f ca="1">IF('Stock Price'!$I$11="OK",G696/INDEX(G$5:G$1258,'Stock Price'!$I$9)-1,"")</f>
        <v>-0.31434210526315787</v>
      </c>
      <c r="U696" s="19">
        <f ca="1">IF('Stock Price'!$I$11="OK",H696/INDEX(H$5:H$1258,'Stock Price'!$I$9)-1,"")</f>
        <v>0.18158759981211836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108.23</v>
      </c>
      <c r="C697" s="18">
        <v>154.35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-0.21878157932727005</v>
      </c>
      <c r="P697" s="19">
        <f ca="1">IF('Stock Price'!$I$11="OK",C697/INDEX(C$5:C$1258,'Stock Price'!$I$9)-1,"")</f>
        <v>-0.15505679485424939</v>
      </c>
      <c r="Q697" s="19">
        <f ca="1">IF('Stock Price'!$I$11="OK",D697/INDEX(D$5:D$1258,'Stock Price'!$I$9)-1,"")</f>
        <v>-0.22224461011484986</v>
      </c>
      <c r="R697" s="19">
        <f ca="1">IF('Stock Price'!$I$11="OK",E697/INDEX(E$5:E$1258,'Stock Price'!$I$9)-1,"")</f>
        <v>-0.33430515063168131</v>
      </c>
      <c r="S697" s="19">
        <f ca="1">IF('Stock Price'!$I$11="OK",F697/INDEX(F$5:F$1258,'Stock Price'!$I$9)-1,"")</f>
        <v>3.8150528716566434E-2</v>
      </c>
      <c r="T697" s="19">
        <f ca="1">IF('Stock Price'!$I$11="OK",G697/INDEX(G$5:G$1258,'Stock Price'!$I$9)-1,"")</f>
        <v>-0.33289473684210524</v>
      </c>
      <c r="U697" s="19">
        <f ca="1">IF('Stock Price'!$I$11="OK",H697/INDEX(H$5:H$1258,'Stock Price'!$I$9)-1,"")</f>
        <v>0.1840300610615313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109.94</v>
      </c>
      <c r="C698" s="18">
        <v>153.86000000000001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-0.20643857369712715</v>
      </c>
      <c r="P698" s="19">
        <f ca="1">IF('Stock Price'!$I$11="OK",C698/INDEX(C$5:C$1258,'Stock Price'!$I$9)-1,"")</f>
        <v>-0.15773915423566442</v>
      </c>
      <c r="Q698" s="19">
        <f ca="1">IF('Stock Price'!$I$11="OK",D698/INDEX(D$5:D$1258,'Stock Price'!$I$9)-1,"")</f>
        <v>-0.22305057424944585</v>
      </c>
      <c r="R698" s="19">
        <f ca="1">IF('Stock Price'!$I$11="OK",E698/INDEX(E$5:E$1258,'Stock Price'!$I$9)-1,"")</f>
        <v>-0.32361516034985427</v>
      </c>
      <c r="S698" s="19">
        <f ca="1">IF('Stock Price'!$I$11="OK",F698/INDEX(F$5:F$1258,'Stock Price'!$I$9)-1,"")</f>
        <v>5.8055152394775211E-2</v>
      </c>
      <c r="T698" s="19">
        <f ca="1">IF('Stock Price'!$I$11="OK",G698/INDEX(G$5:G$1258,'Stock Price'!$I$9)-1,"")</f>
        <v>-0.3125</v>
      </c>
      <c r="U698" s="19">
        <f ca="1">IF('Stock Price'!$I$11="OK",H698/INDEX(H$5:H$1258,'Stock Price'!$I$9)-1,"")</f>
        <v>0.19586660403945499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110.5</v>
      </c>
      <c r="C699" s="18">
        <v>153.41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-0.20239641980655398</v>
      </c>
      <c r="P699" s="19">
        <f ca="1">IF('Stock Price'!$I$11="OK",C699/INDEX(C$5:C$1258,'Stock Price'!$I$9)-1,"")</f>
        <v>-0.16020254550431101</v>
      </c>
      <c r="Q699" s="19">
        <f ca="1">IF('Stock Price'!$I$11="OK",D699/INDEX(D$5:D$1258,'Stock Price'!$I$9)-1,"")</f>
        <v>-0.21619987910537986</v>
      </c>
      <c r="R699" s="19">
        <f ca="1">IF('Stock Price'!$I$11="OK",E699/INDEX(E$5:E$1258,'Stock Price'!$I$9)-1,"")</f>
        <v>-0.31661807580174939</v>
      </c>
      <c r="S699" s="19">
        <f ca="1">IF('Stock Price'!$I$11="OK",F699/INDEX(F$5:F$1258,'Stock Price'!$I$9)-1,"")</f>
        <v>6.1787269334439232E-2</v>
      </c>
      <c r="T699" s="19">
        <f ca="1">IF('Stock Price'!$I$11="OK",G699/INDEX(G$5:G$1258,'Stock Price'!$I$9)-1,"")</f>
        <v>-0.29894736842105263</v>
      </c>
      <c r="U699" s="19">
        <f ca="1">IF('Stock Price'!$I$11="OK",H699/INDEX(H$5:H$1258,'Stock Price'!$I$9)-1,"")</f>
        <v>0.21155472052606861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111.7</v>
      </c>
      <c r="C700" s="18">
        <v>153.41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-0.1937346614696116</v>
      </c>
      <c r="P700" s="19">
        <f ca="1">IF('Stock Price'!$I$11="OK",C700/INDEX(C$5:C$1258,'Stock Price'!$I$9)-1,"")</f>
        <v>-0.16020254550431101</v>
      </c>
      <c r="Q700" s="19">
        <f ca="1">IF('Stock Price'!$I$11="OK",D700/INDEX(D$5:D$1258,'Stock Price'!$I$9)-1,"")</f>
        <v>-0.21096111223050584</v>
      </c>
      <c r="R700" s="19">
        <f ca="1">IF('Stock Price'!$I$11="OK",E700/INDEX(E$5:E$1258,'Stock Price'!$I$9)-1,"")</f>
        <v>-0.30631681243926145</v>
      </c>
      <c r="S700" s="19">
        <f ca="1">IF('Stock Price'!$I$11="OK",F700/INDEX(F$5:F$1258,'Stock Price'!$I$9)-1,"")</f>
        <v>6.4275347294215246E-2</v>
      </c>
      <c r="T700" s="19">
        <f ca="1">IF('Stock Price'!$I$11="OK",G700/INDEX(G$5:G$1258,'Stock Price'!$I$9)-1,"")</f>
        <v>-0.29118421052631582</v>
      </c>
      <c r="U700" s="19">
        <f ca="1">IF('Stock Price'!$I$11="OK",H700/INDEX(H$5:H$1258,'Stock Price'!$I$9)-1,"")</f>
        <v>0.20018788163457013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110.33</v>
      </c>
      <c r="C701" s="18">
        <v>156.13990000000001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-0.20362350223762082</v>
      </c>
      <c r="P701" s="19">
        <f ca="1">IF('Stock Price'!$I$11="OK",C701/INDEX(C$5:C$1258,'Stock Price'!$I$9)-1,"")</f>
        <v>-0.14525851922813737</v>
      </c>
      <c r="Q701" s="19">
        <f ca="1">IF('Stock Price'!$I$11="OK",D701/INDEX(D$5:D$1258,'Stock Price'!$I$9)-1,"")</f>
        <v>-0.22083417287930684</v>
      </c>
      <c r="R701" s="19">
        <f ca="1">IF('Stock Price'!$I$11="OK",E701/INDEX(E$5:E$1258,'Stock Price'!$I$9)-1,"")</f>
        <v>-0.30106899902818274</v>
      </c>
      <c r="S701" s="19">
        <f ca="1">IF('Stock Price'!$I$11="OK",F701/INDEX(F$5:F$1258,'Stock Price'!$I$9)-1,"")</f>
        <v>3.980924735641711E-2</v>
      </c>
      <c r="T701" s="19">
        <f ca="1">IF('Stock Price'!$I$11="OK",G701/INDEX(G$5:G$1258,'Stock Price'!$I$9)-1,"")</f>
        <v>-0.30565789473684202</v>
      </c>
      <c r="U701" s="19">
        <f ca="1">IF('Stock Price'!$I$11="OK",H701/INDEX(H$5:H$1258,'Stock Price'!$I$9)-1,"")</f>
        <v>0.20356975105683417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110.53</v>
      </c>
      <c r="C702" s="18">
        <v>156.18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-0.20217987584813046</v>
      </c>
      <c r="P702" s="19">
        <f ca="1">IF('Stock Price'!$I$11="OK",C702/INDEX(C$5:C$1258,'Stock Price'!$I$9)-1,"")</f>
        <v>-0.14503900369508693</v>
      </c>
      <c r="Q702" s="19">
        <f ca="1">IF('Stock Price'!$I$11="OK",D702/INDEX(D$5:D$1258,'Stock Price'!$I$9)-1,"")</f>
        <v>-0.21619987910537986</v>
      </c>
      <c r="R702" s="19">
        <f ca="1">IF('Stock Price'!$I$11="OK",E702/INDEX(E$5:E$1258,'Stock Price'!$I$9)-1,"")</f>
        <v>-0.29504373177842569</v>
      </c>
      <c r="S702" s="19">
        <f ca="1">IF('Stock Price'!$I$11="OK",F702/INDEX(F$5:F$1258,'Stock Price'!$I$9)-1,"")</f>
        <v>3.7735849056603765E-2</v>
      </c>
      <c r="T702" s="19">
        <f ca="1">IF('Stock Price'!$I$11="OK",G702/INDEX(G$5:G$1258,'Stock Price'!$I$9)-1,"")</f>
        <v>-0.31434210526315787</v>
      </c>
      <c r="U702" s="19">
        <f ca="1">IF('Stock Price'!$I$11="OK",H702/INDEX(H$5:H$1258,'Stock Price'!$I$9)-1,"")</f>
        <v>0.1783936120244245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111.8</v>
      </c>
      <c r="C703" s="18">
        <v>156.18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-0.19301284827486642</v>
      </c>
      <c r="P703" s="19">
        <f ca="1">IF('Stock Price'!$I$11="OK",C703/INDEX(C$5:C$1258,'Stock Price'!$I$9)-1,"")</f>
        <v>-0.14503900369508693</v>
      </c>
      <c r="Q703" s="19">
        <f ca="1">IF('Stock Price'!$I$11="OK",D703/INDEX(D$5:D$1258,'Stock Price'!$I$9)-1,"")</f>
        <v>-0.19725972194237351</v>
      </c>
      <c r="R703" s="19">
        <f ca="1">IF('Stock Price'!$I$11="OK",E703/INDEX(E$5:E$1258,'Stock Price'!$I$9)-1,"")</f>
        <v>-0.2419825072886298</v>
      </c>
      <c r="S703" s="19">
        <f ca="1">IF('Stock Price'!$I$11="OK",F703/INDEX(F$5:F$1258,'Stock Price'!$I$9)-1,"")</f>
        <v>4.1053286336305339E-2</v>
      </c>
      <c r="T703" s="19">
        <f ca="1">IF('Stock Price'!$I$11="OK",G703/INDEX(G$5:G$1258,'Stock Price'!$I$9)-1,"")</f>
        <v>-0.29789473684210532</v>
      </c>
      <c r="U703" s="19">
        <f ca="1">IF('Stock Price'!$I$11="OK",H703/INDEX(H$5:H$1258,'Stock Price'!$I$9)-1,"")</f>
        <v>0.18262094880225455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107.22</v>
      </c>
      <c r="C704" s="18">
        <v>154.33029999999999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-0.22607189259419658</v>
      </c>
      <c r="P704" s="19">
        <f ca="1">IF('Stock Price'!$I$11="OK",C704/INDEX(C$5:C$1258,'Stock Price'!$I$9)-1,"")</f>
        <v>-0.15516463664978797</v>
      </c>
      <c r="Q704" s="19">
        <f ca="1">IF('Stock Price'!$I$11="OK",D704/INDEX(D$5:D$1258,'Stock Price'!$I$9)-1,"")</f>
        <v>-0.20693129155752576</v>
      </c>
      <c r="R704" s="19">
        <f ca="1">IF('Stock Price'!$I$11="OK",E704/INDEX(E$5:E$1258,'Stock Price'!$I$9)-1,"")</f>
        <v>-0.23537414965986392</v>
      </c>
      <c r="S704" s="19">
        <f ca="1">IF('Stock Price'!$I$11="OK",F704/INDEX(F$5:F$1258,'Stock Price'!$I$9)-1,"")</f>
        <v>4.4163383786025356E-2</v>
      </c>
      <c r="T704" s="19">
        <f ca="1">IF('Stock Price'!$I$11="OK",G704/INDEX(G$5:G$1258,'Stock Price'!$I$9)-1,"")</f>
        <v>-0.29026315789473689</v>
      </c>
      <c r="U704" s="19">
        <f ca="1">IF('Stock Price'!$I$11="OK",H704/INDEX(H$5:H$1258,'Stock Price'!$I$9)-1,"")</f>
        <v>0.16721465476749642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106.13</v>
      </c>
      <c r="C705" s="18">
        <v>154.30000000000001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-0.23393965641691927</v>
      </c>
      <c r="P705" s="19">
        <f ca="1">IF('Stock Price'!$I$11="OK",C705/INDEX(C$5:C$1258,'Stock Price'!$I$9)-1,"")</f>
        <v>-0.15533050499521006</v>
      </c>
      <c r="Q705" s="19">
        <f ca="1">IF('Stock Price'!$I$11="OK",D705/INDEX(D$5:D$1258,'Stock Price'!$I$9)-1,"")</f>
        <v>-0.20713278259117474</v>
      </c>
      <c r="R705" s="19">
        <f ca="1">IF('Stock Price'!$I$11="OK",E705/INDEX(E$5:E$1258,'Stock Price'!$I$9)-1,"")</f>
        <v>-0.23673469387755097</v>
      </c>
      <c r="S705" s="19">
        <f ca="1">IF('Stock Price'!$I$11="OK",F705/INDEX(F$5:F$1258,'Stock Price'!$I$9)-1,"")</f>
        <v>4.9554219365540053E-2</v>
      </c>
      <c r="T705" s="19">
        <f ca="1">IF('Stock Price'!$I$11="OK",G705/INDEX(G$5:G$1258,'Stock Price'!$I$9)-1,"")</f>
        <v>-0.30894736842105264</v>
      </c>
      <c r="U705" s="19">
        <f ca="1">IF('Stock Price'!$I$11="OK",H705/INDEX(H$5:H$1258,'Stock Price'!$I$9)-1,"")</f>
        <v>0.18149365899483327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108.73</v>
      </c>
      <c r="C706" s="18">
        <v>157.85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-0.21517251335354404</v>
      </c>
      <c r="P706" s="19">
        <f ca="1">IF('Stock Price'!$I$11="OK",C706/INDEX(C$5:C$1258,'Stock Price'!$I$9)-1,"")</f>
        <v>-0.13589708498699882</v>
      </c>
      <c r="Q706" s="19">
        <f ca="1">IF('Stock Price'!$I$11="OK",D706/INDEX(D$5:D$1258,'Stock Price'!$I$9)-1,"")</f>
        <v>-0.20632681845657874</v>
      </c>
      <c r="R706" s="19">
        <f ca="1">IF('Stock Price'!$I$11="OK",E706/INDEX(E$5:E$1258,'Stock Price'!$I$9)-1,"")</f>
        <v>-0.23498542274052481</v>
      </c>
      <c r="S706" s="19">
        <f ca="1">IF('Stock Price'!$I$11="OK",F706/INDEX(F$5:F$1258,'Stock Price'!$I$9)-1,"")</f>
        <v>5.8677171884719215E-2</v>
      </c>
      <c r="T706" s="19">
        <f ca="1">IF('Stock Price'!$I$11="OK",G706/INDEX(G$5:G$1258,'Stock Price'!$I$9)-1,"")</f>
        <v>-0.2813157894736843</v>
      </c>
      <c r="U706" s="19">
        <f ca="1">IF('Stock Price'!$I$11="OK",H706/INDEX(H$5:H$1258,'Stock Price'!$I$9)-1,"")</f>
        <v>0.18074213245655235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107.7</v>
      </c>
      <c r="C707" s="18">
        <v>159.85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-0.22260718925941958</v>
      </c>
      <c r="P707" s="19">
        <f ca="1">IF('Stock Price'!$I$11="OK",C707/INDEX(C$5:C$1258,'Stock Price'!$I$9)-1,"")</f>
        <v>-0.1249486793485699</v>
      </c>
      <c r="Q707" s="19">
        <f ca="1">IF('Stock Price'!$I$11="OK",D707/INDEX(D$5:D$1258,'Stock Price'!$I$9)-1,"")</f>
        <v>-0.21740882530727379</v>
      </c>
      <c r="R707" s="19">
        <f ca="1">IF('Stock Price'!$I$11="OK",E707/INDEX(E$5:E$1258,'Stock Price'!$I$9)-1,"")</f>
        <v>-0.25753158406219634</v>
      </c>
      <c r="S707" s="19">
        <f ca="1">IF('Stock Price'!$I$11="OK",F707/INDEX(F$5:F$1258,'Stock Price'!$I$9)-1,"")</f>
        <v>4.5614762595894698E-2</v>
      </c>
      <c r="T707" s="19">
        <f ca="1">IF('Stock Price'!$I$11="OK",G707/INDEX(G$5:G$1258,'Stock Price'!$I$9)-1,"")</f>
        <v>-0.29026315789473689</v>
      </c>
      <c r="U707" s="19">
        <f ca="1">IF('Stock Price'!$I$11="OK",H707/INDEX(H$5:H$1258,'Stock Price'!$I$9)-1,"")</f>
        <v>0.16843588539220278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109.29</v>
      </c>
      <c r="C708" s="18">
        <v>157.25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-0.21113035946297087</v>
      </c>
      <c r="P708" s="19">
        <f ca="1">IF('Stock Price'!$I$11="OK",C708/INDEX(C$5:C$1258,'Stock Price'!$I$9)-1,"")</f>
        <v>-0.13918160667852753</v>
      </c>
      <c r="Q708" s="19">
        <f ca="1">IF('Stock Price'!$I$11="OK",D708/INDEX(D$5:D$1258,'Stock Price'!$I$9)-1,"")</f>
        <v>-0.20814023775941981</v>
      </c>
      <c r="R708" s="19">
        <f ca="1">IF('Stock Price'!$I$11="OK",E708/INDEX(E$5:E$1258,'Stock Price'!$I$9)-1,"")</f>
        <v>-0.25092322643343057</v>
      </c>
      <c r="S708" s="19">
        <f ca="1">IF('Stock Price'!$I$11="OK",F708/INDEX(F$5:F$1258,'Stock Price'!$I$9)-1,"")</f>
        <v>6.1579929504457898E-2</v>
      </c>
      <c r="T708" s="19">
        <f ca="1">IF('Stock Price'!$I$11="OK",G708/INDEX(G$5:G$1258,'Stock Price'!$I$9)-1,"")</f>
        <v>-0.29013157894736841</v>
      </c>
      <c r="U708" s="19">
        <f ca="1">IF('Stock Price'!$I$11="OK",H708/INDEX(H$5:H$1258,'Stock Price'!$I$9)-1,"")</f>
        <v>0.18290277125410981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109.93</v>
      </c>
      <c r="C709" s="18">
        <v>155.47999999999999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-0.20651075501660165</v>
      </c>
      <c r="P709" s="19">
        <f ca="1">IF('Stock Price'!$I$11="OK",C709/INDEX(C$5:C$1258,'Stock Price'!$I$9)-1,"")</f>
        <v>-0.14887094566853709</v>
      </c>
      <c r="Q709" s="19">
        <f ca="1">IF('Stock Price'!$I$11="OK",D709/INDEX(D$5:D$1258,'Stock Price'!$I$9)-1,"")</f>
        <v>-0.2127745315333468</v>
      </c>
      <c r="R709" s="19">
        <f ca="1">IF('Stock Price'!$I$11="OK",E709/INDEX(E$5:E$1258,'Stock Price'!$I$9)-1,"")</f>
        <v>-0.23109815354713314</v>
      </c>
      <c r="S709" s="19">
        <f ca="1">IF('Stock Price'!$I$11="OK",F709/INDEX(F$5:F$1258,'Stock Price'!$I$9)-1,"")</f>
        <v>0.10097449720091234</v>
      </c>
      <c r="T709" s="19">
        <f ca="1">IF('Stock Price'!$I$11="OK",G709/INDEX(G$5:G$1258,'Stock Price'!$I$9)-1,"")</f>
        <v>-0.27552631578947362</v>
      </c>
      <c r="U709" s="19">
        <f ca="1">IF('Stock Price'!$I$11="OK",H709/INDEX(H$5:H$1258,'Stock Price'!$I$9)-1,"")</f>
        <v>0.18224518553311397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110.32</v>
      </c>
      <c r="C710" s="18">
        <v>159.465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-0.20369568355709544</v>
      </c>
      <c r="P710" s="19">
        <f ca="1">IF('Stock Price'!$I$11="OK",C710/INDEX(C$5:C$1258,'Stock Price'!$I$9)-1,"")</f>
        <v>-0.12705624743396748</v>
      </c>
      <c r="Q710" s="19">
        <f ca="1">IF('Stock Price'!$I$11="OK",D710/INDEX(D$5:D$1258,'Stock Price'!$I$9)-1,"")</f>
        <v>-0.19685673987507557</v>
      </c>
      <c r="R710" s="19">
        <f ca="1">IF('Stock Price'!$I$11="OK",E710/INDEX(E$5:E$1258,'Stock Price'!$I$9)-1,"")</f>
        <v>-0.20777453838678339</v>
      </c>
      <c r="S710" s="19">
        <f ca="1">IF('Stock Price'!$I$11="OK",F710/INDEX(F$5:F$1258,'Stock Price'!$I$9)-1,"")</f>
        <v>8.646070910221848E-2</v>
      </c>
      <c r="T710" s="19">
        <f ca="1">IF('Stock Price'!$I$11="OK",G710/INDEX(G$5:G$1258,'Stock Price'!$I$9)-1,"")</f>
        <v>-0.27723684210526311</v>
      </c>
      <c r="U710" s="19">
        <f ca="1">IF('Stock Price'!$I$11="OK",H710/INDEX(H$5:H$1258,'Stock Price'!$I$9)-1,"")</f>
        <v>0.1767026773132927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110.67</v>
      </c>
      <c r="C711" s="18">
        <v>156.28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-0.20116933737548715</v>
      </c>
      <c r="P711" s="19">
        <f ca="1">IF('Stock Price'!$I$11="OK",C711/INDEX(C$5:C$1258,'Stock Price'!$I$9)-1,"")</f>
        <v>-0.14449158341316548</v>
      </c>
      <c r="Q711" s="19">
        <f ca="1">IF('Stock Price'!$I$11="OK",D711/INDEX(D$5:D$1258,'Stock Price'!$I$9)-1,"")</f>
        <v>-0.19383437437034057</v>
      </c>
      <c r="R711" s="19">
        <f ca="1">IF('Stock Price'!$I$11="OK",E711/INDEX(E$5:E$1258,'Stock Price'!$I$9)-1,"")</f>
        <v>-0.21477162293488827</v>
      </c>
      <c r="S711" s="19">
        <f ca="1">IF('Stock Price'!$I$11="OK",F711/INDEX(F$5:F$1258,'Stock Price'!$I$9)-1,"")</f>
        <v>8.0033174372797111E-2</v>
      </c>
      <c r="T711" s="19">
        <f ca="1">IF('Stock Price'!$I$11="OK",G711/INDEX(G$5:G$1258,'Stock Price'!$I$9)-1,"")</f>
        <v>-0.27802631578947368</v>
      </c>
      <c r="U711" s="19">
        <f ca="1">IF('Stock Price'!$I$11="OK",H711/INDEX(H$5:H$1258,'Stock Price'!$I$9)-1,"")</f>
        <v>0.20037576326914053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111.93</v>
      </c>
      <c r="C712" s="18">
        <v>156.28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-0.19207449112169761</v>
      </c>
      <c r="P712" s="19">
        <f ca="1">IF('Stock Price'!$I$11="OK",C712/INDEX(C$5:C$1258,'Stock Price'!$I$9)-1,"")</f>
        <v>-0.14449158341316548</v>
      </c>
      <c r="Q712" s="19">
        <f ca="1">IF('Stock Price'!$I$11="OK",D712/INDEX(D$5:D$1258,'Stock Price'!$I$9)-1,"")</f>
        <v>-0.19867015917791653</v>
      </c>
      <c r="R712" s="19">
        <f ca="1">IF('Stock Price'!$I$11="OK",E712/INDEX(E$5:E$1258,'Stock Price'!$I$9)-1,"")</f>
        <v>-0.21652089407191444</v>
      </c>
      <c r="S712" s="19">
        <f ca="1">IF('Stock Price'!$I$11="OK",F712/INDEX(F$5:F$1258,'Stock Price'!$I$9)-1,"")</f>
        <v>7.173958117354351E-2</v>
      </c>
      <c r="T712" s="19">
        <f ca="1">IF('Stock Price'!$I$11="OK",G712/INDEX(G$5:G$1258,'Stock Price'!$I$9)-1,"")</f>
        <v>-0.27368421052631575</v>
      </c>
      <c r="U712" s="19">
        <f ca="1">IF('Stock Price'!$I$11="OK",H712/INDEX(H$5:H$1258,'Stock Price'!$I$9)-1,"")</f>
        <v>8.2667919210897001E-2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111.48</v>
      </c>
      <c r="C713" s="18">
        <v>156.35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-0.19532265049805098</v>
      </c>
      <c r="P713" s="19">
        <f ca="1">IF('Stock Price'!$I$11="OK",C713/INDEX(C$5:C$1258,'Stock Price'!$I$9)-1,"")</f>
        <v>-0.14410838921582048</v>
      </c>
      <c r="Q713" s="19">
        <f ca="1">IF('Stock Price'!$I$11="OK",D713/INDEX(D$5:D$1258,'Stock Price'!$I$9)-1,"")</f>
        <v>-0.21881926254281681</v>
      </c>
      <c r="R713" s="19">
        <f ca="1">IF('Stock Price'!$I$11="OK",E713/INDEX(E$5:E$1258,'Stock Price'!$I$9)-1,"")</f>
        <v>-0.21263362487852289</v>
      </c>
      <c r="S713" s="19">
        <f ca="1">IF('Stock Price'!$I$11="OK",F713/INDEX(F$5:F$1258,'Stock Price'!$I$9)-1,"")</f>
        <v>7.4227659133319523E-2</v>
      </c>
      <c r="T713" s="19">
        <f ca="1">IF('Stock Price'!$I$11="OK",G713/INDEX(G$5:G$1258,'Stock Price'!$I$9)-1,"")</f>
        <v>-0.27644736842105255</v>
      </c>
      <c r="U713" s="19">
        <f ca="1">IF('Stock Price'!$I$11="OK",H713/INDEX(H$5:H$1258,'Stock Price'!$I$9)-1,"")</f>
        <v>6.2752465946453562E-2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112.1</v>
      </c>
      <c r="C714" s="18">
        <v>160.6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-0.19084740869063088</v>
      </c>
      <c r="P714" s="19">
        <f ca="1">IF('Stock Price'!$I$11="OK",C714/INDEX(C$5:C$1258,'Stock Price'!$I$9)-1,"")</f>
        <v>-0.12084302723415907</v>
      </c>
      <c r="Q714" s="19">
        <f ca="1">IF('Stock Price'!$I$11="OK",D714/INDEX(D$5:D$1258,'Stock Price'!$I$9)-1,"")</f>
        <v>-0.2012895426153537</v>
      </c>
      <c r="R714" s="19">
        <f ca="1">IF('Stock Price'!$I$11="OK",E714/INDEX(E$5:E$1258,'Stock Price'!$I$9)-1,"")</f>
        <v>-0.20855199222546172</v>
      </c>
      <c r="S714" s="19">
        <f ca="1">IF('Stock Price'!$I$11="OK",F714/INDEX(F$5:F$1258,'Stock Price'!$I$9)-1,"")</f>
        <v>7.1117561683599506E-2</v>
      </c>
      <c r="T714" s="19">
        <f ca="1">IF('Stock Price'!$I$11="OK",G714/INDEX(G$5:G$1258,'Stock Price'!$I$9)-1,"")</f>
        <v>-0.2823684210526316</v>
      </c>
      <c r="U714" s="19">
        <f ca="1">IF('Stock Price'!$I$11="OK",H714/INDEX(H$5:H$1258,'Stock Price'!$I$9)-1,"")</f>
        <v>6.9234382339126155E-2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112.87</v>
      </c>
      <c r="C715" s="18">
        <v>164.02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-0.18528944709109274</v>
      </c>
      <c r="P715" s="19">
        <f ca="1">IF('Stock Price'!$I$11="OK",C715/INDEX(C$5:C$1258,'Stock Price'!$I$9)-1,"")</f>
        <v>-0.10212125359244562</v>
      </c>
      <c r="Q715" s="19">
        <f ca="1">IF('Stock Price'!$I$11="OK",D715/INDEX(D$5:D$1258,'Stock Price'!$I$9)-1,"")</f>
        <v>-0.18557324199073144</v>
      </c>
      <c r="R715" s="19">
        <f ca="1">IF('Stock Price'!$I$11="OK",E715/INDEX(E$5:E$1258,'Stock Price'!$I$9)-1,"")</f>
        <v>-0.20874635568513122</v>
      </c>
      <c r="S715" s="19">
        <f ca="1">IF('Stock Price'!$I$11="OK",F715/INDEX(F$5:F$1258,'Stock Price'!$I$9)-1,"")</f>
        <v>9.9937798051005666E-2</v>
      </c>
      <c r="T715" s="19">
        <f ca="1">IF('Stock Price'!$I$11="OK",G715/INDEX(G$5:G$1258,'Stock Price'!$I$9)-1,"")</f>
        <v>-0.2801315789473684</v>
      </c>
      <c r="U715" s="19">
        <f ca="1">IF('Stock Price'!$I$11="OK",H715/INDEX(H$5:H$1258,'Stock Price'!$I$9)-1,"")</f>
        <v>8.2198215124471563E-2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109.85</v>
      </c>
      <c r="C716" s="18">
        <v>156.88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-0.20708820557239782</v>
      </c>
      <c r="P716" s="19">
        <f ca="1">IF('Stock Price'!$I$11="OK",C716/INDEX(C$5:C$1258,'Stock Price'!$I$9)-1,"")</f>
        <v>-0.14120706172163688</v>
      </c>
      <c r="Q716" s="19">
        <f ca="1">IF('Stock Price'!$I$11="OK",D716/INDEX(D$5:D$1258,'Stock Price'!$I$9)-1,"")</f>
        <v>-0.20652830949022771</v>
      </c>
      <c r="R716" s="19">
        <f ca="1">IF('Stock Price'!$I$11="OK",E716/INDEX(E$5:E$1258,'Stock Price'!$I$9)-1,"")</f>
        <v>-0.23537414965986392</v>
      </c>
      <c r="S716" s="19">
        <f ca="1">IF('Stock Price'!$I$11="OK",F716/INDEX(F$5:F$1258,'Stock Price'!$I$9)-1,"")</f>
        <v>6.6763425253991482E-2</v>
      </c>
      <c r="T716" s="19">
        <f ca="1">IF('Stock Price'!$I$11="OK",G716/INDEX(G$5:G$1258,'Stock Price'!$I$9)-1,"")</f>
        <v>-0.29092105263157897</v>
      </c>
      <c r="U716" s="19">
        <f ca="1">IF('Stock Price'!$I$11="OK",H716/INDEX(H$5:H$1258,'Stock Price'!$I$9)-1,"")</f>
        <v>5.5049318929074609E-2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110.06</v>
      </c>
      <c r="C717" s="18">
        <v>152.94999999999999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-0.20557239786343284</v>
      </c>
      <c r="P717" s="19">
        <f ca="1">IF('Stock Price'!$I$11="OK",C717/INDEX(C$5:C$1258,'Stock Price'!$I$9)-1,"")</f>
        <v>-0.16272067880114971</v>
      </c>
      <c r="Q717" s="19">
        <f ca="1">IF('Stock Price'!$I$11="OK",D717/INDEX(D$5:D$1258,'Stock Price'!$I$9)-1,"")</f>
        <v>-0.22063268184565787</v>
      </c>
      <c r="R717" s="19">
        <f ca="1">IF('Stock Price'!$I$11="OK",E717/INDEX(E$5:E$1258,'Stock Price'!$I$9)-1,"")</f>
        <v>-0.23692905733722069</v>
      </c>
      <c r="S717" s="19">
        <f ca="1">IF('Stock Price'!$I$11="OK",F717/INDEX(F$5:F$1258,'Stock Price'!$I$9)-1,"")</f>
        <v>5.764047273481232E-2</v>
      </c>
      <c r="T717" s="19">
        <f ca="1">IF('Stock Price'!$I$11="OK",G717/INDEX(G$5:G$1258,'Stock Price'!$I$9)-1,"")</f>
        <v>-0.33381578947368418</v>
      </c>
      <c r="U717" s="19">
        <f ca="1">IF('Stock Price'!$I$11="OK",H717/INDEX(H$5:H$1258,'Stock Price'!$I$9)-1,"")</f>
        <v>4.4152184124002014E-2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111.16</v>
      </c>
      <c r="C718" s="18">
        <v>159.75989999999999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-0.19763245272123575</v>
      </c>
      <c r="P718" s="19">
        <f ca="1">IF('Stock Price'!$I$11="OK",C718/INDEX(C$5:C$1258,'Stock Price'!$I$9)-1,"")</f>
        <v>-0.12544190502258123</v>
      </c>
      <c r="Q718" s="19">
        <f ca="1">IF('Stock Price'!$I$11="OK",D718/INDEX(D$5:D$1258,'Stock Price'!$I$9)-1,"")</f>
        <v>-0.20672980052387679</v>
      </c>
      <c r="R718" s="19">
        <f ca="1">IF('Stock Price'!$I$11="OK",E718/INDEX(E$5:E$1258,'Stock Price'!$I$9)-1,"")</f>
        <v>-0.23265306122448992</v>
      </c>
      <c r="S718" s="19">
        <f ca="1">IF('Stock Price'!$I$11="OK",F718/INDEX(F$5:F$1258,'Stock Price'!$I$9)-1,"")</f>
        <v>7.4020319303338189E-2</v>
      </c>
      <c r="T718" s="19">
        <f ca="1">IF('Stock Price'!$I$11="OK",G718/INDEX(G$5:G$1258,'Stock Price'!$I$9)-1,"")</f>
        <v>-0.31276315789473685</v>
      </c>
      <c r="U718" s="19">
        <f ca="1">IF('Stock Price'!$I$11="OK",H718/INDEX(H$5:H$1258,'Stock Price'!$I$9)-1,"")</f>
        <v>5.6740253640206628E-2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111.02</v>
      </c>
      <c r="C719" s="18">
        <v>165.6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-0.19864299119387896</v>
      </c>
      <c r="P719" s="19">
        <f ca="1">IF('Stock Price'!$I$11="OK",C719/INDEX(C$5:C$1258,'Stock Price'!$I$9)-1,"")</f>
        <v>-9.347201313808684E-2</v>
      </c>
      <c r="Q719" s="19">
        <f ca="1">IF('Stock Price'!$I$11="OK",D719/INDEX(D$5:D$1258,'Stock Price'!$I$9)-1,"")</f>
        <v>-0.19363288333669149</v>
      </c>
      <c r="R719" s="19">
        <f ca="1">IF('Stock Price'!$I$11="OK",E719/INDEX(E$5:E$1258,'Stock Price'!$I$9)-1,"")</f>
        <v>-0.22585034013605454</v>
      </c>
      <c r="S719" s="19">
        <f ca="1">IF('Stock Price'!$I$11="OK",F719/INDEX(F$5:F$1258,'Stock Price'!$I$9)-1,"")</f>
        <v>8.044785403275978E-2</v>
      </c>
      <c r="T719" s="19">
        <f ca="1">IF('Stock Price'!$I$11="OK",G719/INDEX(G$5:G$1258,'Stock Price'!$I$9)-1,"")</f>
        <v>-0.30657894736842106</v>
      </c>
      <c r="U719" s="19">
        <f ca="1">IF('Stock Price'!$I$11="OK",H719/INDEX(H$5:H$1258,'Stock Price'!$I$9)-1,"")</f>
        <v>7.0173790511977474E-2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111.89</v>
      </c>
      <c r="C720" s="18">
        <v>165.6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-0.19236321639959575</v>
      </c>
      <c r="P720" s="19">
        <f ca="1">IF('Stock Price'!$I$11="OK",C720/INDEX(C$5:C$1258,'Stock Price'!$I$9)-1,"")</f>
        <v>-9.347201313808684E-2</v>
      </c>
      <c r="Q720" s="19">
        <f ca="1">IF('Stock Price'!$I$11="OK",D720/INDEX(D$5:D$1258,'Stock Price'!$I$9)-1,"")</f>
        <v>-0.18879709852911553</v>
      </c>
      <c r="R720" s="19">
        <f ca="1">IF('Stock Price'!$I$11="OK",E720/INDEX(E$5:E$1258,'Stock Price'!$I$9)-1,"")</f>
        <v>-0.21904761904761905</v>
      </c>
      <c r="S720" s="19">
        <f ca="1">IF('Stock Price'!$I$11="OK",F720/INDEX(F$5:F$1258,'Stock Price'!$I$9)-1,"")</f>
        <v>8.5838689612274477E-2</v>
      </c>
      <c r="T720" s="19">
        <f ca="1">IF('Stock Price'!$I$11="OK",G720/INDEX(G$5:G$1258,'Stock Price'!$I$9)-1,"")</f>
        <v>-0.31671052631578944</v>
      </c>
      <c r="U720" s="19">
        <f ca="1">IF('Stock Price'!$I$11="OK",H720/INDEX(H$5:H$1258,'Stock Price'!$I$9)-1,"")</f>
        <v>7.609206200093932E-2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111.42</v>
      </c>
      <c r="C721" s="18">
        <v>160.7099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-0.19575573841489813</v>
      </c>
      <c r="P721" s="19">
        <f ca="1">IF('Stock Price'!$I$11="OK",C721/INDEX(C$5:C$1258,'Stock Price'!$I$9)-1,"")</f>
        <v>-0.12024141234432739</v>
      </c>
      <c r="Q721" s="19">
        <f ca="1">IF('Stock Price'!$I$11="OK",D721/INDEX(D$5:D$1258,'Stock Price'!$I$9)-1,"")</f>
        <v>-0.18758815232722148</v>
      </c>
      <c r="R721" s="19">
        <f ca="1">IF('Stock Price'!$I$11="OK",E721/INDEX(E$5:E$1258,'Stock Price'!$I$9)-1,"")</f>
        <v>-0.2202137998056366</v>
      </c>
      <c r="S721" s="19">
        <f ca="1">IF('Stock Price'!$I$11="OK",F721/INDEX(F$5:F$1258,'Stock Price'!$I$9)-1,"")</f>
        <v>8.1899232842629122E-2</v>
      </c>
      <c r="T721" s="19">
        <f ca="1">IF('Stock Price'!$I$11="OK",G721/INDEX(G$5:G$1258,'Stock Price'!$I$9)-1,"")</f>
        <v>-0.31684210526315792</v>
      </c>
      <c r="U721" s="19">
        <f ca="1">IF('Stock Price'!$I$11="OK",H721/INDEX(H$5:H$1258,'Stock Price'!$I$9)-1,"")</f>
        <v>6.6040394551432513E-2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112.53</v>
      </c>
      <c r="C722" s="18">
        <v>163.56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-0.18774361195322642</v>
      </c>
      <c r="P722" s="19">
        <f ca="1">IF('Stock Price'!$I$11="OK",C722/INDEX(C$5:C$1258,'Stock Price'!$I$9)-1,"")</f>
        <v>-0.10463938688928431</v>
      </c>
      <c r="Q722" s="19">
        <f ca="1">IF('Stock Price'!$I$11="OK",D722/INDEX(D$5:D$1258,'Stock Price'!$I$9)-1,"")</f>
        <v>-0.17025992343340723</v>
      </c>
      <c r="R722" s="19">
        <f ca="1">IF('Stock Price'!$I$11="OK",E722/INDEX(E$5:E$1258,'Stock Price'!$I$9)-1,"")</f>
        <v>-0.21457725947521877</v>
      </c>
      <c r="S722" s="19">
        <f ca="1">IF('Stock Price'!$I$11="OK",F722/INDEX(F$5:F$1258,'Stock Price'!$I$9)-1,"")</f>
        <v>0.11092680904001662</v>
      </c>
      <c r="T722" s="19">
        <f ca="1">IF('Stock Price'!$I$11="OK",G722/INDEX(G$5:G$1258,'Stock Price'!$I$9)-1,"")</f>
        <v>-0.31618421052631585</v>
      </c>
      <c r="U722" s="19">
        <f ca="1">IF('Stock Price'!$I$11="OK",H722/INDEX(H$5:H$1258,'Stock Price'!$I$9)-1,"")</f>
        <v>7.4589008924377698E-2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113.53</v>
      </c>
      <c r="C723" s="18">
        <v>166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-0.1805254800057744</v>
      </c>
      <c r="P723" s="19">
        <f ca="1">IF('Stock Price'!$I$11="OK",C723/INDEX(C$5:C$1258,'Stock Price'!$I$9)-1,"")</f>
        <v>-9.1282332010401035E-2</v>
      </c>
      <c r="Q723" s="19">
        <f ca="1">IF('Stock Price'!$I$11="OK",D723/INDEX(D$5:D$1258,'Stock Price'!$I$9)-1,"")</f>
        <v>-0.16945395929881124</v>
      </c>
      <c r="R723" s="19">
        <f ca="1">IF('Stock Price'!$I$11="OK",E723/INDEX(E$5:E$1258,'Stock Price'!$I$9)-1,"")</f>
        <v>-0.21107871720116611</v>
      </c>
      <c r="S723" s="19">
        <f ca="1">IF('Stock Price'!$I$11="OK",F723/INDEX(F$5:F$1258,'Stock Price'!$I$9)-1,"")</f>
        <v>0.10989010989010994</v>
      </c>
      <c r="T723" s="19">
        <f ca="1">IF('Stock Price'!$I$11="OK",G723/INDEX(G$5:G$1258,'Stock Price'!$I$9)-1,"")</f>
        <v>-0.32013157894736843</v>
      </c>
      <c r="U723" s="19">
        <f ca="1">IF('Stock Price'!$I$11="OK",H723/INDEX(H$5:H$1258,'Stock Price'!$I$9)-1,"")</f>
        <v>6.697980272428361E-2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167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-0.18211346903421388</v>
      </c>
      <c r="P724" s="19">
        <f ca="1">IF('Stock Price'!$I$11="OK",C724/INDEX(C$5:C$1258,'Stock Price'!$I$9)-1,"")</f>
        <v>-8.5808129191186633E-2</v>
      </c>
      <c r="Q724" s="19">
        <f ca="1">IF('Stock Price'!$I$11="OK",D724/INDEX(D$5:D$1258,'Stock Price'!$I$9)-1,"")</f>
        <v>-0.16582712069312922</v>
      </c>
      <c r="R724" s="19">
        <f ca="1">IF('Stock Price'!$I$11="OK",E724/INDEX(E$5:E$1258,'Stock Price'!$I$9)-1,"")</f>
        <v>-0.21496598639455788</v>
      </c>
      <c r="S724" s="19">
        <f ca="1">IF('Stock Price'!$I$11="OK",F724/INDEX(F$5:F$1258,'Stock Price'!$I$9)-1,"")</f>
        <v>0.12004976155919556</v>
      </c>
      <c r="T724" s="19">
        <f ca="1">IF('Stock Price'!$I$11="OK",G724/INDEX(G$5:G$1258,'Stock Price'!$I$9)-1,"")</f>
        <v>-0.30855263157894741</v>
      </c>
      <c r="U724" s="19">
        <f ca="1">IF('Stock Price'!$I$11="OK",H724/INDEX(H$5:H$1258,'Stock Price'!$I$9)-1,"")</f>
        <v>6.4443400657585803E-2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114.7</v>
      </c>
      <c r="C725" s="18">
        <v>169.9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-0.17208026562725565</v>
      </c>
      <c r="P725" s="19">
        <f ca="1">IF('Stock Price'!$I$11="OK",C725/INDEX(C$5:C$1258,'Stock Price'!$I$9)-1,"")</f>
        <v>-6.9932941015464656E-2</v>
      </c>
      <c r="Q725" s="19">
        <f ca="1">IF('Stock Price'!$I$11="OK",D725/INDEX(D$5:D$1258,'Stock Price'!$I$9)-1,"")</f>
        <v>-0.1682450130969172</v>
      </c>
      <c r="R725" s="19">
        <f ca="1">IF('Stock Price'!$I$11="OK",E725/INDEX(E$5:E$1258,'Stock Price'!$I$9)-1,"")</f>
        <v>-0.21166180758017494</v>
      </c>
      <c r="S725" s="19">
        <f ca="1">IF('Stock Price'!$I$11="OK",F725/INDEX(F$5:F$1258,'Stock Price'!$I$9)-1,"")</f>
        <v>0.12108646070910223</v>
      </c>
      <c r="T725" s="19">
        <f ca="1">IF('Stock Price'!$I$11="OK",G725/INDEX(G$5:G$1258,'Stock Price'!$I$9)-1,"")</f>
        <v>-0.23684210526315785</v>
      </c>
      <c r="U725" s="19">
        <f ca="1">IF('Stock Price'!$I$11="OK",H725/INDEX(H$5:H$1258,'Stock Price'!$I$9)-1,"")</f>
        <v>6.782527007984962E-2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115.93</v>
      </c>
      <c r="C726" s="18">
        <v>164.41300000000001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-0.16320196333188963</v>
      </c>
      <c r="P726" s="19">
        <f ca="1">IF('Stock Price'!$I$11="OK",C726/INDEX(C$5:C$1258,'Stock Price'!$I$9)-1,"")</f>
        <v>-9.9969891884494344E-2</v>
      </c>
      <c r="Q726" s="19">
        <f ca="1">IF('Stock Price'!$I$11="OK",D726/INDEX(D$5:D$1258,'Stock Price'!$I$9)-1,"")</f>
        <v>-0.16340922828934112</v>
      </c>
      <c r="R726" s="19">
        <f ca="1">IF('Stock Price'!$I$11="OK",E726/INDEX(E$5:E$1258,'Stock Price'!$I$9)-1,"")</f>
        <v>-0.20272108843537417</v>
      </c>
      <c r="S726" s="19">
        <f ca="1">IF('Stock Price'!$I$11="OK",F726/INDEX(F$5:F$1258,'Stock Price'!$I$9)-1,"")</f>
        <v>0.13041675305826272</v>
      </c>
      <c r="T726" s="19">
        <f ca="1">IF('Stock Price'!$I$11="OK",G726/INDEX(G$5:G$1258,'Stock Price'!$I$9)-1,"")</f>
        <v>-0.23460526315789476</v>
      </c>
      <c r="U726" s="19">
        <f ca="1">IF('Stock Price'!$I$11="OK",H726/INDEX(H$5:H$1258,'Stock Price'!$I$9)-1,"")</f>
        <v>7.487083137623296E-2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117.13</v>
      </c>
      <c r="C727" s="18">
        <v>169.25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-0.15454020499494725</v>
      </c>
      <c r="P727" s="19">
        <f ca="1">IF('Stock Price'!$I$11="OK",C727/INDEX(C$5:C$1258,'Stock Price'!$I$9)-1,"")</f>
        <v>-7.3491172847954034E-2</v>
      </c>
      <c r="Q727" s="19">
        <f ca="1">IF('Stock Price'!$I$11="OK",D727/INDEX(D$5:D$1258,'Stock Price'!$I$9)-1,"")</f>
        <v>-0.16179730002014914</v>
      </c>
      <c r="R727" s="19">
        <f ca="1">IF('Stock Price'!$I$11="OK",E727/INDEX(E$5:E$1258,'Stock Price'!$I$9)-1,"")</f>
        <v>-0.19436345966958213</v>
      </c>
      <c r="S727" s="19">
        <f ca="1">IF('Stock Price'!$I$11="OK",F727/INDEX(F$5:F$1258,'Stock Price'!$I$9)-1,"")</f>
        <v>0.13580758863777742</v>
      </c>
      <c r="T727" s="19">
        <f ca="1">IF('Stock Price'!$I$11="OK",G727/INDEX(G$5:G$1258,'Stock Price'!$I$9)-1,"")</f>
        <v>-0.25605263157894742</v>
      </c>
      <c r="U727" s="19">
        <f ca="1">IF('Stock Price'!$I$11="OK",H727/INDEX(H$5:H$1258,'Stock Price'!$I$9)-1,"")</f>
        <v>8.1634570220760816E-2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117.61</v>
      </c>
      <c r="C728" s="18">
        <v>169.25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-0.15107550166017025</v>
      </c>
      <c r="P728" s="19">
        <f ca="1">IF('Stock Price'!$I$11="OK",C728/INDEX(C$5:C$1258,'Stock Price'!$I$9)-1,"")</f>
        <v>-7.3491172847954034E-2</v>
      </c>
      <c r="Q728" s="19">
        <f ca="1">IF('Stock Price'!$I$11="OK",D728/INDEX(D$5:D$1258,'Stock Price'!$I$9)-1,"")</f>
        <v>-0.1567600241789241</v>
      </c>
      <c r="R728" s="19">
        <f ca="1">IF('Stock Price'!$I$11="OK",E728/INDEX(E$5:E$1258,'Stock Price'!$I$9)-1,"")</f>
        <v>-0.1933916423712343</v>
      </c>
      <c r="S728" s="19">
        <f ca="1">IF('Stock Price'!$I$11="OK",F728/INDEX(F$5:F$1258,'Stock Price'!$I$9)-1,"")</f>
        <v>0.14493054115695636</v>
      </c>
      <c r="T728" s="19">
        <f ca="1">IF('Stock Price'!$I$11="OK",G728/INDEX(G$5:G$1258,'Stock Price'!$I$9)-1,"")</f>
        <v>-0.26026315789473686</v>
      </c>
      <c r="U728" s="19">
        <f ca="1">IF('Stock Price'!$I$11="OK",H728/INDEX(H$5:H$1258,'Stock Price'!$I$9)-1,"")</f>
        <v>8.9995302959135826E-2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117.76</v>
      </c>
      <c r="C729" s="18">
        <v>169.5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-0.14999278186805243</v>
      </c>
      <c r="P729" s="19">
        <f ca="1">IF('Stock Price'!$I$11="OK",C729/INDEX(C$5:C$1258,'Stock Price'!$I$9)-1,"")</f>
        <v>-7.2122622143150461E-2</v>
      </c>
      <c r="Q729" s="19">
        <f ca="1">IF('Stock Price'!$I$11="OK",D729/INDEX(D$5:D$1258,'Stock Price'!$I$9)-1,"")</f>
        <v>-0.15474511384243395</v>
      </c>
      <c r="R729" s="19">
        <f ca="1">IF('Stock Price'!$I$11="OK",E729/INDEX(E$5:E$1258,'Stock Price'!$I$9)-1,"")</f>
        <v>-0.19475218658892135</v>
      </c>
      <c r="S729" s="19">
        <f ca="1">IF('Stock Price'!$I$11="OK",F729/INDEX(F$5:F$1258,'Stock Price'!$I$9)-1,"")</f>
        <v>0.1451378809869377</v>
      </c>
      <c r="T729" s="19">
        <f ca="1">IF('Stock Price'!$I$11="OK",G729/INDEX(G$5:G$1258,'Stock Price'!$I$9)-1,"")</f>
        <v>-0.27078947368421047</v>
      </c>
      <c r="U729" s="19">
        <f ca="1">IF('Stock Price'!$I$11="OK",H729/INDEX(H$5:H$1258,'Stock Price'!$I$9)-1,"")</f>
        <v>9.4880225457961487E-2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118.56</v>
      </c>
      <c r="C730" s="18">
        <v>169.55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-0.14421827631009088</v>
      </c>
      <c r="P730" s="19">
        <f ca="1">IF('Stock Price'!$I$11="OK",C730/INDEX(C$5:C$1258,'Stock Price'!$I$9)-1,"")</f>
        <v>-7.184891200218968E-2</v>
      </c>
      <c r="Q730" s="19">
        <f ca="1">IF('Stock Price'!$I$11="OK",D730/INDEX(D$5:D$1258,'Stock Price'!$I$9)-1,"")</f>
        <v>-0.14104372355430184</v>
      </c>
      <c r="R730" s="19">
        <f ca="1">IF('Stock Price'!$I$11="OK",E730/INDEX(E$5:E$1258,'Stock Price'!$I$9)-1,"")</f>
        <v>-0.18931000971817302</v>
      </c>
      <c r="S730" s="19">
        <f ca="1">IF('Stock Price'!$I$11="OK",F730/INDEX(F$5:F$1258,'Stock Price'!$I$9)-1,"")</f>
        <v>0.16545718432510892</v>
      </c>
      <c r="T730" s="19">
        <f ca="1">IF('Stock Price'!$I$11="OK",G730/INDEX(G$5:G$1258,'Stock Price'!$I$9)-1,"")</f>
        <v>-0.26671052631578951</v>
      </c>
      <c r="U730" s="19">
        <f ca="1">IF('Stock Price'!$I$11="OK",H730/INDEX(H$5:H$1258,'Stock Price'!$I$9)-1,"")</f>
        <v>9.5349929544386924E-2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119.15</v>
      </c>
      <c r="C731" s="18">
        <v>174.9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-0.13995957846109419</v>
      </c>
      <c r="P731" s="19">
        <f ca="1">IF('Stock Price'!$I$11="OK",C731/INDEX(C$5:C$1258,'Stock Price'!$I$9)-1,"")</f>
        <v>-4.2561926919392423E-2</v>
      </c>
      <c r="Q731" s="19">
        <f ca="1">IF('Stock Price'!$I$11="OK",D731/INDEX(D$5:D$1258,'Stock Price'!$I$9)-1,"")</f>
        <v>-0.1428571428571429</v>
      </c>
      <c r="R731" s="19">
        <f ca="1">IF('Stock Price'!$I$11="OK",E731/INDEX(E$5:E$1258,'Stock Price'!$I$9)-1,"")</f>
        <v>-0.18367346938775519</v>
      </c>
      <c r="S731" s="19">
        <f ca="1">IF('Stock Price'!$I$11="OK",F731/INDEX(F$5:F$1258,'Stock Price'!$I$9)-1,"")</f>
        <v>0.16670122330499693</v>
      </c>
      <c r="T731" s="19">
        <f ca="1">IF('Stock Price'!$I$11="OK",G731/INDEX(G$5:G$1258,'Stock Price'!$I$9)-1,"")</f>
        <v>-0.27486842105263154</v>
      </c>
      <c r="U731" s="19">
        <f ca="1">IF('Stock Price'!$I$11="OK",H731/INDEX(H$5:H$1258,'Stock Price'!$I$9)-1,"")</f>
        <v>9.224988257397837E-2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119.84</v>
      </c>
      <c r="C732" s="18">
        <v>171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-0.13497906741735233</v>
      </c>
      <c r="P732" s="19">
        <f ca="1">IF('Stock Price'!$I$11="OK",C732/INDEX(C$5:C$1258,'Stock Price'!$I$9)-1,"")</f>
        <v>-6.3911317914328802E-2</v>
      </c>
      <c r="Q732" s="19">
        <f ca="1">IF('Stock Price'!$I$11="OK",D732/INDEX(D$5:D$1258,'Stock Price'!$I$9)-1,"")</f>
        <v>-0.11041708643965353</v>
      </c>
      <c r="R732" s="19">
        <f ca="1">IF('Stock Price'!$I$11="OK",E732/INDEX(E$5:E$1258,'Stock Price'!$I$9)-1,"")</f>
        <v>-0.18872691933916419</v>
      </c>
      <c r="S732" s="19">
        <f ca="1">IF('Stock Price'!$I$11="OK",F732/INDEX(F$5:F$1258,'Stock Price'!$I$9)-1,"")</f>
        <v>0.1677379224549036</v>
      </c>
      <c r="T732" s="19">
        <f ca="1">IF('Stock Price'!$I$11="OK",G732/INDEX(G$5:G$1258,'Stock Price'!$I$9)-1,"")</f>
        <v>-0.27526315789473688</v>
      </c>
      <c r="U732" s="19">
        <f ca="1">IF('Stock Price'!$I$11="OK",H732/INDEX(H$5:H$1258,'Stock Price'!$I$9)-1,"")</f>
        <v>9.4410521371535827E-2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119.98</v>
      </c>
      <c r="C733" s="18">
        <v>173.625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-0.13396852894470901</v>
      </c>
      <c r="P733" s="19">
        <f ca="1">IF('Stock Price'!$I$11="OK",C733/INDEX(C$5:C$1258,'Stock Price'!$I$9)-1,"")</f>
        <v>-4.9541535513890844E-2</v>
      </c>
      <c r="Q733" s="19">
        <f ca="1">IF('Stock Price'!$I$11="OK",D733/INDEX(D$5:D$1258,'Stock Price'!$I$9)-1,"")</f>
        <v>-0.11545436228087858</v>
      </c>
      <c r="R733" s="19">
        <f ca="1">IF('Stock Price'!$I$11="OK",E733/INDEX(E$5:E$1258,'Stock Price'!$I$9)-1,"")</f>
        <v>-0.18950437317784252</v>
      </c>
      <c r="S733" s="19">
        <f ca="1">IF('Stock Price'!$I$11="OK",F733/INDEX(F$5:F$1258,'Stock Price'!$I$9)-1,"")</f>
        <v>0.16338378602529557</v>
      </c>
      <c r="T733" s="19">
        <f ca="1">IF('Stock Price'!$I$11="OK",G733/INDEX(G$5:G$1258,'Stock Price'!$I$9)-1,"")</f>
        <v>-0.27342105263157901</v>
      </c>
      <c r="U733" s="19">
        <f ca="1">IF('Stock Price'!$I$11="OK",H733/INDEX(H$5:H$1258,'Stock Price'!$I$9)-1,"")</f>
        <v>0.10286519492719592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120.42</v>
      </c>
      <c r="C734" s="18">
        <v>172.01990000000001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-0.13079255088783015</v>
      </c>
      <c r="P734" s="19">
        <f ca="1">IF('Stock Price'!$I$11="OK",C734/INDEX(C$5:C$1258,'Stock Price'!$I$9)-1,"")</f>
        <v>-5.8328178459011948E-2</v>
      </c>
      <c r="Q734" s="19">
        <f ca="1">IF('Stock Price'!$I$11="OK",D734/INDEX(D$5:D$1258,'Stock Price'!$I$9)-1,"")</f>
        <v>-0.11867821881926255</v>
      </c>
      <c r="R734" s="19">
        <f ca="1">IF('Stock Price'!$I$11="OK",E734/INDEX(E$5:E$1258,'Stock Price'!$I$9)-1,"")</f>
        <v>-0.18289601554907686</v>
      </c>
      <c r="S734" s="19">
        <f ca="1">IF('Stock Price'!$I$11="OK",F734/INDEX(F$5:F$1258,'Stock Price'!$I$9)-1,"")</f>
        <v>0.16794526228488493</v>
      </c>
      <c r="T734" s="19">
        <f ca="1">IF('Stock Price'!$I$11="OK",G734/INDEX(G$5:G$1258,'Stock Price'!$I$9)-1,"")</f>
        <v>-0.26815789473684215</v>
      </c>
      <c r="U734" s="19">
        <f ca="1">IF('Stock Price'!$I$11="OK",H734/INDEX(H$5:H$1258,'Stock Price'!$I$9)-1,"")</f>
        <v>0.10342883983090645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120.89</v>
      </c>
      <c r="C735" s="18">
        <v>175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-0.12740002887252777</v>
      </c>
      <c r="P735" s="19">
        <f ca="1">IF('Stock Price'!$I$11="OK",C735/INDEX(C$5:C$1258,'Stock Price'!$I$9)-1,"")</f>
        <v>-4.2014506637470972E-2</v>
      </c>
      <c r="Q735" s="19">
        <f ca="1">IF('Stock Price'!$I$11="OK",D735/INDEX(D$5:D$1258,'Stock Price'!$I$9)-1,"")</f>
        <v>-0.1152528712472296</v>
      </c>
      <c r="R735" s="19">
        <f ca="1">IF('Stock Price'!$I$11="OK",E735/INDEX(E$5:E$1258,'Stock Price'!$I$9)-1,"")</f>
        <v>-0.17725947521865892</v>
      </c>
      <c r="S735" s="19">
        <f ca="1">IF('Stock Price'!$I$11="OK",F735/INDEX(F$5:F$1258,'Stock Price'!$I$9)-1,"")</f>
        <v>0.16649388347501559</v>
      </c>
      <c r="T735" s="19">
        <f ca="1">IF('Stock Price'!$I$11="OK",G735/INDEX(G$5:G$1258,'Stock Price'!$I$9)-1,"")</f>
        <v>-0.26671052631578951</v>
      </c>
      <c r="U735" s="19">
        <f ca="1">IF('Stock Price'!$I$11="OK",H735/INDEX(H$5:H$1258,'Stock Price'!$I$9)-1,"")</f>
        <v>0.11272898074213256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118.5</v>
      </c>
      <c r="C736" s="18">
        <v>172.8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-0.14465136422693803</v>
      </c>
      <c r="P736" s="19">
        <f ca="1">IF('Stock Price'!$I$11="OK",C736/INDEX(C$5:C$1258,'Stock Price'!$I$9)-1,"")</f>
        <v>-5.4057752839742679E-2</v>
      </c>
      <c r="Q736" s="19">
        <f ca="1">IF('Stock Price'!$I$11="OK",D736/INDEX(D$5:D$1258,'Stock Price'!$I$9)-1,"")</f>
        <v>-0.12472294982873267</v>
      </c>
      <c r="R736" s="19">
        <f ca="1">IF('Stock Price'!$I$11="OK",E736/INDEX(E$5:E$1258,'Stock Price'!$I$9)-1,"")</f>
        <v>-0.20000000000000007</v>
      </c>
      <c r="S736" s="19">
        <f ca="1">IF('Stock Price'!$I$11="OK",F736/INDEX(F$5:F$1258,'Stock Price'!$I$9)-1,"")</f>
        <v>0.19282604188264574</v>
      </c>
      <c r="T736" s="19">
        <f ca="1">IF('Stock Price'!$I$11="OK",G736/INDEX(G$5:G$1258,'Stock Price'!$I$9)-1,"")</f>
        <v>-0.26815789473684215</v>
      </c>
      <c r="U736" s="19">
        <f ca="1">IF('Stock Price'!$I$11="OK",H736/INDEX(H$5:H$1258,'Stock Price'!$I$9)-1,"")</f>
        <v>9.5162047909816749E-2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119.38</v>
      </c>
      <c r="C737" s="18">
        <v>169.78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-0.13829940811318031</v>
      </c>
      <c r="P737" s="19">
        <f ca="1">IF('Stock Price'!$I$11="OK",C737/INDEX(C$5:C$1258,'Stock Price'!$I$9)-1,"")</f>
        <v>-7.0589845353770442E-2</v>
      </c>
      <c r="Q737" s="19">
        <f ca="1">IF('Stock Price'!$I$11="OK",D737/INDEX(D$5:D$1258,'Stock Price'!$I$9)-1,"")</f>
        <v>-0.10820068506951452</v>
      </c>
      <c r="R737" s="19">
        <f ca="1">IF('Stock Price'!$I$11="OK",E737/INDEX(E$5:E$1258,'Stock Price'!$I$9)-1,"")</f>
        <v>-0.20408163265306123</v>
      </c>
      <c r="S737" s="19">
        <f ca="1">IF('Stock Price'!$I$11="OK",F737/INDEX(F$5:F$1258,'Stock Price'!$I$9)-1,"")</f>
        <v>0.21356002488077963</v>
      </c>
      <c r="T737" s="19">
        <f ca="1">IF('Stock Price'!$I$11="OK",G737/INDEX(G$5:G$1258,'Stock Price'!$I$9)-1,"")</f>
        <v>-0.26605263157894732</v>
      </c>
      <c r="U737" s="19">
        <f ca="1">IF('Stock Price'!$I$11="OK",H737/INDEX(H$5:H$1258,'Stock Price'!$I$9)-1,"")</f>
        <v>8.7834664161578146E-2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116.49</v>
      </c>
      <c r="C738" s="18">
        <v>164.76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-0.15915980944131658</v>
      </c>
      <c r="P738" s="19">
        <f ca="1">IF('Stock Price'!$I$11="OK",C738/INDEX(C$5:C$1258,'Stock Price'!$I$9)-1,"")</f>
        <v>-9.8070343506227009E-2</v>
      </c>
      <c r="Q738" s="19">
        <f ca="1">IF('Stock Price'!$I$11="OK",D738/INDEX(D$5:D$1258,'Stock Price'!$I$9)-1,"")</f>
        <v>-0.13096917187185164</v>
      </c>
      <c r="R738" s="19">
        <f ca="1">IF('Stock Price'!$I$11="OK",E738/INDEX(E$5:E$1258,'Stock Price'!$I$9)-1,"")</f>
        <v>-0.21010689990281828</v>
      </c>
      <c r="S738" s="19">
        <f ca="1">IF('Stock Price'!$I$11="OK",F738/INDEX(F$5:F$1258,'Stock Price'!$I$9)-1,"")</f>
        <v>0.20754716981132093</v>
      </c>
      <c r="T738" s="19">
        <f ca="1">IF('Stock Price'!$I$11="OK",G738/INDEX(G$5:G$1258,'Stock Price'!$I$9)-1,"")</f>
        <v>-0.23749999999999993</v>
      </c>
      <c r="U738" s="19">
        <f ca="1">IF('Stock Price'!$I$11="OK",H738/INDEX(H$5:H$1258,'Stock Price'!$I$9)-1,"")</f>
        <v>0.114044152184124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116.65</v>
      </c>
      <c r="C739" s="18">
        <v>168.97499999999999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-0.15800490832972414</v>
      </c>
      <c r="P739" s="19">
        <f ca="1">IF('Stock Price'!$I$11="OK",C739/INDEX(C$5:C$1258,'Stock Price'!$I$9)-1,"")</f>
        <v>-7.4996578623238053E-2</v>
      </c>
      <c r="Q739" s="19">
        <f ca="1">IF('Stock Price'!$I$11="OK",D739/INDEX(D$5:D$1258,'Stock Price'!$I$9)-1,"")</f>
        <v>-0.12008865605480556</v>
      </c>
      <c r="R739" s="19">
        <f ca="1">IF('Stock Price'!$I$11="OK",E739/INDEX(E$5:E$1258,'Stock Price'!$I$9)-1,"")</f>
        <v>-0.213022351797862</v>
      </c>
      <c r="S739" s="19">
        <f ca="1">IF('Stock Price'!$I$11="OK",F739/INDEX(F$5:F$1258,'Stock Price'!$I$9)-1,"")</f>
        <v>0.19697283848227243</v>
      </c>
      <c r="T739" s="19">
        <f ca="1">IF('Stock Price'!$I$11="OK",G739/INDEX(G$5:G$1258,'Stock Price'!$I$9)-1,"")</f>
        <v>-0.23921052631578943</v>
      </c>
      <c r="U739" s="19">
        <f ca="1">IF('Stock Price'!$I$11="OK",H739/INDEX(H$5:H$1258,'Stock Price'!$I$9)-1,"")</f>
        <v>0.10699859088774066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117.16</v>
      </c>
      <c r="C740" s="18">
        <v>160.08000000000001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-0.15432366103652373</v>
      </c>
      <c r="P740" s="19">
        <f ca="1">IF('Stock Price'!$I$11="OK",C740/INDEX(C$5:C$1258,'Stock Price'!$I$9)-1,"")</f>
        <v>-0.12368961270015055</v>
      </c>
      <c r="Q740" s="19">
        <f ca="1">IF('Stock Price'!$I$11="OK",D740/INDEX(D$5:D$1258,'Stock Price'!$I$9)-1,"")</f>
        <v>-0.11464839814628258</v>
      </c>
      <c r="R740" s="19">
        <f ca="1">IF('Stock Price'!$I$11="OK",E740/INDEX(E$5:E$1258,'Stock Price'!$I$9)-1,"")</f>
        <v>-0.23984450923226441</v>
      </c>
      <c r="S740" s="19">
        <f ca="1">IF('Stock Price'!$I$11="OK",F740/INDEX(F$5:F$1258,'Stock Price'!$I$9)-1,"")</f>
        <v>0.21314534522081696</v>
      </c>
      <c r="T740" s="19">
        <f ca="1">IF('Stock Price'!$I$11="OK",G740/INDEX(G$5:G$1258,'Stock Price'!$I$9)-1,"")</f>
        <v>-0.24526315789473685</v>
      </c>
      <c r="U740" s="19">
        <f ca="1">IF('Stock Price'!$I$11="OK",H740/INDEX(H$5:H$1258,'Stock Price'!$I$9)-1,"")</f>
        <v>8.4170972287458845E-2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116.99</v>
      </c>
      <c r="C741" s="18">
        <v>160.24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-0.15555074346759057</v>
      </c>
      <c r="P741" s="19">
        <f ca="1">IF('Stock Price'!$I$11="OK",C741/INDEX(C$5:C$1258,'Stock Price'!$I$9)-1,"")</f>
        <v>-0.12281374024907621</v>
      </c>
      <c r="Q741" s="19">
        <f ca="1">IF('Stock Price'!$I$11="OK",D741/INDEX(D$5:D$1258,'Stock Price'!$I$9)-1,"")</f>
        <v>-0.1114245416078985</v>
      </c>
      <c r="R741" s="19">
        <f ca="1">IF('Stock Price'!$I$11="OK",E741/INDEX(E$5:E$1258,'Stock Price'!$I$9)-1,"")</f>
        <v>-0.22798833819241993</v>
      </c>
      <c r="S741" s="19">
        <f ca="1">IF('Stock Price'!$I$11="OK",F741/INDEX(F$5:F$1258,'Stock Price'!$I$9)-1,"")</f>
        <v>0.20526643168152625</v>
      </c>
      <c r="T741" s="19">
        <f ca="1">IF('Stock Price'!$I$11="OK",G741/INDEX(G$5:G$1258,'Stock Price'!$I$9)-1,"")</f>
        <v>-0.27328947368421053</v>
      </c>
      <c r="U741" s="19">
        <f ca="1">IF('Stock Price'!$I$11="OK",H741/INDEX(H$5:H$1258,'Stock Price'!$I$9)-1,"")</f>
        <v>8.3419445749177923E-2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115.28</v>
      </c>
      <c r="C742" s="18">
        <v>160.24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-0.16789374909773347</v>
      </c>
      <c r="P742" s="19">
        <f ca="1">IF('Stock Price'!$I$11="OK",C742/INDEX(C$5:C$1258,'Stock Price'!$I$9)-1,"")</f>
        <v>-0.12281374024907621</v>
      </c>
      <c r="Q742" s="19">
        <f ca="1">IF('Stock Price'!$I$11="OK",D742/INDEX(D$5:D$1258,'Stock Price'!$I$9)-1,"")</f>
        <v>-0.11807374571831553</v>
      </c>
      <c r="R742" s="19">
        <f ca="1">IF('Stock Price'!$I$11="OK",E742/INDEX(E$5:E$1258,'Stock Price'!$I$9)-1,"")</f>
        <v>-0.27444120505345004</v>
      </c>
      <c r="S742" s="19">
        <f ca="1">IF('Stock Price'!$I$11="OK",F742/INDEX(F$5:F$1258,'Stock Price'!$I$9)-1,"")</f>
        <v>0.1913746630727764</v>
      </c>
      <c r="T742" s="19">
        <f ca="1">IF('Stock Price'!$I$11="OK",G742/INDEX(G$5:G$1258,'Stock Price'!$I$9)-1,"")</f>
        <v>-0.28921052631578947</v>
      </c>
      <c r="U742" s="19">
        <f ca="1">IF('Stock Price'!$I$11="OK",H742/INDEX(H$5:H$1258,'Stock Price'!$I$9)-1,"")</f>
        <v>7.7595115077501164E-2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115.72</v>
      </c>
      <c r="C743" s="18">
        <v>156.37989999999999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-0.16471777104085461</v>
      </c>
      <c r="P743" s="19">
        <f ca="1">IF('Stock Price'!$I$11="OK",C743/INDEX(C$5:C$1258,'Stock Price'!$I$9)-1,"")</f>
        <v>-0.14394471055152602</v>
      </c>
      <c r="Q743" s="19">
        <f ca="1">IF('Stock Price'!$I$11="OK",D743/INDEX(D$5:D$1258,'Stock Price'!$I$9)-1,"")</f>
        <v>-0.1313721539391498</v>
      </c>
      <c r="R743" s="19">
        <f ca="1">IF('Stock Price'!$I$11="OK",E743/INDEX(E$5:E$1258,'Stock Price'!$I$9)-1,"")</f>
        <v>-0.24761904761904763</v>
      </c>
      <c r="S743" s="19">
        <f ca="1">IF('Stock Price'!$I$11="OK",F743/INDEX(F$5:F$1258,'Stock Price'!$I$9)-1,"")</f>
        <v>0.1766535351441012</v>
      </c>
      <c r="T743" s="19">
        <f ca="1">IF('Stock Price'!$I$11="OK",G743/INDEX(G$5:G$1258,'Stock Price'!$I$9)-1,"")</f>
        <v>-0.29500000000000004</v>
      </c>
      <c r="U743" s="19">
        <f ca="1">IF('Stock Price'!$I$11="OK",H743/INDEX(H$5:H$1258,'Stock Price'!$I$9)-1,"")</f>
        <v>8.2667919210897001E-2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115.66</v>
      </c>
      <c r="C744" s="18">
        <v>158.13999999999999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-0.16515085895770176</v>
      </c>
      <c r="P744" s="19">
        <f ca="1">IF('Stock Price'!$I$11="OK",C744/INDEX(C$5:C$1258,'Stock Price'!$I$9)-1,"")</f>
        <v>-0.13430956616942669</v>
      </c>
      <c r="Q744" s="19">
        <f ca="1">IF('Stock Price'!$I$11="OK",D744/INDEX(D$5:D$1258,'Stock Price'!$I$9)-1,"")</f>
        <v>-0.13338706427563984</v>
      </c>
      <c r="R744" s="19">
        <f ca="1">IF('Stock Price'!$I$11="OK",E744/INDEX(E$5:E$1258,'Stock Price'!$I$9)-1,"")</f>
        <v>-0.23984450923226441</v>
      </c>
      <c r="S744" s="19">
        <f ca="1">IF('Stock Price'!$I$11="OK",F744/INDEX(F$5:F$1258,'Stock Price'!$I$9)-1,"")</f>
        <v>0.18453244868339214</v>
      </c>
      <c r="T744" s="19">
        <f ca="1">IF('Stock Price'!$I$11="OK",G744/INDEX(G$5:G$1258,'Stock Price'!$I$9)-1,"")</f>
        <v>-0.29000000000000004</v>
      </c>
      <c r="U744" s="19">
        <f ca="1">IF('Stock Price'!$I$11="OK",H744/INDEX(H$5:H$1258,'Stock Price'!$I$9)-1,"")</f>
        <v>8.8398309065288894E-2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116.95</v>
      </c>
      <c r="C745" s="18">
        <v>157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-0.1558394687454886</v>
      </c>
      <c r="P745" s="19">
        <f ca="1">IF('Stock Price'!$I$11="OK",C745/INDEX(C$5:C$1258,'Stock Price'!$I$9)-1,"")</f>
        <v>-0.1405501573833311</v>
      </c>
      <c r="Q745" s="19">
        <f ca="1">IF('Stock Price'!$I$11="OK",D745/INDEX(D$5:D$1258,'Stock Price'!$I$9)-1,"")</f>
        <v>-0.12250654845859366</v>
      </c>
      <c r="R745" s="19">
        <f ca="1">IF('Stock Price'!$I$11="OK",E745/INDEX(E$5:E$1258,'Stock Price'!$I$9)-1,"")</f>
        <v>-0.23790087463556853</v>
      </c>
      <c r="S745" s="19">
        <f ca="1">IF('Stock Price'!$I$11="OK",F745/INDEX(F$5:F$1258,'Stock Price'!$I$9)-1,"")</f>
        <v>0.18867924528301883</v>
      </c>
      <c r="T745" s="19">
        <f ca="1">IF('Stock Price'!$I$11="OK",G745/INDEX(G$5:G$1258,'Stock Price'!$I$9)-1,"")</f>
        <v>-0.29710526315789476</v>
      </c>
      <c r="U745" s="19">
        <f ca="1">IF('Stock Price'!$I$11="OK",H745/INDEX(H$5:H$1258,'Stock Price'!$I$9)-1,"")</f>
        <v>0.10812588069516194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115.7</v>
      </c>
      <c r="C746" s="18">
        <v>157.80160000000001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-0.16486213367980362</v>
      </c>
      <c r="P746" s="19">
        <f ca="1">IF('Stock Price'!$I$11="OK",C746/INDEX(C$5:C$1258,'Stock Price'!$I$9)-1,"")</f>
        <v>-0.13616203640344871</v>
      </c>
      <c r="Q746" s="19">
        <f ca="1">IF('Stock Price'!$I$11="OK",D746/INDEX(D$5:D$1258,'Stock Price'!$I$9)-1,"")</f>
        <v>-0.14245416078984485</v>
      </c>
      <c r="R746" s="19">
        <f ca="1">IF('Stock Price'!$I$11="OK",E746/INDEX(E$5:E$1258,'Stock Price'!$I$9)-1,"")</f>
        <v>-0.23556851311953364</v>
      </c>
      <c r="S746" s="19">
        <f ca="1">IF('Stock Price'!$I$11="OK",F746/INDEX(F$5:F$1258,'Stock Price'!$I$9)-1,"")</f>
        <v>0.17997097242380256</v>
      </c>
      <c r="T746" s="19">
        <f ca="1">IF('Stock Price'!$I$11="OK",G746/INDEX(G$5:G$1258,'Stock Price'!$I$9)-1,"")</f>
        <v>-0.27723684210526311</v>
      </c>
      <c r="U746" s="19">
        <f ca="1">IF('Stock Price'!$I$11="OK",H746/INDEX(H$5:H$1258,'Stock Price'!$I$9)-1,"")</f>
        <v>0.11122592766557071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115.97</v>
      </c>
      <c r="C747" s="18">
        <v>163.97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-0.1629132380539916</v>
      </c>
      <c r="P747" s="19">
        <f ca="1">IF('Stock Price'!$I$11="OK",C747/INDEX(C$5:C$1258,'Stock Price'!$I$9)-1,"")</f>
        <v>-0.1023949637334064</v>
      </c>
      <c r="Q747" s="19">
        <f ca="1">IF('Stock Price'!$I$11="OK",D747/INDEX(D$5:D$1258,'Stock Price'!$I$9)-1,"")</f>
        <v>-0.14507354422728191</v>
      </c>
      <c r="R747" s="19">
        <f ca="1">IF('Stock Price'!$I$11="OK",E747/INDEX(E$5:E$1258,'Stock Price'!$I$9)-1,"")</f>
        <v>-0.23012633624878531</v>
      </c>
      <c r="S747" s="19">
        <f ca="1">IF('Stock Price'!$I$11="OK",F747/INDEX(F$5:F$1258,'Stock Price'!$I$9)-1,"")</f>
        <v>0.19158200290275773</v>
      </c>
      <c r="T747" s="19">
        <f ca="1">IF('Stock Price'!$I$11="OK",G747/INDEX(G$5:G$1258,'Stock Price'!$I$9)-1,"")</f>
        <v>-0.26513157894736838</v>
      </c>
      <c r="U747" s="19">
        <f ca="1">IF('Stock Price'!$I$11="OK",H747/INDEX(H$5:H$1258,'Stock Price'!$I$9)-1,"")</f>
        <v>0.11451385627054944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115.98</v>
      </c>
      <c r="C748" s="18">
        <v>157.73269999999999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-0.16284105673451699</v>
      </c>
      <c r="P748" s="19">
        <f ca="1">IF('Stock Price'!$I$11="OK",C748/INDEX(C$5:C$1258,'Stock Price'!$I$9)-1,"")</f>
        <v>-0.13653920897769267</v>
      </c>
      <c r="Q748" s="19">
        <f ca="1">IF('Stock Price'!$I$11="OK",D748/INDEX(D$5:D$1258,'Stock Price'!$I$9)-1,"")</f>
        <v>-0.1613943179528512</v>
      </c>
      <c r="R748" s="19">
        <f ca="1">IF('Stock Price'!$I$11="OK",E748/INDEX(E$5:E$1258,'Stock Price'!$I$9)-1,"")</f>
        <v>-0.23304178814382903</v>
      </c>
      <c r="S748" s="19">
        <f ca="1">IF('Stock Price'!$I$11="OK",F748/INDEX(F$5:F$1258,'Stock Price'!$I$9)-1,"")</f>
        <v>0.20796184947128338</v>
      </c>
      <c r="T748" s="19">
        <f ca="1">IF('Stock Price'!$I$11="OK",G748/INDEX(G$5:G$1258,'Stock Price'!$I$9)-1,"")</f>
        <v>-0.23763157894736842</v>
      </c>
      <c r="U748" s="19">
        <f ca="1">IF('Stock Price'!$I$11="OK",H748/INDEX(H$5:H$1258,'Stock Price'!$I$9)-1,"")</f>
        <v>0.10126820103334899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115.94</v>
      </c>
      <c r="C749" s="18">
        <v>155.13990000000001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-0.16312978201241513</v>
      </c>
      <c r="P749" s="19">
        <f ca="1">IF('Stock Price'!$I$11="OK",C749/INDEX(C$5:C$1258,'Stock Price'!$I$9)-1,"")</f>
        <v>-0.15073272204735189</v>
      </c>
      <c r="Q749" s="19">
        <f ca="1">IF('Stock Price'!$I$11="OK",D749/INDEX(D$5:D$1258,'Stock Price'!$I$9)-1,"")</f>
        <v>-0.17791658271206945</v>
      </c>
      <c r="R749" s="19">
        <f ca="1">IF('Stock Price'!$I$11="OK",E749/INDEX(E$5:E$1258,'Stock Price'!$I$9)-1,"")</f>
        <v>-0.23323615160349853</v>
      </c>
      <c r="S749" s="19">
        <f ca="1">IF('Stock Price'!$I$11="OK",F749/INDEX(F$5:F$1258,'Stock Price'!$I$9)-1,"")</f>
        <v>0.19489944018245908</v>
      </c>
      <c r="T749" s="19">
        <f ca="1">IF('Stock Price'!$I$11="OK",G749/INDEX(G$5:G$1258,'Stock Price'!$I$9)-1,"")</f>
        <v>-0.24578947368421056</v>
      </c>
      <c r="U749" s="19">
        <f ca="1">IF('Stock Price'!$I$11="OK",H749/INDEX(H$5:H$1258,'Stock Price'!$I$9)-1,"")</f>
        <v>0.10070455612963825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116.37</v>
      </c>
      <c r="C750" s="18">
        <v>155.13990000000001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-0.16002598527501077</v>
      </c>
      <c r="P750" s="19">
        <f ca="1">IF('Stock Price'!$I$11="OK",C750/INDEX(C$5:C$1258,'Stock Price'!$I$9)-1,"")</f>
        <v>-0.15073272204735189</v>
      </c>
      <c r="Q750" s="19">
        <f ca="1">IF('Stock Price'!$I$11="OK",D750/INDEX(D$5:D$1258,'Stock Price'!$I$9)-1,"")</f>
        <v>-0.1767076365101754</v>
      </c>
      <c r="R750" s="19">
        <f ca="1">IF('Stock Price'!$I$11="OK",E750/INDEX(E$5:E$1258,'Stock Price'!$I$9)-1,"")</f>
        <v>-0.2322643343051507</v>
      </c>
      <c r="S750" s="19">
        <f ca="1">IF('Stock Price'!$I$11="OK",F750/INDEX(F$5:F$1258,'Stock Price'!$I$9)-1,"")</f>
        <v>0.19075264358283239</v>
      </c>
      <c r="T750" s="19">
        <f ca="1">IF('Stock Price'!$I$11="OK",G750/INDEX(G$5:G$1258,'Stock Price'!$I$9)-1,"")</f>
        <v>-0.2477631578947368</v>
      </c>
      <c r="U750" s="19">
        <f ca="1">IF('Stock Price'!$I$11="OK",H750/INDEX(H$5:H$1258,'Stock Price'!$I$9)-1,"")</f>
        <v>8.6237670267731215E-2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116.42</v>
      </c>
      <c r="C751" s="18">
        <v>149.34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-0.15966507867763813</v>
      </c>
      <c r="P751" s="19">
        <f ca="1">IF('Stock Price'!$I$11="OK",C751/INDEX(C$5:C$1258,'Stock Price'!$I$9)-1,"")</f>
        <v>-0.18248255097851374</v>
      </c>
      <c r="Q751" s="19">
        <f ca="1">IF('Stock Price'!$I$11="OK",D751/INDEX(D$5:D$1258,'Stock Price'!$I$9)-1,"")</f>
        <v>-0.17428974410638742</v>
      </c>
      <c r="R751" s="19">
        <f ca="1">IF('Stock Price'!$I$11="OK",E751/INDEX(E$5:E$1258,'Stock Price'!$I$9)-1,"")</f>
        <v>-0.22351797862001943</v>
      </c>
      <c r="S751" s="19">
        <f ca="1">IF('Stock Price'!$I$11="OK",F751/INDEX(F$5:F$1258,'Stock Price'!$I$9)-1,"")</f>
        <v>0.19469210035247775</v>
      </c>
      <c r="T751" s="19">
        <f ca="1">IF('Stock Price'!$I$11="OK",G751/INDEX(G$5:G$1258,'Stock Price'!$I$9)-1,"")</f>
        <v>-0.23697368421052634</v>
      </c>
      <c r="U751" s="19">
        <f ca="1">IF('Stock Price'!$I$11="OK",H751/INDEX(H$5:H$1258,'Stock Price'!$I$9)-1,"")</f>
        <v>7.9943635509628796E-2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116.43</v>
      </c>
      <c r="C752" s="18">
        <v>153.30000000000001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-0.15959289735816362</v>
      </c>
      <c r="P752" s="19">
        <f ca="1">IF('Stock Price'!$I$11="OK",C752/INDEX(C$5:C$1258,'Stock Price'!$I$9)-1,"")</f>
        <v>-0.16080470781442446</v>
      </c>
      <c r="Q752" s="19">
        <f ca="1">IF('Stock Price'!$I$11="OK",D752/INDEX(D$5:D$1258,'Stock Price'!$I$9)-1,"")</f>
        <v>-0.18275236751964541</v>
      </c>
      <c r="R752" s="19">
        <f ca="1">IF('Stock Price'!$I$11="OK",E752/INDEX(E$5:E$1258,'Stock Price'!$I$9)-1,"")</f>
        <v>-0.22546161321671532</v>
      </c>
      <c r="S752" s="19">
        <f ca="1">IF('Stock Price'!$I$11="OK",F752/INDEX(F$5:F$1258,'Stock Price'!$I$9)-1,"")</f>
        <v>0.17458013684428786</v>
      </c>
      <c r="T752" s="19">
        <f ca="1">IF('Stock Price'!$I$11="OK",G752/INDEX(G$5:G$1258,'Stock Price'!$I$9)-1,"")</f>
        <v>-0.24447368421052629</v>
      </c>
      <c r="U752" s="19">
        <f ca="1">IF('Stock Price'!$I$11="OK",H752/INDEX(H$5:H$1258,'Stock Price'!$I$9)-1,"")</f>
        <v>7.7782996712071339E-2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115.61</v>
      </c>
      <c r="C753" s="18">
        <v>153.30000000000001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-0.1655117655550743</v>
      </c>
      <c r="P753" s="19">
        <f ca="1">IF('Stock Price'!$I$11="OK",C753/INDEX(C$5:C$1258,'Stock Price'!$I$9)-1,"")</f>
        <v>-0.16080470781442446</v>
      </c>
      <c r="Q753" s="19">
        <f ca="1">IF('Stock Price'!$I$11="OK",D753/INDEX(D$5:D$1258,'Stock Price'!$I$9)-1,"")</f>
        <v>-0.17590167237557941</v>
      </c>
      <c r="R753" s="19">
        <f ca="1">IF('Stock Price'!$I$11="OK",E753/INDEX(E$5:E$1258,'Stock Price'!$I$9)-1,"")</f>
        <v>-0.21943634596695827</v>
      </c>
      <c r="S753" s="19">
        <f ca="1">IF('Stock Price'!$I$11="OK",F753/INDEX(F$5:F$1258,'Stock Price'!$I$9)-1,"")</f>
        <v>0.18183703089363479</v>
      </c>
      <c r="T753" s="19">
        <f ca="1">IF('Stock Price'!$I$11="OK",G753/INDEX(G$5:G$1258,'Stock Price'!$I$9)-1,"")</f>
        <v>-0.2338157894736842</v>
      </c>
      <c r="U753" s="19">
        <f ca="1">IF('Stock Price'!$I$11="OK",H753/INDEX(H$5:H$1258,'Stock Price'!$I$9)-1,"")</f>
        <v>6.2376702677313212E-2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115.61</v>
      </c>
      <c r="C754" s="18">
        <v>154.46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-0.1655117655550743</v>
      </c>
      <c r="P754" s="19">
        <f ca="1">IF('Stock Price'!$I$11="OK",C754/INDEX(C$5:C$1258,'Stock Price'!$I$9)-1,"")</f>
        <v>-0.15445463254413572</v>
      </c>
      <c r="Q754" s="19">
        <f ca="1">IF('Stock Price'!$I$11="OK",D754/INDEX(D$5:D$1258,'Stock Price'!$I$9)-1,"")</f>
        <v>-0.17973000201491041</v>
      </c>
      <c r="R754" s="19">
        <f ca="1">IF('Stock Price'!$I$11="OK",E754/INDEX(E$5:E$1258,'Stock Price'!$I$9)-1,"")</f>
        <v>-0.21982507288629738</v>
      </c>
      <c r="S754" s="19">
        <f ca="1">IF('Stock Price'!$I$11="OK",F754/INDEX(F$5:F$1258,'Stock Price'!$I$9)-1,"")</f>
        <v>0.19531411984242175</v>
      </c>
      <c r="T754" s="19">
        <f ca="1">IF('Stock Price'!$I$11="OK",G754/INDEX(G$5:G$1258,'Stock Price'!$I$9)-1,"")</f>
        <v>-0.20039473684210518</v>
      </c>
      <c r="U754" s="19">
        <f ca="1">IF('Stock Price'!$I$11="OK",H754/INDEX(H$5:H$1258,'Stock Price'!$I$9)-1,"")</f>
        <v>6.8013151714419795E-2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115.02</v>
      </c>
      <c r="C755" s="18">
        <v>154.46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-0.16977046340407098</v>
      </c>
      <c r="P755" s="19">
        <f ca="1">IF('Stock Price'!$I$11="OK",C755/INDEX(C$5:C$1258,'Stock Price'!$I$9)-1,"")</f>
        <v>-0.15445463254413572</v>
      </c>
      <c r="Q755" s="19">
        <f ca="1">IF('Stock Price'!$I$11="OK",D755/INDEX(D$5:D$1258,'Stock Price'!$I$9)-1,"")</f>
        <v>-0.17630465444287724</v>
      </c>
      <c r="R755" s="19">
        <f ca="1">IF('Stock Price'!$I$11="OK",E755/INDEX(E$5:E$1258,'Stock Price'!$I$9)-1,"")</f>
        <v>-0.22351797862001943</v>
      </c>
      <c r="S755" s="19">
        <f ca="1">IF('Stock Price'!$I$11="OK",F755/INDEX(F$5:F$1258,'Stock Price'!$I$9)-1,"")</f>
        <v>0.19489944018245908</v>
      </c>
      <c r="T755" s="19">
        <f ca="1">IF('Stock Price'!$I$11="OK",G755/INDEX(G$5:G$1258,'Stock Price'!$I$9)-1,"")</f>
        <v>-0.20197368421052631</v>
      </c>
      <c r="U755" s="19">
        <f ca="1">IF('Stock Price'!$I$11="OK",H755/INDEX(H$5:H$1258,'Stock Price'!$I$9)-1,"")</f>
        <v>6.6791921089713435E-2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114.55</v>
      </c>
      <c r="C756" s="18">
        <v>155.52000000000001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-0.17316298541937347</v>
      </c>
      <c r="P756" s="19">
        <f ca="1">IF('Stock Price'!$I$11="OK",C756/INDEX(C$5:C$1258,'Stock Price'!$I$9)-1,"")</f>
        <v>-0.14865197755576842</v>
      </c>
      <c r="Q756" s="19">
        <f ca="1">IF('Stock Price'!$I$11="OK",D756/INDEX(D$5:D$1258,'Stock Price'!$I$9)-1,"")</f>
        <v>-0.18799113439451953</v>
      </c>
      <c r="R756" s="19">
        <f ca="1">IF('Stock Price'!$I$11="OK",E756/INDEX(E$5:E$1258,'Stock Price'!$I$9)-1,"")</f>
        <v>-0.23731778425655981</v>
      </c>
      <c r="S756" s="19">
        <f ca="1">IF('Stock Price'!$I$11="OK",F756/INDEX(F$5:F$1258,'Stock Price'!$I$9)-1,"")</f>
        <v>0.18826456562305638</v>
      </c>
      <c r="T756" s="19">
        <f ca="1">IF('Stock Price'!$I$11="OK",G756/INDEX(G$5:G$1258,'Stock Price'!$I$9)-1,"")</f>
        <v>-0.19881578947368417</v>
      </c>
      <c r="U756" s="19">
        <f ca="1">IF('Stock Price'!$I$11="OK",H756/INDEX(H$5:H$1258,'Stock Price'!$I$9)-1,"")</f>
        <v>7.7876937529356427E-2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114.47</v>
      </c>
      <c r="C757" s="18">
        <v>158.94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-0.17374043597516964</v>
      </c>
      <c r="P757" s="19">
        <f ca="1">IF('Stock Price'!$I$11="OK",C757/INDEX(C$5:C$1258,'Stock Price'!$I$9)-1,"")</f>
        <v>-0.12993020391405508</v>
      </c>
      <c r="Q757" s="19">
        <f ca="1">IF('Stock Price'!$I$11="OK",D757/INDEX(D$5:D$1258,'Stock Price'!$I$9)-1,"")</f>
        <v>-0.2051178722546847</v>
      </c>
      <c r="R757" s="19">
        <f ca="1">IF('Stock Price'!$I$11="OK",E757/INDEX(E$5:E$1258,'Stock Price'!$I$9)-1,"")</f>
        <v>-0.24062196307094275</v>
      </c>
      <c r="S757" s="19">
        <f ca="1">IF('Stock Price'!$I$11="OK",F757/INDEX(F$5:F$1258,'Stock Price'!$I$9)-1,"")</f>
        <v>0.16628654364503426</v>
      </c>
      <c r="T757" s="19">
        <f ca="1">IF('Stock Price'!$I$11="OK",G757/INDEX(G$5:G$1258,'Stock Price'!$I$9)-1,"")</f>
        <v>-0.20013157894736844</v>
      </c>
      <c r="U757" s="19">
        <f ca="1">IF('Stock Price'!$I$11="OK",H757/INDEX(H$5:H$1258,'Stock Price'!$I$9)-1,"")</f>
        <v>5.2888680131517152E-2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113.77</v>
      </c>
      <c r="C758" s="18">
        <v>152.80000000000001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-0.17879312833838601</v>
      </c>
      <c r="P758" s="19">
        <f ca="1">IF('Stock Price'!$I$11="OK",C758/INDEX(C$5:C$1258,'Stock Price'!$I$9)-1,"")</f>
        <v>-0.16354180922403172</v>
      </c>
      <c r="Q758" s="19">
        <f ca="1">IF('Stock Price'!$I$11="OK",D758/INDEX(D$5:D$1258,'Stock Price'!$I$9)-1,"")</f>
        <v>-0.22687890388877707</v>
      </c>
      <c r="R758" s="19">
        <f ca="1">IF('Stock Price'!$I$11="OK",E758/INDEX(E$5:E$1258,'Stock Price'!$I$9)-1,"")</f>
        <v>-0.25597667638483967</v>
      </c>
      <c r="S758" s="19">
        <f ca="1">IF('Stock Price'!$I$11="OK",F758/INDEX(F$5:F$1258,'Stock Price'!$I$9)-1,"")</f>
        <v>0.15156541571635906</v>
      </c>
      <c r="T758" s="19">
        <f ca="1">IF('Stock Price'!$I$11="OK",G758/INDEX(G$5:G$1258,'Stock Price'!$I$9)-1,"")</f>
        <v>-0.21407894736842115</v>
      </c>
      <c r="U758" s="19">
        <f ca="1">IF('Stock Price'!$I$11="OK",H758/INDEX(H$5:H$1258,'Stock Price'!$I$9)-1,"")</f>
        <v>3.5039924847346304E-2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113.95</v>
      </c>
      <c r="C759" s="18">
        <v>152.66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-0.17749386458784455</v>
      </c>
      <c r="P759" s="19">
        <f ca="1">IF('Stock Price'!$I$11="OK",C759/INDEX(C$5:C$1258,'Stock Price'!$I$9)-1,"")</f>
        <v>-0.16430819761872184</v>
      </c>
      <c r="Q759" s="19">
        <f ca="1">IF('Stock Price'!$I$11="OK",D759/INDEX(D$5:D$1258,'Stock Price'!$I$9)-1,"")</f>
        <v>-0.21781180737457184</v>
      </c>
      <c r="R759" s="19">
        <f ca="1">IF('Stock Price'!$I$11="OK",E759/INDEX(E$5:E$1258,'Stock Price'!$I$9)-1,"")</f>
        <v>-0.26588921282798827</v>
      </c>
      <c r="S759" s="19">
        <f ca="1">IF('Stock Price'!$I$11="OK",F759/INDEX(F$5:F$1258,'Stock Price'!$I$9)-1,"")</f>
        <v>0.15011403690648972</v>
      </c>
      <c r="T759" s="19">
        <f ca="1">IF('Stock Price'!$I$11="OK",G759/INDEX(G$5:G$1258,'Stock Price'!$I$9)-1,"")</f>
        <v>-0.21565789473684216</v>
      </c>
      <c r="U759" s="19">
        <f ca="1">IF('Stock Price'!$I$11="OK",H759/INDEX(H$5:H$1258,'Stock Price'!$I$9)-1,"")</f>
        <v>3.1188351338656606E-2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113.86</v>
      </c>
      <c r="C760" s="18">
        <v>155.72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-0.17814349646311534</v>
      </c>
      <c r="P760" s="19">
        <f ca="1">IF('Stock Price'!$I$11="OK",C760/INDEX(C$5:C$1258,'Stock Price'!$I$9)-1,"")</f>
        <v>-0.14755713699192563</v>
      </c>
      <c r="Q760" s="19">
        <f ca="1">IF('Stock Price'!$I$11="OK",D760/INDEX(D$5:D$1258,'Stock Price'!$I$9)-1,"")</f>
        <v>-0.22164013701390284</v>
      </c>
      <c r="R760" s="19">
        <f ca="1">IF('Stock Price'!$I$11="OK",E760/INDEX(E$5:E$1258,'Stock Price'!$I$9)-1,"")</f>
        <v>-0.2616132167152575</v>
      </c>
      <c r="S760" s="19">
        <f ca="1">IF('Stock Price'!$I$11="OK",F760/INDEX(F$5:F$1258,'Stock Price'!$I$9)-1,"")</f>
        <v>0.13539290897781475</v>
      </c>
      <c r="T760" s="19">
        <f ca="1">IF('Stock Price'!$I$11="OK",G760/INDEX(G$5:G$1258,'Stock Price'!$I$9)-1,"")</f>
        <v>-0.21657894736842109</v>
      </c>
      <c r="U760" s="19">
        <f ca="1">IF('Stock Price'!$I$11="OK",H760/INDEX(H$5:H$1258,'Stock Price'!$I$9)-1,"")</f>
        <v>2.0103334899013614E-2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113.77</v>
      </c>
      <c r="C761" s="18">
        <v>148.65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-0.17879312833838601</v>
      </c>
      <c r="P761" s="19">
        <f ca="1">IF('Stock Price'!$I$11="OK",C761/INDEX(C$5:C$1258,'Stock Price'!$I$9)-1,"")</f>
        <v>-0.18625975092377178</v>
      </c>
      <c r="Q761" s="19">
        <f ca="1">IF('Stock Price'!$I$11="OK",D761/INDEX(D$5:D$1258,'Stock Price'!$I$9)-1,"")</f>
        <v>-0.23393109006649204</v>
      </c>
      <c r="R761" s="19">
        <f ca="1">IF('Stock Price'!$I$11="OK",E761/INDEX(E$5:E$1258,'Stock Price'!$I$9)-1,"")</f>
        <v>-0.25617103984450917</v>
      </c>
      <c r="S761" s="19">
        <f ca="1">IF('Stock Price'!$I$11="OK",F761/INDEX(F$5:F$1258,'Stock Price'!$I$9)-1,"")</f>
        <v>0.13725896744764676</v>
      </c>
      <c r="T761" s="19">
        <f ca="1">IF('Stock Price'!$I$11="OK",G761/INDEX(G$5:G$1258,'Stock Price'!$I$9)-1,"")</f>
        <v>-0.23065789473684217</v>
      </c>
      <c r="U761" s="19">
        <f ca="1">IF('Stock Price'!$I$11="OK",H761/INDEX(H$5:H$1258,'Stock Price'!$I$9)-1,"")</f>
        <v>1.9445749178017779E-2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115.64</v>
      </c>
      <c r="C762" s="18">
        <v>148.65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-0.16529522159665078</v>
      </c>
      <c r="P762" s="19">
        <f ca="1">IF('Stock Price'!$I$11="OK",C762/INDEX(C$5:C$1258,'Stock Price'!$I$9)-1,"")</f>
        <v>-0.18625975092377178</v>
      </c>
      <c r="Q762" s="19">
        <f ca="1">IF('Stock Price'!$I$11="OK",D762/INDEX(D$5:D$1258,'Stock Price'!$I$9)-1,"")</f>
        <v>-0.18920008059641347</v>
      </c>
      <c r="R762" s="19">
        <f ca="1">IF('Stock Price'!$I$11="OK",E762/INDEX(E$5:E$1258,'Stock Price'!$I$9)-1,"")</f>
        <v>-0.25344995140913518</v>
      </c>
      <c r="S762" s="19">
        <f ca="1">IF('Stock Price'!$I$11="OK",F762/INDEX(F$5:F$1258,'Stock Price'!$I$9)-1,"")</f>
        <v>0.14347916234708702</v>
      </c>
      <c r="T762" s="19">
        <f ca="1">IF('Stock Price'!$I$11="OK",G762/INDEX(G$5:G$1258,'Stock Price'!$I$9)-1,"")</f>
        <v>-0.28289473684210531</v>
      </c>
      <c r="U762" s="19">
        <f ca="1">IF('Stock Price'!$I$11="OK",H762/INDEX(H$5:H$1258,'Stock Price'!$I$9)-1,"")</f>
        <v>3.5885392202912092E-2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114.81</v>
      </c>
      <c r="C763" s="18">
        <v>147.37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-0.17128627111303585</v>
      </c>
      <c r="P763" s="19">
        <f ca="1">IF('Stock Price'!$I$11="OK",C763/INDEX(C$5:C$1258,'Stock Price'!$I$9)-1,"")</f>
        <v>-0.1932667305323662</v>
      </c>
      <c r="Q763" s="19">
        <f ca="1">IF('Stock Price'!$I$11="OK",D763/INDEX(D$5:D$1258,'Stock Price'!$I$9)-1,"")</f>
        <v>-0.20995365706226077</v>
      </c>
      <c r="R763" s="19">
        <f ca="1">IF('Stock Price'!$I$11="OK",E763/INDEX(E$5:E$1258,'Stock Price'!$I$9)-1,"")</f>
        <v>-0.24450923226433441</v>
      </c>
      <c r="S763" s="19">
        <f ca="1">IF('Stock Price'!$I$11="OK",F763/INDEX(F$5:F$1258,'Stock Price'!$I$9)-1,"")</f>
        <v>0.13560024880779609</v>
      </c>
      <c r="T763" s="19">
        <f ca="1">IF('Stock Price'!$I$11="OK",G763/INDEX(G$5:G$1258,'Stock Price'!$I$9)-1,"")</f>
        <v>-0.29552631578947375</v>
      </c>
      <c r="U763" s="19">
        <f ca="1">IF('Stock Price'!$I$11="OK",H763/INDEX(H$5:H$1258,'Stock Price'!$I$9)-1,"")</f>
        <v>2.7712541099107479E-2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116.22</v>
      </c>
      <c r="C764" s="18">
        <v>147.37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-0.1611087050671286</v>
      </c>
      <c r="P764" s="19">
        <f ca="1">IF('Stock Price'!$I$11="OK",C764/INDEX(C$5:C$1258,'Stock Price'!$I$9)-1,"")</f>
        <v>-0.1932667305323662</v>
      </c>
      <c r="Q764" s="19">
        <f ca="1">IF('Stock Price'!$I$11="OK",D764/INDEX(D$5:D$1258,'Stock Price'!$I$9)-1,"")</f>
        <v>-0.21761031634092287</v>
      </c>
      <c r="R764" s="19">
        <f ca="1">IF('Stock Price'!$I$11="OK",E764/INDEX(E$5:E$1258,'Stock Price'!$I$9)-1,"")</f>
        <v>-0.23848396501457736</v>
      </c>
      <c r="S764" s="19">
        <f ca="1">IF('Stock Price'!$I$11="OK",F764/INDEX(F$5:F$1258,'Stock Price'!$I$9)-1,"")</f>
        <v>0.13953970557744144</v>
      </c>
      <c r="T764" s="19">
        <f ca="1">IF('Stock Price'!$I$11="OK",G764/INDEX(G$5:G$1258,'Stock Price'!$I$9)-1,"")</f>
        <v>-0.30881578947368415</v>
      </c>
      <c r="U764" s="19">
        <f ca="1">IF('Stock Price'!$I$11="OK",H764/INDEX(H$5:H$1258,'Stock Price'!$I$9)-1,"")</f>
        <v>3.0812588069516256E-2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116.3</v>
      </c>
      <c r="C765" s="18">
        <v>147.37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-0.16053125451133243</v>
      </c>
      <c r="P765" s="19">
        <f ca="1">IF('Stock Price'!$I$11="OK",C765/INDEX(C$5:C$1258,'Stock Price'!$I$9)-1,"")</f>
        <v>-0.1932667305323662</v>
      </c>
      <c r="Q765" s="19">
        <f ca="1">IF('Stock Price'!$I$11="OK",D765/INDEX(D$5:D$1258,'Stock Price'!$I$9)-1,"")</f>
        <v>-0.21156558533145275</v>
      </c>
      <c r="R765" s="19">
        <f ca="1">IF('Stock Price'!$I$11="OK",E765/INDEX(E$5:E$1258,'Stock Price'!$I$9)-1,"")</f>
        <v>-0.23867832847424686</v>
      </c>
      <c r="S765" s="19">
        <f ca="1">IF('Stock Price'!$I$11="OK",F765/INDEX(F$5:F$1258,'Stock Price'!$I$9)-1,"")</f>
        <v>0.1387103462575161</v>
      </c>
      <c r="T765" s="19">
        <f ca="1">IF('Stock Price'!$I$11="OK",G765/INDEX(G$5:G$1258,'Stock Price'!$I$9)-1,"")</f>
        <v>-0.31302631578947371</v>
      </c>
      <c r="U765" s="19">
        <f ca="1">IF('Stock Price'!$I$11="OK",H765/INDEX(H$5:H$1258,'Stock Price'!$I$9)-1,"")</f>
        <v>3.0436824800375684E-2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116.22</v>
      </c>
      <c r="C766" s="18">
        <v>153.69990000000001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-0.1611087050671286</v>
      </c>
      <c r="P766" s="19">
        <f ca="1">IF('Stock Price'!$I$11="OK",C766/INDEX(C$5:C$1258,'Stock Price'!$I$9)-1,"")</f>
        <v>-0.15861557410702065</v>
      </c>
      <c r="Q766" s="19">
        <f ca="1">IF('Stock Price'!$I$11="OK",D766/INDEX(D$5:D$1258,'Stock Price'!$I$9)-1,"")</f>
        <v>-0.21499093290348581</v>
      </c>
      <c r="R766" s="19">
        <f ca="1">IF('Stock Price'!$I$11="OK",E766/INDEX(E$5:E$1258,'Stock Price'!$I$9)-1,"")</f>
        <v>-0.23498542274052481</v>
      </c>
      <c r="S766" s="19">
        <f ca="1">IF('Stock Price'!$I$11="OK",F766/INDEX(F$5:F$1258,'Stock Price'!$I$9)-1,"")</f>
        <v>0.13145345220816917</v>
      </c>
      <c r="T766" s="19">
        <f ca="1">IF('Stock Price'!$I$11="OK",G766/INDEX(G$5:G$1258,'Stock Price'!$I$9)-1,"")</f>
        <v>-0.30184210526315791</v>
      </c>
      <c r="U766" s="19">
        <f ca="1">IF('Stock Price'!$I$11="OK",H766/INDEX(H$5:H$1258,'Stock Price'!$I$9)-1,"")</f>
        <v>4.7721935180836006E-2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116.57</v>
      </c>
      <c r="C767" s="18">
        <v>153.69990000000001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-0.15858235888552041</v>
      </c>
      <c r="P767" s="19">
        <f ca="1">IF('Stock Price'!$I$11="OK",C767/INDEX(C$5:C$1258,'Stock Price'!$I$9)-1,"")</f>
        <v>-0.15861557410702065</v>
      </c>
      <c r="Q767" s="19">
        <f ca="1">IF('Stock Price'!$I$11="OK",D767/INDEX(D$5:D$1258,'Stock Price'!$I$9)-1,"")</f>
        <v>-0.20995365706226077</v>
      </c>
      <c r="R767" s="19">
        <f ca="1">IF('Stock Price'!$I$11="OK",E767/INDEX(E$5:E$1258,'Stock Price'!$I$9)-1,"")</f>
        <v>-0.24042759961127314</v>
      </c>
      <c r="S767" s="19">
        <f ca="1">IF('Stock Price'!$I$11="OK",F767/INDEX(F$5:F$1258,'Stock Price'!$I$9)-1,"")</f>
        <v>0.12875803441841183</v>
      </c>
      <c r="T767" s="19">
        <f ca="1">IF('Stock Price'!$I$11="OK",G767/INDEX(G$5:G$1258,'Stock Price'!$I$9)-1,"")</f>
        <v>-0.30460526315789471</v>
      </c>
      <c r="U767" s="19">
        <f ca="1">IF('Stock Price'!$I$11="OK",H767/INDEX(H$5:H$1258,'Stock Price'!$I$9)-1,"")</f>
        <v>3.7294504462188849E-2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116.51</v>
      </c>
      <c r="C768" s="18">
        <v>154.52000000000001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-0.15901544680236745</v>
      </c>
      <c r="P768" s="19">
        <f ca="1">IF('Stock Price'!$I$11="OK",C768/INDEX(C$5:C$1258,'Stock Price'!$I$9)-1,"")</f>
        <v>-0.15412618037498294</v>
      </c>
      <c r="Q768" s="19">
        <f ca="1">IF('Stock Price'!$I$11="OK",D768/INDEX(D$5:D$1258,'Stock Price'!$I$9)-1,"")</f>
        <v>-0.21499093290348581</v>
      </c>
      <c r="R768" s="19">
        <f ca="1">IF('Stock Price'!$I$11="OK",E768/INDEX(E$5:E$1258,'Stock Price'!$I$9)-1,"")</f>
        <v>-0.24023323615160352</v>
      </c>
      <c r="S768" s="19">
        <f ca="1">IF('Stock Price'!$I$11="OK",F768/INDEX(F$5:F$1258,'Stock Price'!$I$9)-1,"")</f>
        <v>0.1374663072776281</v>
      </c>
      <c r="T768" s="19">
        <f ca="1">IF('Stock Price'!$I$11="OK",G768/INDEX(G$5:G$1258,'Stock Price'!$I$9)-1,"")</f>
        <v>-0.30263157894736847</v>
      </c>
      <c r="U768" s="19">
        <f ca="1">IF('Stock Price'!$I$11="OK",H768/INDEX(H$5:H$1258,'Stock Price'!$I$9)-1,"")</f>
        <v>3.1000469704086431E-2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117.18</v>
      </c>
      <c r="C769" s="18">
        <v>157.88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-0.1541792983975746</v>
      </c>
      <c r="P769" s="19">
        <f ca="1">IF('Stock Price'!$I$11="OK",C769/INDEX(C$5:C$1258,'Stock Price'!$I$9)-1,"")</f>
        <v>-0.13573285890242237</v>
      </c>
      <c r="Q769" s="19">
        <f ca="1">IF('Stock Price'!$I$11="OK",D769/INDEX(D$5:D$1258,'Stock Price'!$I$9)-1,"")</f>
        <v>-0.22325206528309505</v>
      </c>
      <c r="R769" s="19">
        <f ca="1">IF('Stock Price'!$I$11="OK",E769/INDEX(E$5:E$1258,'Stock Price'!$I$9)-1,"")</f>
        <v>-0.23109815354713314</v>
      </c>
      <c r="S769" s="19">
        <f ca="1">IF('Stock Price'!$I$11="OK",F769/INDEX(F$5:F$1258,'Stock Price'!$I$9)-1,"")</f>
        <v>0.13891768608749744</v>
      </c>
      <c r="T769" s="19">
        <f ca="1">IF('Stock Price'!$I$11="OK",G769/INDEX(G$5:G$1258,'Stock Price'!$I$9)-1,"")</f>
        <v>-0.30592105263157898</v>
      </c>
      <c r="U769" s="19">
        <f ca="1">IF('Stock Price'!$I$11="OK",H769/INDEX(H$5:H$1258,'Stock Price'!$I$9)-1,"")</f>
        <v>2.1136683889149799E-2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115.73</v>
      </c>
      <c r="C770" s="18">
        <v>154.636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-0.16464558972137999</v>
      </c>
      <c r="P770" s="19">
        <f ca="1">IF('Stock Price'!$I$11="OK",C770/INDEX(C$5:C$1258,'Stock Price'!$I$9)-1,"")</f>
        <v>-0.1534911728479541</v>
      </c>
      <c r="Q770" s="19">
        <f ca="1">IF('Stock Price'!$I$11="OK",D770/INDEX(D$5:D$1258,'Stock Price'!$I$9)-1,"")</f>
        <v>-0.23111021559540612</v>
      </c>
      <c r="R770" s="19">
        <f ca="1">IF('Stock Price'!$I$11="OK",E770/INDEX(E$5:E$1258,'Stock Price'!$I$9)-1,"")</f>
        <v>-0.23420796890184647</v>
      </c>
      <c r="S770" s="19">
        <f ca="1">IF('Stock Price'!$I$11="OK",F770/INDEX(F$5:F$1258,'Stock Price'!$I$9)-1,"")</f>
        <v>0.11258552767986729</v>
      </c>
      <c r="T770" s="19">
        <f ca="1">IF('Stock Price'!$I$11="OK",G770/INDEX(G$5:G$1258,'Stock Price'!$I$9)-1,"")</f>
        <v>-0.31315789473684208</v>
      </c>
      <c r="U770" s="19">
        <f ca="1">IF('Stock Price'!$I$11="OK",H770/INDEX(H$5:H$1258,'Stock Price'!$I$9)-1,"")</f>
        <v>-1.0333489901361848E-3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114.32</v>
      </c>
      <c r="C771" s="18">
        <v>156.4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-0.17482315576728746</v>
      </c>
      <c r="P771" s="19">
        <f ca="1">IF('Stock Price'!$I$11="OK",C771/INDEX(C$5:C$1258,'Stock Price'!$I$9)-1,"")</f>
        <v>-0.14383467907485969</v>
      </c>
      <c r="Q771" s="19">
        <f ca="1">IF('Stock Price'!$I$11="OK",D771/INDEX(D$5:D$1258,'Stock Price'!$I$9)-1,"")</f>
        <v>-0.23433407213379009</v>
      </c>
      <c r="R771" s="19">
        <f ca="1">IF('Stock Price'!$I$11="OK",E771/INDEX(E$5:E$1258,'Stock Price'!$I$9)-1,"")</f>
        <v>-0.23828960155490775</v>
      </c>
      <c r="S771" s="19">
        <f ca="1">IF('Stock Price'!$I$11="OK",F771/INDEX(F$5:F$1258,'Stock Price'!$I$9)-1,"")</f>
        <v>0.10429193448061369</v>
      </c>
      <c r="T771" s="19">
        <f ca="1">IF('Stock Price'!$I$11="OK",G771/INDEX(G$5:G$1258,'Stock Price'!$I$9)-1,"")</f>
        <v>-0.31907894736842102</v>
      </c>
      <c r="U771" s="19">
        <f ca="1">IF('Stock Price'!$I$11="OK",H771/INDEX(H$5:H$1258,'Stock Price'!$I$9)-1,"")</f>
        <v>1.7848755284171069E-3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114.07</v>
      </c>
      <c r="C772" s="18">
        <v>152.33500000000001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-0.17662768875415047</v>
      </c>
      <c r="P772" s="19">
        <f ca="1">IF('Stock Price'!$I$11="OK",C772/INDEX(C$5:C$1258,'Stock Price'!$I$9)-1,"")</f>
        <v>-0.16608731353496653</v>
      </c>
      <c r="Q772" s="19">
        <f ca="1">IF('Stock Price'!$I$11="OK",D772/INDEX(D$5:D$1258,'Stock Price'!$I$9)-1,"")</f>
        <v>-0.23473705420108815</v>
      </c>
      <c r="R772" s="19">
        <f ca="1">IF('Stock Price'!$I$11="OK",E772/INDEX(E$5:E$1258,'Stock Price'!$I$9)-1,"")</f>
        <v>-0.21865889212827982</v>
      </c>
      <c r="S772" s="19">
        <f ca="1">IF('Stock Price'!$I$11="OK",F772/INDEX(F$5:F$1258,'Stock Price'!$I$9)-1,"")</f>
        <v>9.6620360771304314E-2</v>
      </c>
      <c r="T772" s="19">
        <f ca="1">IF('Stock Price'!$I$11="OK",G772/INDEX(G$5:G$1258,'Stock Price'!$I$9)-1,"")</f>
        <v>-0.32578947368421052</v>
      </c>
      <c r="U772" s="19">
        <f ca="1">IF('Stock Price'!$I$11="OK",H772/INDEX(H$5:H$1258,'Stock Price'!$I$9)-1,"")</f>
        <v>-6.5758572099583468E-4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113.13</v>
      </c>
      <c r="C773" s="18">
        <v>151.69999999999999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-0.18341273278475534</v>
      </c>
      <c r="P773" s="19">
        <f ca="1">IF('Stock Price'!$I$11="OK",C773/INDEX(C$5:C$1258,'Stock Price'!$I$9)-1,"")</f>
        <v>-0.1695634323251678</v>
      </c>
      <c r="Q773" s="19">
        <f ca="1">IF('Stock Price'!$I$11="OK",D773/INDEX(D$5:D$1258,'Stock Price'!$I$9)-1,"")</f>
        <v>-0.23957283900866411</v>
      </c>
      <c r="R773" s="19">
        <f ca="1">IF('Stock Price'!$I$11="OK",E773/INDEX(E$5:E$1258,'Stock Price'!$I$9)-1,"")</f>
        <v>-0.213022351797862</v>
      </c>
      <c r="S773" s="19">
        <f ca="1">IF('Stock Price'!$I$11="OK",F773/INDEX(F$5:F$1258,'Stock Price'!$I$9)-1,"")</f>
        <v>7.9203815052871773E-2</v>
      </c>
      <c r="T773" s="19">
        <f ca="1">IF('Stock Price'!$I$11="OK",G773/INDEX(G$5:G$1258,'Stock Price'!$I$9)-1,"")</f>
        <v>-0.32289473684210523</v>
      </c>
      <c r="U773" s="19">
        <f ca="1">IF('Stock Price'!$I$11="OK",H773/INDEX(H$5:H$1258,'Stock Price'!$I$9)-1,"")</f>
        <v>-5.3546265852513208E-3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113.79</v>
      </c>
      <c r="C774" s="18">
        <v>148.6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-0.17864876569943688</v>
      </c>
      <c r="P774" s="19">
        <f ca="1">IF('Stock Price'!$I$11="OK",C774/INDEX(C$5:C$1258,'Stock Price'!$I$9)-1,"")</f>
        <v>-0.18653346106473256</v>
      </c>
      <c r="Q774" s="19">
        <f ca="1">IF('Stock Price'!$I$11="OK",D774/INDEX(D$5:D$1258,'Stock Price'!$I$9)-1,"")</f>
        <v>-0.24400564174894213</v>
      </c>
      <c r="R774" s="19">
        <f ca="1">IF('Stock Price'!$I$11="OK",E774/INDEX(E$5:E$1258,'Stock Price'!$I$9)-1,"")</f>
        <v>-0.21146744412050533</v>
      </c>
      <c r="S774" s="19">
        <f ca="1">IF('Stock Price'!$I$11="OK",F774/INDEX(F$5:F$1258,'Stock Price'!$I$9)-1,"")</f>
        <v>0.12668463611859848</v>
      </c>
      <c r="T774" s="19">
        <f ca="1">IF('Stock Price'!$I$11="OK",G774/INDEX(G$5:G$1258,'Stock Price'!$I$9)-1,"")</f>
        <v>-0.32236842105263153</v>
      </c>
      <c r="U774" s="19">
        <f ca="1">IF('Stock Price'!$I$11="OK",H774/INDEX(H$5:H$1258,'Stock Price'!$I$9)-1,"")</f>
        <v>-2.3203381869422279E-2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115.63</v>
      </c>
      <c r="C775" s="18">
        <v>148.6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-0.16536740291612528</v>
      </c>
      <c r="P775" s="19">
        <f ca="1">IF('Stock Price'!$I$11="OK",C775/INDEX(C$5:C$1258,'Stock Price'!$I$9)-1,"")</f>
        <v>-0.18653346106473256</v>
      </c>
      <c r="Q775" s="19">
        <f ca="1">IF('Stock Price'!$I$11="OK",D775/INDEX(D$5:D$1258,'Stock Price'!$I$9)-1,"")</f>
        <v>-0.23675196453757807</v>
      </c>
      <c r="R775" s="19">
        <f ca="1">IF('Stock Price'!$I$11="OK",E775/INDEX(E$5:E$1258,'Stock Price'!$I$9)-1,"")</f>
        <v>-0.21652089407191444</v>
      </c>
      <c r="S775" s="19">
        <f ca="1">IF('Stock Price'!$I$11="OK",F775/INDEX(F$5:F$1258,'Stock Price'!$I$9)-1,"")</f>
        <v>0.12709931577856115</v>
      </c>
      <c r="T775" s="19">
        <f ca="1">IF('Stock Price'!$I$11="OK",G775/INDEX(G$5:G$1258,'Stock Price'!$I$9)-1,"")</f>
        <v>-0.31302631578947371</v>
      </c>
      <c r="U775" s="19">
        <f ca="1">IF('Stock Price'!$I$11="OK",H775/INDEX(H$5:H$1258,'Stock Price'!$I$9)-1,"")</f>
        <v>-2.0854861437294536E-2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110.53</v>
      </c>
      <c r="C776" s="18">
        <v>149.65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-0.20217987584813046</v>
      </c>
      <c r="P776" s="19">
        <f ca="1">IF('Stock Price'!$I$11="OK",C776/INDEX(C$5:C$1258,'Stock Price'!$I$9)-1,"")</f>
        <v>-0.18078554810455727</v>
      </c>
      <c r="Q776" s="19">
        <f ca="1">IF('Stock Price'!$I$11="OK",D776/INDEX(D$5:D$1258,'Stock Price'!$I$9)-1,"")</f>
        <v>-0.23090872456175704</v>
      </c>
      <c r="R776" s="19">
        <f ca="1">IF('Stock Price'!$I$11="OK",E776/INDEX(E$5:E$1258,'Stock Price'!$I$9)-1,"")</f>
        <v>-0.22546161321671532</v>
      </c>
      <c r="S776" s="19">
        <f ca="1">IF('Stock Price'!$I$11="OK",F776/INDEX(F$5:F$1258,'Stock Price'!$I$9)-1,"")</f>
        <v>0.1161103047895502</v>
      </c>
      <c r="T776" s="19">
        <f ca="1">IF('Stock Price'!$I$11="OK",G776/INDEX(G$5:G$1258,'Stock Price'!$I$9)-1,"")</f>
        <v>-0.32763157894736838</v>
      </c>
      <c r="U776" s="19">
        <f ca="1">IF('Stock Price'!$I$11="OK",H776/INDEX(H$5:H$1258,'Stock Price'!$I$9)-1,"")</f>
        <v>-2.5551902301550022E-2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109.91</v>
      </c>
      <c r="C777" s="18">
        <v>149.5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-0.20665511765555067</v>
      </c>
      <c r="P777" s="19">
        <f ca="1">IF('Stock Price'!$I$11="OK",C777/INDEX(C$5:C$1258,'Stock Price'!$I$9)-1,"")</f>
        <v>-0.1816066785274395</v>
      </c>
      <c r="Q777" s="19">
        <f ca="1">IF('Stock Price'!$I$11="OK",D777/INDEX(D$5:D$1258,'Stock Price'!$I$9)-1,"")</f>
        <v>-0.2542816844650414</v>
      </c>
      <c r="R777" s="19">
        <f ca="1">IF('Stock Price'!$I$11="OK",E777/INDEX(E$5:E$1258,'Stock Price'!$I$9)-1,"")</f>
        <v>-0.23304178814382903</v>
      </c>
      <c r="S777" s="19">
        <f ca="1">IF('Stock Price'!$I$11="OK",F777/INDEX(F$5:F$1258,'Stock Price'!$I$9)-1,"")</f>
        <v>0.10823139125025927</v>
      </c>
      <c r="T777" s="19">
        <f ca="1">IF('Stock Price'!$I$11="OK",G777/INDEX(G$5:G$1258,'Stock Price'!$I$9)-1,"")</f>
        <v>-0.34223684210526317</v>
      </c>
      <c r="U777" s="19">
        <f ca="1">IF('Stock Price'!$I$11="OK",H777/INDEX(H$5:H$1258,'Stock Price'!$I$9)-1,"")</f>
        <v>-1.5218412400187953E-2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108.4</v>
      </c>
      <c r="C778" s="18">
        <v>141.9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-0.21755449689620321</v>
      </c>
      <c r="P778" s="19">
        <f ca="1">IF('Stock Price'!$I$11="OK",C778/INDEX(C$5:C$1258,'Stock Price'!$I$9)-1,"")</f>
        <v>-0.22321061995346925</v>
      </c>
      <c r="Q778" s="19">
        <f ca="1">IF('Stock Price'!$I$11="OK",D778/INDEX(D$5:D$1258,'Stock Price'!$I$9)-1,"")</f>
        <v>-0.25931896030626644</v>
      </c>
      <c r="R778" s="19">
        <f ca="1">IF('Stock Price'!$I$11="OK",E778/INDEX(E$5:E$1258,'Stock Price'!$I$9)-1,"")</f>
        <v>-0.24567541302235174</v>
      </c>
      <c r="S778" s="19">
        <f ca="1">IF('Stock Price'!$I$11="OK",F778/INDEX(F$5:F$1258,'Stock Price'!$I$9)-1,"")</f>
        <v>9.641302094132298E-2</v>
      </c>
      <c r="T778" s="19">
        <f ca="1">IF('Stock Price'!$I$11="OK",G778/INDEX(G$5:G$1258,'Stock Price'!$I$9)-1,"")</f>
        <v>-0.34749999999999992</v>
      </c>
      <c r="U778" s="19">
        <f ca="1">IF('Stock Price'!$I$11="OK",H778/INDEX(H$5:H$1258,'Stock Price'!$I$9)-1,"")</f>
        <v>-3.8797557538750693E-2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109.35</v>
      </c>
      <c r="C779" s="18">
        <v>142.85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-0.21069727154612383</v>
      </c>
      <c r="P779" s="19">
        <f ca="1">IF('Stock Price'!$I$11="OK",C779/INDEX(C$5:C$1258,'Stock Price'!$I$9)-1,"")</f>
        <v>-0.21801012727521563</v>
      </c>
      <c r="Q779" s="19">
        <f ca="1">IF('Stock Price'!$I$11="OK",D779/INDEX(D$5:D$1258,'Stock Price'!$I$9)-1,"")</f>
        <v>-0.25690106790247835</v>
      </c>
      <c r="R779" s="19">
        <f ca="1">IF('Stock Price'!$I$11="OK",E779/INDEX(E$5:E$1258,'Stock Price'!$I$9)-1,"")</f>
        <v>-0.23692905733722069</v>
      </c>
      <c r="S779" s="19">
        <f ca="1">IF('Stock Price'!$I$11="OK",F779/INDEX(F$5:F$1258,'Stock Price'!$I$9)-1,"")</f>
        <v>0.10449927431059525</v>
      </c>
      <c r="T779" s="19">
        <f ca="1">IF('Stock Price'!$I$11="OK",G779/INDEX(G$5:G$1258,'Stock Price'!$I$9)-1,"")</f>
        <v>-0.33947368421052626</v>
      </c>
      <c r="U779" s="19">
        <f ca="1">IF('Stock Price'!$I$11="OK",H779/INDEX(H$5:H$1258,'Stock Price'!$I$9)-1,"")</f>
        <v>-4.2930953499295543E-2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110.52</v>
      </c>
      <c r="C780" s="18">
        <v>142.43270000000001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-0.20225205716760497</v>
      </c>
      <c r="P780" s="19">
        <f ca="1">IF('Stock Price'!$I$11="OK",C780/INDEX(C$5:C$1258,'Stock Price'!$I$9)-1,"")</f>
        <v>-0.22029451211167372</v>
      </c>
      <c r="Q780" s="19">
        <f ca="1">IF('Stock Price'!$I$11="OK",D780/INDEX(D$5:D$1258,'Stock Price'!$I$9)-1,"")</f>
        <v>-0.2550876485996374</v>
      </c>
      <c r="R780" s="19">
        <f ca="1">IF('Stock Price'!$I$11="OK",E780/INDEX(E$5:E$1258,'Stock Price'!$I$9)-1,"")</f>
        <v>-0.23362487852283775</v>
      </c>
      <c r="S780" s="19">
        <f ca="1">IF('Stock Price'!$I$11="OK",F780/INDEX(F$5:F$1258,'Stock Price'!$I$9)-1,"")</f>
        <v>9.7864399751192321E-2</v>
      </c>
      <c r="T780" s="19">
        <f ca="1">IF('Stock Price'!$I$11="OK",G780/INDEX(G$5:G$1258,'Stock Price'!$I$9)-1,"")</f>
        <v>-0.34881578947368419</v>
      </c>
      <c r="U780" s="19">
        <f ca="1">IF('Stock Price'!$I$11="OK",H780/INDEX(H$5:H$1258,'Stock Price'!$I$9)-1,"")</f>
        <v>-4.302489431658052E-2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109.38</v>
      </c>
      <c r="C781" s="18">
        <v>131.03989999999999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-0.21048072758770031</v>
      </c>
      <c r="P781" s="19">
        <f ca="1">IF('Stock Price'!$I$11="OK",C781/INDEX(C$5:C$1258,'Stock Price'!$I$9)-1,"")</f>
        <v>-0.28266100999042021</v>
      </c>
      <c r="Q781" s="19">
        <f ca="1">IF('Stock Price'!$I$11="OK",D781/INDEX(D$5:D$1258,'Stock Price'!$I$9)-1,"")</f>
        <v>-0.25408019343139232</v>
      </c>
      <c r="R781" s="19">
        <f ca="1">IF('Stock Price'!$I$11="OK",E781/INDEX(E$5:E$1258,'Stock Price'!$I$9)-1,"")</f>
        <v>-0.24373177842565608</v>
      </c>
      <c r="S781" s="19">
        <f ca="1">IF('Stock Price'!$I$11="OK",F781/INDEX(F$5:F$1258,'Stock Price'!$I$9)-1,"")</f>
        <v>9.5791001451378976E-2</v>
      </c>
      <c r="T781" s="19">
        <f ca="1">IF('Stock Price'!$I$11="OK",G781/INDEX(G$5:G$1258,'Stock Price'!$I$9)-1,"")</f>
        <v>-0.35315789473684212</v>
      </c>
      <c r="U781" s="19">
        <f ca="1">IF('Stock Price'!$I$11="OK",H781/INDEX(H$5:H$1258,'Stock Price'!$I$9)-1,"")</f>
        <v>-4.5091592296853E-2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106.81</v>
      </c>
      <c r="C782" s="18">
        <v>126.5399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-0.22903132669265192</v>
      </c>
      <c r="P782" s="19">
        <f ca="1">IF('Stock Price'!$I$11="OK",C782/INDEX(C$5:C$1258,'Stock Price'!$I$9)-1,"")</f>
        <v>-0.30729492267688518</v>
      </c>
      <c r="Q782" s="19">
        <f ca="1">IF('Stock Price'!$I$11="OK",D782/INDEX(D$5:D$1258,'Stock Price'!$I$9)-1,"")</f>
        <v>-0.27664718920008069</v>
      </c>
      <c r="R782" s="19">
        <f ca="1">IF('Stock Price'!$I$11="OK",E782/INDEX(E$5:E$1258,'Stock Price'!$I$9)-1,"")</f>
        <v>-0.26588921282798827</v>
      </c>
      <c r="S782" s="19">
        <f ca="1">IF('Stock Price'!$I$11="OK",F782/INDEX(F$5:F$1258,'Stock Price'!$I$9)-1,"")</f>
        <v>6.2823968484345905E-2</v>
      </c>
      <c r="T782" s="19">
        <f ca="1">IF('Stock Price'!$I$11="OK",G782/INDEX(G$5:G$1258,'Stock Price'!$I$9)-1,"")</f>
        <v>-0.36986842105263162</v>
      </c>
      <c r="U782" s="19">
        <f ca="1">IF('Stock Price'!$I$11="OK",H782/INDEX(H$5:H$1258,'Stock Price'!$I$9)-1,"")</f>
        <v>-5.3734147487083161E-2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107.08</v>
      </c>
      <c r="C783" s="18">
        <v>126.55500000000001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-0.2270824310668399</v>
      </c>
      <c r="P783" s="19">
        <f ca="1">IF('Stock Price'!$I$11="OK",C783/INDEX(C$5:C$1258,'Stock Price'!$I$9)-1,"")</f>
        <v>-0.30721226221431508</v>
      </c>
      <c r="Q783" s="19">
        <f ca="1">IF('Stock Price'!$I$11="OK",D783/INDEX(D$5:D$1258,'Stock Price'!$I$9)-1,"")</f>
        <v>-0.26133387064275648</v>
      </c>
      <c r="R783" s="19">
        <f ca="1">IF('Stock Price'!$I$11="OK",E783/INDEX(E$5:E$1258,'Stock Price'!$I$9)-1,"")</f>
        <v>-0.25811467444120506</v>
      </c>
      <c r="S783" s="19">
        <f ca="1">IF('Stock Price'!$I$11="OK",F783/INDEX(F$5:F$1258,'Stock Price'!$I$9)-1,"")</f>
        <v>7.2568940493468848E-2</v>
      </c>
      <c r="T783" s="19">
        <f ca="1">IF('Stock Price'!$I$11="OK",G783/INDEX(G$5:G$1258,'Stock Price'!$I$9)-1,"")</f>
        <v>-0.3588157894736842</v>
      </c>
      <c r="U783" s="19">
        <f ca="1">IF('Stock Price'!$I$11="OK",H783/INDEX(H$5:H$1258,'Stock Price'!$I$9)-1,"")</f>
        <v>-4.9600751526538311E-2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106.45</v>
      </c>
      <c r="C784" s="18">
        <v>127.74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-0.23162985419373461</v>
      </c>
      <c r="P784" s="19">
        <f ca="1">IF('Stock Price'!$I$11="OK",C784/INDEX(C$5:C$1258,'Stock Price'!$I$9)-1,"")</f>
        <v>-0.300725331873546</v>
      </c>
      <c r="Q784" s="19">
        <f ca="1">IF('Stock Price'!$I$11="OK",D784/INDEX(D$5:D$1258,'Stock Price'!$I$9)-1,"")</f>
        <v>-0.2687890388877695</v>
      </c>
      <c r="R784" s="19">
        <f ca="1">IF('Stock Price'!$I$11="OK",E784/INDEX(E$5:E$1258,'Stock Price'!$I$9)-1,"")</f>
        <v>-0.26899902818270172</v>
      </c>
      <c r="S784" s="19">
        <f ca="1">IF('Stock Price'!$I$11="OK",F784/INDEX(F$5:F$1258,'Stock Price'!$I$9)-1,"")</f>
        <v>6.4068007464233911E-2</v>
      </c>
      <c r="T784" s="19">
        <f ca="1">IF('Stock Price'!$I$11="OK",G784/INDEX(G$5:G$1258,'Stock Price'!$I$9)-1,"")</f>
        <v>-0.36631578947368426</v>
      </c>
      <c r="U784" s="19">
        <f ca="1">IF('Stock Price'!$I$11="OK",H784/INDEX(H$5:H$1258,'Stock Price'!$I$9)-1,"")</f>
        <v>-3.3161108501643999E-2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105.67</v>
      </c>
      <c r="C785" s="18">
        <v>126.8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-0.23725999711274715</v>
      </c>
      <c r="P785" s="19">
        <f ca="1">IF('Stock Price'!$I$11="OK",C785/INDEX(C$5:C$1258,'Stock Price'!$I$9)-1,"")</f>
        <v>-0.30587108252360751</v>
      </c>
      <c r="Q785" s="19">
        <f ca="1">IF('Stock Price'!$I$11="OK",D785/INDEX(D$5:D$1258,'Stock Price'!$I$9)-1,"")</f>
        <v>-0.26758009268587546</v>
      </c>
      <c r="R785" s="19">
        <f ca="1">IF('Stock Price'!$I$11="OK",E785/INDEX(E$5:E$1258,'Stock Price'!$I$9)-1,"")</f>
        <v>-0.26880466472303211</v>
      </c>
      <c r="S785" s="19">
        <f ca="1">IF('Stock Price'!$I$11="OK",F785/INDEX(F$5:F$1258,'Stock Price'!$I$9)-1,"")</f>
        <v>4.9554219365540053E-2</v>
      </c>
      <c r="T785" s="19">
        <f ca="1">IF('Stock Price'!$I$11="OK",G785/INDEX(G$5:G$1258,'Stock Price'!$I$9)-1,"")</f>
        <v>-0.35736842105263156</v>
      </c>
      <c r="U785" s="19">
        <f ca="1">IF('Stock Price'!$I$11="OK",H785/INDEX(H$5:H$1258,'Stock Price'!$I$9)-1,"")</f>
        <v>-5.3734147487083161E-2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104.92</v>
      </c>
      <c r="C786" s="18">
        <v>128.41489999999999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-0.24267359607333616</v>
      </c>
      <c r="P786" s="19">
        <f ca="1">IF('Stock Price'!$I$11="OK",C786/INDEX(C$5:C$1258,'Stock Price'!$I$9)-1,"")</f>
        <v>-0.29703079239085817</v>
      </c>
      <c r="Q786" s="19">
        <f ca="1">IF('Stock Price'!$I$11="OK",D786/INDEX(D$5:D$1258,'Stock Price'!$I$9)-1,"")</f>
        <v>-0.28430384847874268</v>
      </c>
      <c r="R786" s="19">
        <f ca="1">IF('Stock Price'!$I$11="OK",E786/INDEX(E$5:E$1258,'Stock Price'!$I$9)-1,"")</f>
        <v>-0.27405247813411082</v>
      </c>
      <c r="S786" s="19">
        <f ca="1">IF('Stock Price'!$I$11="OK",F786/INDEX(F$5:F$1258,'Stock Price'!$I$9)-1,"")</f>
        <v>3.9601907526435998E-2</v>
      </c>
      <c r="T786" s="19">
        <f ca="1">IF('Stock Price'!$I$11="OK",G786/INDEX(G$5:G$1258,'Stock Price'!$I$9)-1,"")</f>
        <v>-0.45052631578947366</v>
      </c>
      <c r="U786" s="19">
        <f ca="1">IF('Stock Price'!$I$11="OK",H786/INDEX(H$5:H$1258,'Stock Price'!$I$9)-1,"")</f>
        <v>-7.3931423203381863E-2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103.86</v>
      </c>
      <c r="C787" s="18">
        <v>129.19990000000001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-0.25032481593763534</v>
      </c>
      <c r="P787" s="19">
        <f ca="1">IF('Stock Price'!$I$11="OK",C787/INDEX(C$5:C$1258,'Stock Price'!$I$9)-1,"")</f>
        <v>-0.29273354317777467</v>
      </c>
      <c r="Q787" s="19">
        <f ca="1">IF('Stock Price'!$I$11="OK",D787/INDEX(D$5:D$1258,'Stock Price'!$I$9)-1,"")</f>
        <v>-0.29256498085835181</v>
      </c>
      <c r="R787" s="19">
        <f ca="1">IF('Stock Price'!$I$11="OK",E787/INDEX(E$5:E$1258,'Stock Price'!$I$9)-1,"")</f>
        <v>-0.28046647230320698</v>
      </c>
      <c r="S787" s="19">
        <f ca="1">IF('Stock Price'!$I$11="OK",F787/INDEX(F$5:F$1258,'Stock Price'!$I$9)-1,"")</f>
        <v>2.6539498237611481E-2</v>
      </c>
      <c r="T787" s="19">
        <f ca="1">IF('Stock Price'!$I$11="OK",G787/INDEX(G$5:G$1258,'Stock Price'!$I$9)-1,"")</f>
        <v>-0.4698684210526316</v>
      </c>
      <c r="U787" s="19">
        <f ca="1">IF('Stock Price'!$I$11="OK",H787/INDEX(H$5:H$1258,'Stock Price'!$I$9)-1,"")</f>
        <v>-7.4682949741662785E-2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103.4</v>
      </c>
      <c r="C788" s="18">
        <v>130.24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-0.25364515663346321</v>
      </c>
      <c r="P788" s="19">
        <f ca="1">IF('Stock Price'!$I$11="OK",C788/INDEX(C$5:C$1258,'Stock Price'!$I$9)-1,"")</f>
        <v>-0.28703982482550983</v>
      </c>
      <c r="Q788" s="19">
        <f ca="1">IF('Stock Price'!$I$11="OK",D788/INDEX(D$5:D$1258,'Stock Price'!$I$9)-1,"")</f>
        <v>-0.30707233528108002</v>
      </c>
      <c r="R788" s="19">
        <f ca="1">IF('Stock Price'!$I$11="OK",E788/INDEX(E$5:E$1258,'Stock Price'!$I$9)-1,"")</f>
        <v>-0.2975704567541303</v>
      </c>
      <c r="S788" s="19">
        <f ca="1">IF('Stock Price'!$I$11="OK",F788/INDEX(F$5:F$1258,'Stock Price'!$I$9)-1,"")</f>
        <v>-8.5009330292348251E-3</v>
      </c>
      <c r="T788" s="19">
        <f ca="1">IF('Stock Price'!$I$11="OK",G788/INDEX(G$5:G$1258,'Stock Price'!$I$9)-1,"")</f>
        <v>-0.46052631578947367</v>
      </c>
      <c r="U788" s="19">
        <f ca="1">IF('Stock Price'!$I$11="OK",H788/INDEX(H$5:H$1258,'Stock Price'!$I$9)-1,"")</f>
        <v>-7.5998121183654344E-2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103.06</v>
      </c>
      <c r="C789" s="18">
        <v>127.96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-0.25609932149559689</v>
      </c>
      <c r="P789" s="19">
        <f ca="1">IF('Stock Price'!$I$11="OK",C789/INDEX(C$5:C$1258,'Stock Price'!$I$9)-1,"")</f>
        <v>-0.29952100725331876</v>
      </c>
      <c r="Q789" s="19">
        <f ca="1">IF('Stock Price'!$I$11="OK",D789/INDEX(D$5:D$1258,'Stock Price'!$I$9)-1,"")</f>
        <v>-0.32802740278057629</v>
      </c>
      <c r="R789" s="19">
        <f ca="1">IF('Stock Price'!$I$11="OK",E789/INDEX(E$5:E$1258,'Stock Price'!$I$9)-1,"")</f>
        <v>-0.30340136054421762</v>
      </c>
      <c r="S789" s="19">
        <f ca="1">IF('Stock Price'!$I$11="OK",F789/INDEX(F$5:F$1258,'Stock Price'!$I$9)-1,"")</f>
        <v>-5.3908355795148077E-3</v>
      </c>
      <c r="T789" s="19">
        <f ca="1">IF('Stock Price'!$I$11="OK",G789/INDEX(G$5:G$1258,'Stock Price'!$I$9)-1,"")</f>
        <v>-0.46565789473684216</v>
      </c>
      <c r="U789" s="19">
        <f ca="1">IF('Stock Price'!$I$11="OK",H789/INDEX(H$5:H$1258,'Stock Price'!$I$9)-1,"")</f>
        <v>-9.5255988727101948E-2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103.04</v>
      </c>
      <c r="C790" s="18">
        <v>125.46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-0.2562436841345459</v>
      </c>
      <c r="P790" s="19">
        <f ca="1">IF('Stock Price'!$I$11="OK",C790/INDEX(C$5:C$1258,'Stock Price'!$I$9)-1,"")</f>
        <v>-0.31320651430135493</v>
      </c>
      <c r="Q790" s="19">
        <f ca="1">IF('Stock Price'!$I$11="OK",D790/INDEX(D$5:D$1258,'Stock Price'!$I$9)-1,"")</f>
        <v>-0.32117670763651029</v>
      </c>
      <c r="R790" s="19">
        <f ca="1">IF('Stock Price'!$I$11="OK",E790/INDEX(E$5:E$1258,'Stock Price'!$I$9)-1,"")</f>
        <v>-0.30670553935860057</v>
      </c>
      <c r="S790" s="19">
        <f ca="1">IF('Stock Price'!$I$11="OK",F790/INDEX(F$5:F$1258,'Stock Price'!$I$9)-1,"")</f>
        <v>5.8055152394775877E-3</v>
      </c>
      <c r="T790" s="19">
        <f ca="1">IF('Stock Price'!$I$11="OK",G790/INDEX(G$5:G$1258,'Stock Price'!$I$9)-1,"")</f>
        <v>-0.46802631578947373</v>
      </c>
      <c r="U790" s="19">
        <f ca="1">IF('Stock Price'!$I$11="OK",H790/INDEX(H$5:H$1258,'Stock Price'!$I$9)-1,"")</f>
        <v>-9.2907468294974205E-2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103.27</v>
      </c>
      <c r="C791" s="18">
        <v>126.02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-0.25458351378663202</v>
      </c>
      <c r="P791" s="19">
        <f ca="1">IF('Stock Price'!$I$11="OK",C791/INDEX(C$5:C$1258,'Stock Price'!$I$9)-1,"")</f>
        <v>-0.31014096072259478</v>
      </c>
      <c r="Q791" s="19">
        <f ca="1">IF('Stock Price'!$I$11="OK",D791/INDEX(D$5:D$1258,'Stock Price'!$I$9)-1,"")</f>
        <v>-0.32581100141043728</v>
      </c>
      <c r="R791" s="19">
        <f ca="1">IF('Stock Price'!$I$11="OK",E791/INDEX(E$5:E$1258,'Stock Price'!$I$9)-1,"")</f>
        <v>-0.31175898931000978</v>
      </c>
      <c r="S791" s="19">
        <f ca="1">IF('Stock Price'!$I$11="OK",F791/INDEX(F$5:F$1258,'Stock Price'!$I$9)-1,"")</f>
        <v>-4.7688160895706933E-3</v>
      </c>
      <c r="T791" s="19">
        <f ca="1">IF('Stock Price'!$I$11="OK",G791/INDEX(G$5:G$1258,'Stock Price'!$I$9)-1,"")</f>
        <v>-0.46960526315789475</v>
      </c>
      <c r="U791" s="19">
        <f ca="1">IF('Stock Price'!$I$11="OK",H791/INDEX(H$5:H$1258,'Stock Price'!$I$9)-1,"")</f>
        <v>-9.309534992954438E-2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103.09</v>
      </c>
      <c r="C792" s="18">
        <v>124.7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-0.25588277753717337</v>
      </c>
      <c r="P792" s="19">
        <f ca="1">IF('Stock Price'!$I$11="OK",C792/INDEX(C$5:C$1258,'Stock Price'!$I$9)-1,"")</f>
        <v>-0.31736690844395787</v>
      </c>
      <c r="Q792" s="19">
        <f ca="1">IF('Stock Price'!$I$11="OK",D792/INDEX(D$5:D$1258,'Stock Price'!$I$9)-1,"")</f>
        <v>-0.32802740278057629</v>
      </c>
      <c r="R792" s="19">
        <f ca="1">IF('Stock Price'!$I$11="OK",E792/INDEX(E$5:E$1258,'Stock Price'!$I$9)-1,"")</f>
        <v>-0.317201166180758</v>
      </c>
      <c r="S792" s="19">
        <f ca="1">IF('Stock Price'!$I$11="OK",F792/INDEX(F$5:F$1258,'Stock Price'!$I$9)-1,"")</f>
        <v>-9.330292349160163E-3</v>
      </c>
      <c r="T792" s="19">
        <f ca="1">IF('Stock Price'!$I$11="OK",G792/INDEX(G$5:G$1258,'Stock Price'!$I$9)-1,"")</f>
        <v>-0.48568421052631583</v>
      </c>
      <c r="U792" s="19">
        <f ca="1">IF('Stock Price'!$I$11="OK",H792/INDEX(H$5:H$1258,'Stock Price'!$I$9)-1,"")</f>
        <v>-8.4640676373884505E-2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103.85</v>
      </c>
      <c r="C793" s="18">
        <v>126.06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-0.25039699725710984</v>
      </c>
      <c r="P793" s="19">
        <f ca="1">IF('Stock Price'!$I$11="OK",C793/INDEX(C$5:C$1258,'Stock Price'!$I$9)-1,"")</f>
        <v>-0.30992199260982622</v>
      </c>
      <c r="Q793" s="19">
        <f ca="1">IF('Stock Price'!$I$11="OK",D793/INDEX(D$5:D$1258,'Stock Price'!$I$9)-1,"")</f>
        <v>-0.3209752166028611</v>
      </c>
      <c r="R793" s="19">
        <f ca="1">IF('Stock Price'!$I$11="OK",E793/INDEX(E$5:E$1258,'Stock Price'!$I$9)-1,"")</f>
        <v>-0.31409135082604478</v>
      </c>
      <c r="S793" s="19">
        <f ca="1">IF('Stock Price'!$I$11="OK",F793/INDEX(F$5:F$1258,'Stock Price'!$I$9)-1,"")</f>
        <v>-5.1834957495334733E-3</v>
      </c>
      <c r="T793" s="19">
        <f ca="1">IF('Stock Price'!$I$11="OK",G793/INDEX(G$5:G$1258,'Stock Price'!$I$9)-1,"")</f>
        <v>-0.48636842105263156</v>
      </c>
      <c r="U793" s="19">
        <f ca="1">IF('Stock Price'!$I$11="OK",H793/INDEX(H$5:H$1258,'Stock Price'!$I$9)-1,"")</f>
        <v>-6.1906998590887774E-2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104.28</v>
      </c>
      <c r="C794" s="18">
        <v>133.93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-0.24729320051970549</v>
      </c>
      <c r="P794" s="19">
        <f ca="1">IF('Stock Price'!$I$11="OK",C794/INDEX(C$5:C$1258,'Stock Price'!$I$9)-1,"")</f>
        <v>-0.26684001642260846</v>
      </c>
      <c r="Q794" s="19">
        <f ca="1">IF('Stock Price'!$I$11="OK",D794/INDEX(D$5:D$1258,'Stock Price'!$I$9)-1,"")</f>
        <v>-0.31573644972798709</v>
      </c>
      <c r="R794" s="19">
        <f ca="1">IF('Stock Price'!$I$11="OK",E794/INDEX(E$5:E$1258,'Stock Price'!$I$9)-1,"")</f>
        <v>-0.31117589893100106</v>
      </c>
      <c r="S794" s="19">
        <f ca="1">IF('Stock Price'!$I$11="OK",F794/INDEX(F$5:F$1258,'Stock Price'!$I$9)-1,"")</f>
        <v>1.0366991499068945E-3</v>
      </c>
      <c r="T794" s="19">
        <f ca="1">IF('Stock Price'!$I$11="OK",G794/INDEX(G$5:G$1258,'Stock Price'!$I$9)-1,"")</f>
        <v>-0.47889473684210526</v>
      </c>
      <c r="U794" s="19">
        <f ca="1">IF('Stock Price'!$I$11="OK",H794/INDEX(H$5:H$1258,'Stock Price'!$I$9)-1,"")</f>
        <v>-6.8294974166275169E-2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103.54</v>
      </c>
      <c r="C795" s="18">
        <v>131.47489999999999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-0.25263461816081989</v>
      </c>
      <c r="P795" s="19">
        <f ca="1">IF('Stock Price'!$I$11="OK",C795/INDEX(C$5:C$1258,'Stock Price'!$I$9)-1,"")</f>
        <v>-0.28027973176406196</v>
      </c>
      <c r="Q795" s="19">
        <f ca="1">IF('Stock Price'!$I$11="OK",D795/INDEX(D$5:D$1258,'Stock Price'!$I$9)-1,"")</f>
        <v>-0.31190812008865609</v>
      </c>
      <c r="R795" s="19">
        <f ca="1">IF('Stock Price'!$I$11="OK",E795/INDEX(E$5:E$1258,'Stock Price'!$I$9)-1,"")</f>
        <v>-0.30767735665694862</v>
      </c>
      <c r="S795" s="19">
        <f ca="1">IF('Stock Price'!$I$11="OK",F795/INDEX(F$5:F$1258,'Stock Price'!$I$9)-1,"")</f>
        <v>2.4880779597762359E-3</v>
      </c>
      <c r="T795" s="19">
        <f ca="1">IF('Stock Price'!$I$11="OK",G795/INDEX(G$5:G$1258,'Stock Price'!$I$9)-1,"")</f>
        <v>-0.47552631578947369</v>
      </c>
      <c r="U795" s="19">
        <f ca="1">IF('Stock Price'!$I$11="OK",H795/INDEX(H$5:H$1258,'Stock Price'!$I$9)-1,"")</f>
        <v>-4.9694692343823399E-2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103.81</v>
      </c>
      <c r="C796" s="18">
        <v>131.36000000000001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-0.25068572253500787</v>
      </c>
      <c r="P796" s="19">
        <f ca="1">IF('Stock Price'!$I$11="OK",C796/INDEX(C$5:C$1258,'Stock Price'!$I$9)-1,"")</f>
        <v>-0.28090871766798953</v>
      </c>
      <c r="Q796" s="19">
        <f ca="1">IF('Stock Price'!$I$11="OK",D796/INDEX(D$5:D$1258,'Stock Price'!$I$9)-1,"")</f>
        <v>-0.31452750352609304</v>
      </c>
      <c r="R796" s="19">
        <f ca="1">IF('Stock Price'!$I$11="OK",E796/INDEX(E$5:E$1258,'Stock Price'!$I$9)-1,"")</f>
        <v>-0.31175898931000978</v>
      </c>
      <c r="S796" s="19">
        <f ca="1">IF('Stock Price'!$I$11="OK",F796/INDEX(F$5:F$1258,'Stock Price'!$I$9)-1,"")</f>
        <v>1.0366991499068945E-3</v>
      </c>
      <c r="T796" s="19">
        <f ca="1">IF('Stock Price'!$I$11="OK",G796/INDEX(G$5:G$1258,'Stock Price'!$I$9)-1,"")</f>
        <v>-0.50273684210526315</v>
      </c>
      <c r="U796" s="19">
        <f ca="1">IF('Stock Price'!$I$11="OK",H796/INDEX(H$5:H$1258,'Stock Price'!$I$9)-1,"")</f>
        <v>-4.5373414748708263E-2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104.87</v>
      </c>
      <c r="C797" s="18">
        <v>134.69999999999999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-0.2430345026707087</v>
      </c>
      <c r="P797" s="19">
        <f ca="1">IF('Stock Price'!$I$11="OK",C797/INDEX(C$5:C$1258,'Stock Price'!$I$9)-1,"")</f>
        <v>-0.26262488025181341</v>
      </c>
      <c r="Q797" s="19">
        <f ca="1">IF('Stock Price'!$I$11="OK",D797/INDEX(D$5:D$1258,'Stock Price'!$I$9)-1,"")</f>
        <v>-0.30828128148297407</v>
      </c>
      <c r="R797" s="19">
        <f ca="1">IF('Stock Price'!$I$11="OK",E797/INDEX(E$5:E$1258,'Stock Price'!$I$9)-1,"")</f>
        <v>-0.30553935860058323</v>
      </c>
      <c r="S797" s="19">
        <f ca="1">IF('Stock Price'!$I$11="OK",F797/INDEX(F$5:F$1258,'Stock Price'!$I$9)-1,"")</f>
        <v>1.0159651669085612E-2</v>
      </c>
      <c r="T797" s="19">
        <f ca="1">IF('Stock Price'!$I$11="OK",G797/INDEX(G$5:G$1258,'Stock Price'!$I$9)-1,"")</f>
        <v>-0.49589473684210528</v>
      </c>
      <c r="U797" s="19">
        <f ca="1">IF('Stock Price'!$I$11="OK",H797/INDEX(H$5:H$1258,'Stock Price'!$I$9)-1,"")</f>
        <v>-3.1282292155941693E-2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105.77</v>
      </c>
      <c r="C798" s="18">
        <v>136.5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-0.23653818391800197</v>
      </c>
      <c r="P798" s="19">
        <f ca="1">IF('Stock Price'!$I$11="OK",C798/INDEX(C$5:C$1258,'Stock Price'!$I$9)-1,"")</f>
        <v>-0.2527713151772274</v>
      </c>
      <c r="Q798" s="19">
        <f ca="1">IF('Stock Price'!$I$11="OK",D798/INDEX(D$5:D$1258,'Stock Price'!$I$9)-1,"")</f>
        <v>-0.31231110215595403</v>
      </c>
      <c r="R798" s="19">
        <f ca="1">IF('Stock Price'!$I$11="OK",E798/INDEX(E$5:E$1258,'Stock Price'!$I$9)-1,"")</f>
        <v>-0.29562682215743441</v>
      </c>
      <c r="S798" s="19">
        <f ca="1">IF('Stock Price'!$I$11="OK",F798/INDEX(F$5:F$1258,'Stock Price'!$I$9)-1,"")</f>
        <v>5.3908355795149188E-3</v>
      </c>
      <c r="T798" s="19">
        <f ca="1">IF('Stock Price'!$I$11="OK",G798/INDEX(G$5:G$1258,'Stock Price'!$I$9)-1,"")</f>
        <v>-0.48978947368421044</v>
      </c>
      <c r="U798" s="19">
        <f ca="1">IF('Stock Price'!$I$11="OK",H798/INDEX(H$5:H$1258,'Stock Price'!$I$9)-1,"")</f>
        <v>-4.5185533114138088E-2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104.8</v>
      </c>
      <c r="C799" s="18">
        <v>135.62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-0.24353977190703047</v>
      </c>
      <c r="P799" s="19">
        <f ca="1">IF('Stock Price'!$I$11="OK",C799/INDEX(C$5:C$1258,'Stock Price'!$I$9)-1,"")</f>
        <v>-0.25758861365813601</v>
      </c>
      <c r="Q799" s="19">
        <f ca="1">IF('Stock Price'!$I$11="OK",D799/INDEX(D$5:D$1258,'Stock Price'!$I$9)-1,"")</f>
        <v>-0.30868426355027201</v>
      </c>
      <c r="R799" s="19">
        <f ca="1">IF('Stock Price'!$I$11="OK",E799/INDEX(E$5:E$1258,'Stock Price'!$I$9)-1,"")</f>
        <v>-0.29873663751214774</v>
      </c>
      <c r="S799" s="19">
        <f ca="1">IF('Stock Price'!$I$11="OK",F799/INDEX(F$5:F$1258,'Stock Price'!$I$9)-1,"")</f>
        <v>-5.5981754094960312E-3</v>
      </c>
      <c r="T799" s="19">
        <f ca="1">IF('Stock Price'!$I$11="OK",G799/INDEX(G$5:G$1258,'Stock Price'!$I$9)-1,"")</f>
        <v>-0.49247368421052629</v>
      </c>
      <c r="U799" s="19">
        <f ca="1">IF('Stock Price'!$I$11="OK",H799/INDEX(H$5:H$1258,'Stock Price'!$I$9)-1,"")</f>
        <v>-5.4861437294504545E-2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104.56</v>
      </c>
      <c r="C800" s="18">
        <v>134.59989999999999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-0.24527212357441885</v>
      </c>
      <c r="P800" s="19">
        <f ca="1">IF('Stock Price'!$I$11="OK",C800/INDEX(C$5:C$1258,'Stock Price'!$I$9)-1,"")</f>
        <v>-0.26317284795401674</v>
      </c>
      <c r="Q800" s="19">
        <f ca="1">IF('Stock Price'!$I$11="OK",D800/INDEX(D$5:D$1258,'Stock Price'!$I$9)-1,"")</f>
        <v>-0.29679629256498097</v>
      </c>
      <c r="R800" s="19">
        <f ca="1">IF('Stock Price'!$I$11="OK",E800/INDEX(E$5:E$1258,'Stock Price'!$I$9)-1,"")</f>
        <v>-0.30184645286686107</v>
      </c>
      <c r="S800" s="19">
        <f ca="1">IF('Stock Price'!$I$11="OK",F800/INDEX(F$5:F$1258,'Stock Price'!$I$9)-1,"")</f>
        <v>-1.2440389798878959E-3</v>
      </c>
      <c r="T800" s="19">
        <f ca="1">IF('Stock Price'!$I$11="OK",G800/INDEX(G$5:G$1258,'Stock Price'!$I$9)-1,"")</f>
        <v>-0.49384210526315786</v>
      </c>
      <c r="U800" s="19">
        <f ca="1">IF('Stock Price'!$I$11="OK",H800/INDEX(H$5:H$1258,'Stock Price'!$I$9)-1,"")</f>
        <v>-4.3212775951150806E-2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101.84</v>
      </c>
      <c r="C801" s="18">
        <v>130.35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-0.26490544247148828</v>
      </c>
      <c r="P801" s="19">
        <f ca="1">IF('Stock Price'!$I$11="OK",C801/INDEX(C$5:C$1258,'Stock Price'!$I$9)-1,"")</f>
        <v>-0.28643766251539626</v>
      </c>
      <c r="Q801" s="19">
        <f ca="1">IF('Stock Price'!$I$11="OK",D801/INDEX(D$5:D$1258,'Stock Price'!$I$9)-1,"")</f>
        <v>-0.30687084424743105</v>
      </c>
      <c r="R801" s="19">
        <f ca="1">IF('Stock Price'!$I$11="OK",E801/INDEX(E$5:E$1258,'Stock Price'!$I$9)-1,"")</f>
        <v>-0.30242954324586979</v>
      </c>
      <c r="S801" s="19">
        <f ca="1">IF('Stock Price'!$I$11="OK",F801/INDEX(F$5:F$1258,'Stock Price'!$I$9)-1,"")</f>
        <v>-4.5614762595894698E-3</v>
      </c>
      <c r="T801" s="19">
        <f ca="1">IF('Stock Price'!$I$11="OK",G801/INDEX(G$5:G$1258,'Stock Price'!$I$9)-1,"")</f>
        <v>-0.49315789473684202</v>
      </c>
      <c r="U801" s="19">
        <f ca="1">IF('Stock Price'!$I$11="OK",H801/INDEX(H$5:H$1258,'Stock Price'!$I$9)-1,"")</f>
        <v>-4.7721935180836006E-2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102.52</v>
      </c>
      <c r="C802" s="18">
        <v>133.52000000000001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-0.25999711274722104</v>
      </c>
      <c r="P802" s="19">
        <f ca="1">IF('Stock Price'!$I$11="OK",C802/INDEX(C$5:C$1258,'Stock Price'!$I$9)-1,"")</f>
        <v>-0.26908443957848638</v>
      </c>
      <c r="Q802" s="19">
        <f ca="1">IF('Stock Price'!$I$11="OK",D802/INDEX(D$5:D$1258,'Stock Price'!$I$9)-1,"")</f>
        <v>-0.30425146080999399</v>
      </c>
      <c r="R802" s="19">
        <f ca="1">IF('Stock Price'!$I$11="OK",E802/INDEX(E$5:E$1258,'Stock Price'!$I$9)-1,"")</f>
        <v>-0.29426627793974736</v>
      </c>
      <c r="S802" s="19">
        <f ca="1">IF('Stock Price'!$I$11="OK",F802/INDEX(F$5:F$1258,'Stock Price'!$I$9)-1,"")</f>
        <v>5.8055152394775877E-3</v>
      </c>
      <c r="T802" s="19">
        <f ca="1">IF('Stock Price'!$I$11="OK",G802/INDEX(G$5:G$1258,'Stock Price'!$I$9)-1,"")</f>
        <v>-0.48684210526315785</v>
      </c>
      <c r="U802" s="19">
        <f ca="1">IF('Stock Price'!$I$11="OK",H802/INDEX(H$5:H$1258,'Stock Price'!$I$9)-1,"")</f>
        <v>-2.7242837012682042E-2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101.99</v>
      </c>
      <c r="C803" s="18">
        <v>134.86000000000001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-0.26382272267937057</v>
      </c>
      <c r="P803" s="19">
        <f ca="1">IF('Stock Price'!$I$11="OK",C803/INDEX(C$5:C$1258,'Stock Price'!$I$9)-1,"")</f>
        <v>-0.26174900780073895</v>
      </c>
      <c r="Q803" s="19">
        <f ca="1">IF('Stock Price'!$I$11="OK",D803/INDEX(D$5:D$1258,'Stock Price'!$I$9)-1,"")</f>
        <v>-0.303445496675398</v>
      </c>
      <c r="R803" s="19">
        <f ca="1">IF('Stock Price'!$I$11="OK",E803/INDEX(E$5:E$1258,'Stock Price'!$I$9)-1,"")</f>
        <v>-0.2903790087463558</v>
      </c>
      <c r="S803" s="19">
        <f ca="1">IF('Stock Price'!$I$11="OK",F803/INDEX(F$5:F$1258,'Stock Price'!$I$9)-1,"")</f>
        <v>4.7688160895709153E-3</v>
      </c>
      <c r="T803" s="19">
        <f ca="1">IF('Stock Price'!$I$11="OK",G803/INDEX(G$5:G$1258,'Stock Price'!$I$9)-1,"")</f>
        <v>-0.47328947368421048</v>
      </c>
      <c r="U803" s="19">
        <f ca="1">IF('Stock Price'!$I$11="OK",H803/INDEX(H$5:H$1258,'Stock Price'!$I$9)-1,"")</f>
        <v>-3.1564114607797067E-2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101.68</v>
      </c>
      <c r="C804" s="18">
        <v>136.25989999999999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-0.26606034358308062</v>
      </c>
      <c r="P804" s="19">
        <f ca="1">IF('Stock Price'!$I$11="OK",C804/INDEX(C$5:C$1258,'Stock Price'!$I$9)-1,"")</f>
        <v>-0.25408567127412085</v>
      </c>
      <c r="Q804" s="19">
        <f ca="1">IF('Stock Price'!$I$11="OK",D804/INDEX(D$5:D$1258,'Stock Price'!$I$9)-1,"")</f>
        <v>-0.27483376989723962</v>
      </c>
      <c r="R804" s="19">
        <f ca="1">IF('Stock Price'!$I$11="OK",E804/INDEX(E$5:E$1258,'Stock Price'!$I$9)-1,"")</f>
        <v>-0.29115646258503403</v>
      </c>
      <c r="S804" s="19">
        <f ca="1">IF('Stock Price'!$I$11="OK",F804/INDEX(F$5:F$1258,'Stock Price'!$I$9)-1,"")</f>
        <v>4.1467965996269118E-3</v>
      </c>
      <c r="T804" s="19">
        <f ca="1">IF('Stock Price'!$I$11="OK",G804/INDEX(G$5:G$1258,'Stock Price'!$I$9)-1,"")</f>
        <v>-0.4676315789473684</v>
      </c>
      <c r="U804" s="19">
        <f ca="1">IF('Stock Price'!$I$11="OK",H804/INDEX(H$5:H$1258,'Stock Price'!$I$9)-1,"")</f>
        <v>-2.4988257397839275E-2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100.13</v>
      </c>
      <c r="C805" s="18">
        <v>134.09989999999999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-0.2772484481016313</v>
      </c>
      <c r="P805" s="19">
        <f ca="1">IF('Stock Price'!$I$11="OK",C805/INDEX(C$5:C$1258,'Stock Price'!$I$9)-1,"")</f>
        <v>-0.265909949363624</v>
      </c>
      <c r="Q805" s="19">
        <f ca="1">IF('Stock Price'!$I$11="OK",D805/INDEX(D$5:D$1258,'Stock Price'!$I$9)-1,"")</f>
        <v>-0.29055007052186177</v>
      </c>
      <c r="R805" s="19">
        <f ca="1">IF('Stock Price'!$I$11="OK",E805/INDEX(E$5:E$1258,'Stock Price'!$I$9)-1,"")</f>
        <v>-0.3072886297376094</v>
      </c>
      <c r="S805" s="19">
        <f ca="1">IF('Stock Price'!$I$11="OK",F805/INDEX(F$5:F$1258,'Stock Price'!$I$9)-1,"")</f>
        <v>-3.1100974497200173E-3</v>
      </c>
      <c r="T805" s="19">
        <f ca="1">IF('Stock Price'!$I$11="OK",G805/INDEX(G$5:G$1258,'Stock Price'!$I$9)-1,"")</f>
        <v>-0.46618421052631576</v>
      </c>
      <c r="U805" s="19">
        <f ca="1">IF('Stock Price'!$I$11="OK",H805/INDEX(H$5:H$1258,'Stock Price'!$I$9)-1,"")</f>
        <v>-5.1197745420385132E-2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99.17</v>
      </c>
      <c r="C806" s="18">
        <v>138.1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-0.28417785477118518</v>
      </c>
      <c r="P806" s="19">
        <f ca="1">IF('Stock Price'!$I$11="OK",C806/INDEX(C$5:C$1258,'Stock Price'!$I$9)-1,"")</f>
        <v>-0.24401259066648429</v>
      </c>
      <c r="Q806" s="19">
        <f ca="1">IF('Stock Price'!$I$11="OK",D806/INDEX(D$5:D$1258,'Stock Price'!$I$9)-1,"")</f>
        <v>-0.30586338907918598</v>
      </c>
      <c r="R806" s="19">
        <f ca="1">IF('Stock Price'!$I$11="OK",E806/INDEX(E$5:E$1258,'Stock Price'!$I$9)-1,"")</f>
        <v>-0.30029154518950441</v>
      </c>
      <c r="S806" s="19">
        <f ca="1">IF('Stock Price'!$I$11="OK",F806/INDEX(F$5:F$1258,'Stock Price'!$I$9)-1,"")</f>
        <v>-4.9761559195520277E-3</v>
      </c>
      <c r="T806" s="19">
        <f ca="1">IF('Stock Price'!$I$11="OK",G806/INDEX(G$5:G$1258,'Stock Price'!$I$9)-1,"")</f>
        <v>-0.47378947368421054</v>
      </c>
      <c r="U806" s="19">
        <f ca="1">IF('Stock Price'!$I$11="OK",H806/INDEX(H$5:H$1258,'Stock Price'!$I$9)-1,"")</f>
        <v>-6.2940347581023959E-2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98.59</v>
      </c>
      <c r="C807" s="18">
        <v>132.41990000000001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-0.28836437130070736</v>
      </c>
      <c r="P807" s="19">
        <f ca="1">IF('Stock Price'!$I$11="OK",C807/INDEX(C$5:C$1258,'Stock Price'!$I$9)-1,"")</f>
        <v>-0.27510661009990423</v>
      </c>
      <c r="Q807" s="19">
        <f ca="1">IF('Stock Price'!$I$11="OK",D807/INDEX(D$5:D$1258,'Stock Price'!$I$9)-1,"")</f>
        <v>-0.31150513802135804</v>
      </c>
      <c r="R807" s="19">
        <f ca="1">IF('Stock Price'!$I$11="OK",E807/INDEX(E$5:E$1258,'Stock Price'!$I$9)-1,"")</f>
        <v>-0.30864917395529645</v>
      </c>
      <c r="S807" s="19">
        <f ca="1">IF('Stock Price'!$I$11="OK",F807/INDEX(F$5:F$1258,'Stock Price'!$I$9)-1,"")</f>
        <v>-2.5710138917686032E-2</v>
      </c>
      <c r="T807" s="19">
        <f ca="1">IF('Stock Price'!$I$11="OK",G807/INDEX(G$5:G$1258,'Stock Price'!$I$9)-1,"")</f>
        <v>-0.46907894736842104</v>
      </c>
      <c r="U807" s="19">
        <f ca="1">IF('Stock Price'!$I$11="OK",H807/INDEX(H$5:H$1258,'Stock Price'!$I$9)-1,"")</f>
        <v>-4.8849224988257389E-2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98.36</v>
      </c>
      <c r="C808" s="18">
        <v>131.74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-0.29002454164862135</v>
      </c>
      <c r="P808" s="19">
        <f ca="1">IF('Stock Price'!$I$11="OK",C808/INDEX(C$5:C$1258,'Stock Price'!$I$9)-1,"")</f>
        <v>-0.27882852059668806</v>
      </c>
      <c r="Q808" s="19">
        <f ca="1">IF('Stock Price'!$I$11="OK",D808/INDEX(D$5:D$1258,'Stock Price'!$I$9)-1,"")</f>
        <v>-0.31593794076163606</v>
      </c>
      <c r="R808" s="19">
        <f ca="1">IF('Stock Price'!$I$11="OK",E808/INDEX(E$5:E$1258,'Stock Price'!$I$9)-1,"")</f>
        <v>-0.31214771622934889</v>
      </c>
      <c r="S808" s="19">
        <f ca="1">IF('Stock Price'!$I$11="OK",F808/INDEX(F$5:F$1258,'Stock Price'!$I$9)-1,"")</f>
        <v>-2.9649595687331498E-2</v>
      </c>
      <c r="T808" s="19">
        <f ca="1">IF('Stock Price'!$I$11="OK",G808/INDEX(G$5:G$1258,'Stock Price'!$I$9)-1,"")</f>
        <v>-0.48</v>
      </c>
      <c r="U808" s="19">
        <f ca="1">IF('Stock Price'!$I$11="OK",H808/INDEX(H$5:H$1258,'Stock Price'!$I$9)-1,"")</f>
        <v>-4.180366369187416E-2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97.77</v>
      </c>
      <c r="C809" s="18">
        <v>131.69990000000001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-0.29428323949761803</v>
      </c>
      <c r="P809" s="19">
        <f ca="1">IF('Stock Price'!$I$11="OK",C809/INDEX(C$5:C$1258,'Stock Price'!$I$9)-1,"")</f>
        <v>-0.27904803612973861</v>
      </c>
      <c r="Q809" s="19">
        <f ca="1">IF('Stock Price'!$I$11="OK",D809/INDEX(D$5:D$1258,'Stock Price'!$I$9)-1,"")</f>
        <v>-0.3233931090066493</v>
      </c>
      <c r="R809" s="19">
        <f ca="1">IF('Stock Price'!$I$11="OK",E809/INDEX(E$5:E$1258,'Stock Price'!$I$9)-1,"")</f>
        <v>-0.30923226433430517</v>
      </c>
      <c r="S809" s="19">
        <f ca="1">IF('Stock Price'!$I$11="OK",F809/INDEX(F$5:F$1258,'Stock Price'!$I$9)-1,"")</f>
        <v>-4.8517520215633381E-2</v>
      </c>
      <c r="T809" s="19">
        <f ca="1">IF('Stock Price'!$I$11="OK",G809/INDEX(G$5:G$1258,'Stock Price'!$I$9)-1,"")</f>
        <v>-0.48689473684210527</v>
      </c>
      <c r="U809" s="19">
        <f ca="1">IF('Stock Price'!$I$11="OK",H809/INDEX(H$5:H$1258,'Stock Price'!$I$9)-1,"")</f>
        <v>-6.002818224518558E-2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99.1</v>
      </c>
      <c r="C810" s="18">
        <v>133.4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-0.28468312400750684</v>
      </c>
      <c r="P810" s="19">
        <f ca="1">IF('Stock Price'!$I$11="OK",C810/INDEX(C$5:C$1258,'Stock Price'!$I$9)-1,"")</f>
        <v>-0.26974134391679216</v>
      </c>
      <c r="Q810" s="19">
        <f ca="1">IF('Stock Price'!$I$11="OK",D810/INDEX(D$5:D$1258,'Stock Price'!$I$9)-1,"")</f>
        <v>-0.31029619181946411</v>
      </c>
      <c r="R810" s="19">
        <f ca="1">IF('Stock Price'!$I$11="OK",E810/INDEX(E$5:E$1258,'Stock Price'!$I$9)-1,"")</f>
        <v>-0.30340136054421762</v>
      </c>
      <c r="S810" s="19">
        <f ca="1">IF('Stock Price'!$I$11="OK",F810/INDEX(F$5:F$1258,'Stock Price'!$I$9)-1,"")</f>
        <v>1.4721127928675193E-2</v>
      </c>
      <c r="T810" s="19">
        <f ca="1">IF('Stock Price'!$I$11="OK",G810/INDEX(G$5:G$1258,'Stock Price'!$I$9)-1,"")</f>
        <v>-0.49131578947368426</v>
      </c>
      <c r="U810" s="19">
        <f ca="1">IF('Stock Price'!$I$11="OK",H810/INDEX(H$5:H$1258,'Stock Price'!$I$9)-1,"")</f>
        <v>-6.002818224518558E-2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96.83</v>
      </c>
      <c r="C811" s="18">
        <v>129.5752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-0.3010682835282229</v>
      </c>
      <c r="P811" s="19">
        <f ca="1">IF('Stock Price'!$I$11="OK",C811/INDEX(C$5:C$1258,'Stock Price'!$I$9)-1,"")</f>
        <v>-0.29067907485972366</v>
      </c>
      <c r="Q811" s="19">
        <f ca="1">IF('Stock Price'!$I$11="OK",D811/INDEX(D$5:D$1258,'Stock Price'!$I$9)-1,"")</f>
        <v>-0.32117670763651029</v>
      </c>
      <c r="R811" s="19">
        <f ca="1">IF('Stock Price'!$I$11="OK",E811/INDEX(E$5:E$1258,'Stock Price'!$I$9)-1,"")</f>
        <v>-0.32147716229348888</v>
      </c>
      <c r="S811" s="19">
        <f ca="1">IF('Stock Price'!$I$11="OK",F811/INDEX(F$5:F$1258,'Stock Price'!$I$9)-1,"")</f>
        <v>-2.5295459257723363E-2</v>
      </c>
      <c r="T811" s="19">
        <f ca="1">IF('Stock Price'!$I$11="OK",G811/INDEX(G$5:G$1258,'Stock Price'!$I$9)-1,"")</f>
        <v>-0.49415789473684202</v>
      </c>
      <c r="U811" s="19">
        <f ca="1">IF('Stock Price'!$I$11="OK",H811/INDEX(H$5:H$1258,'Stock Price'!$I$9)-1,"")</f>
        <v>-7.6186002818224519E-2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96.77</v>
      </c>
      <c r="C812" s="18">
        <v>127.96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-0.30150137144507005</v>
      </c>
      <c r="P812" s="19">
        <f ca="1">IF('Stock Price'!$I$11="OK",C812/INDEX(C$5:C$1258,'Stock Price'!$I$9)-1,"")</f>
        <v>-0.29952100725331876</v>
      </c>
      <c r="Q812" s="19">
        <f ca="1">IF('Stock Price'!$I$11="OK",D812/INDEX(D$5:D$1258,'Stock Price'!$I$9)-1,"")</f>
        <v>-0.32641547451138431</v>
      </c>
      <c r="R812" s="19">
        <f ca="1">IF('Stock Price'!$I$11="OK",E812/INDEX(E$5:E$1258,'Stock Price'!$I$9)-1,"")</f>
        <v>-0.33449951409135081</v>
      </c>
      <c r="S812" s="19">
        <f ca="1">IF('Stock Price'!$I$11="OK",F812/INDEX(F$5:F$1258,'Stock Price'!$I$9)-1,"")</f>
        <v>-1.5135807588637751E-2</v>
      </c>
      <c r="T812" s="19">
        <f ca="1">IF('Stock Price'!$I$11="OK",G812/INDEX(G$5:G$1258,'Stock Price'!$I$9)-1,"")</f>
        <v>-0.50342105263157899</v>
      </c>
      <c r="U812" s="19">
        <f ca="1">IF('Stock Price'!$I$11="OK",H812/INDEX(H$5:H$1258,'Stock Price'!$I$9)-1,"")</f>
        <v>-6.5100986378581527E-2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97.11</v>
      </c>
      <c r="C813" s="18">
        <v>132.65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-0.29904720658293626</v>
      </c>
      <c r="P813" s="19">
        <f ca="1">IF('Stock Price'!$I$11="OK",C813/INDEX(C$5:C$1258,'Stock Price'!$I$9)-1,"")</f>
        <v>-0.27384699603120299</v>
      </c>
      <c r="Q813" s="19">
        <f ca="1">IF('Stock Price'!$I$11="OK",D813/INDEX(D$5:D$1258,'Stock Price'!$I$9)-1,"")</f>
        <v>-0.32299012693935125</v>
      </c>
      <c r="R813" s="19">
        <f ca="1">IF('Stock Price'!$I$11="OK",E813/INDEX(E$5:E$1258,'Stock Price'!$I$9)-1,"")</f>
        <v>-0.32944606413994171</v>
      </c>
      <c r="S813" s="19">
        <f ca="1">IF('Stock Price'!$I$11="OK",F813/INDEX(F$5:F$1258,'Stock Price'!$I$9)-1,"")</f>
        <v>-1.0781671159029615E-2</v>
      </c>
      <c r="T813" s="19">
        <f ca="1">IF('Stock Price'!$I$11="OK",G813/INDEX(G$5:G$1258,'Stock Price'!$I$9)-1,"")</f>
        <v>-0.50168421052631573</v>
      </c>
      <c r="U813" s="19">
        <f ca="1">IF('Stock Price'!$I$11="OK",H813/INDEX(H$5:H$1258,'Stock Price'!$I$9)-1,"")</f>
        <v>-7.8910286519492723E-2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98.45</v>
      </c>
      <c r="C814" s="18">
        <v>130.91999999999999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-0.28937490977335056</v>
      </c>
      <c r="P814" s="19">
        <f ca="1">IF('Stock Price'!$I$11="OK",C814/INDEX(C$5:C$1258,'Stock Price'!$I$9)-1,"")</f>
        <v>-0.28331736690844411</v>
      </c>
      <c r="Q814" s="19">
        <f ca="1">IF('Stock Price'!$I$11="OK",D814/INDEX(D$5:D$1258,'Stock Price'!$I$9)-1,"")</f>
        <v>-0.31372153939149705</v>
      </c>
      <c r="R814" s="19">
        <f ca="1">IF('Stock Price'!$I$11="OK",E814/INDEX(E$5:E$1258,'Stock Price'!$I$9)-1,"")</f>
        <v>-0.32186588921282799</v>
      </c>
      <c r="S814" s="19">
        <f ca="1">IF('Stock Price'!$I$11="OK",F814/INDEX(F$5:F$1258,'Stock Price'!$I$9)-1,"")</f>
        <v>3.3174372797015739E-3</v>
      </c>
      <c r="T814" s="19">
        <f ca="1">IF('Stock Price'!$I$11="OK",G814/INDEX(G$5:G$1258,'Stock Price'!$I$9)-1,"")</f>
        <v>-0.50289473684210528</v>
      </c>
      <c r="U814" s="19">
        <f ca="1">IF('Stock Price'!$I$11="OK",H814/INDEX(H$5:H$1258,'Stock Price'!$I$9)-1,"")</f>
        <v>-6.6510098637858173E-2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98.35</v>
      </c>
      <c r="C815" s="18">
        <v>131.12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-0.29009672296809585</v>
      </c>
      <c r="P815" s="19">
        <f ca="1">IF('Stock Price'!$I$11="OK",C815/INDEX(C$5:C$1258,'Stock Price'!$I$9)-1,"")</f>
        <v>-0.2822225263446011</v>
      </c>
      <c r="Q815" s="19">
        <f ca="1">IF('Stock Price'!$I$11="OK",D815/INDEX(D$5:D$1258,'Stock Price'!$I$9)-1,"")</f>
        <v>-0.31432601249244407</v>
      </c>
      <c r="R815" s="19">
        <f ca="1">IF('Stock Price'!$I$11="OK",E815/INDEX(E$5:E$1258,'Stock Price'!$I$9)-1,"")</f>
        <v>-0.32050534499514094</v>
      </c>
      <c r="S815" s="19">
        <f ca="1">IF('Stock Price'!$I$11="OK",F815/INDEX(F$5:F$1258,'Stock Price'!$I$9)-1,"")</f>
        <v>1.2440389798880069E-3</v>
      </c>
      <c r="T815" s="19">
        <f ca="1">IF('Stock Price'!$I$11="OK",G815/INDEX(G$5:G$1258,'Stock Price'!$I$9)-1,"")</f>
        <v>-0.50289473684210528</v>
      </c>
      <c r="U815" s="19">
        <f ca="1">IF('Stock Price'!$I$11="OK",H815/INDEX(H$5:H$1258,'Stock Price'!$I$9)-1,"")</f>
        <v>-6.575857209957725E-2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98.4</v>
      </c>
      <c r="C816" s="18">
        <v>134.66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-0.28973581637072321</v>
      </c>
      <c r="P816" s="19">
        <f ca="1">IF('Stock Price'!$I$11="OK",C816/INDEX(C$5:C$1258,'Stock Price'!$I$9)-1,"")</f>
        <v>-0.26284384836458197</v>
      </c>
      <c r="Q816" s="19">
        <f ca="1">IF('Stock Price'!$I$11="OK",D816/INDEX(D$5:D$1258,'Stock Price'!$I$9)-1,"")</f>
        <v>-0.31251259318960312</v>
      </c>
      <c r="R816" s="19">
        <f ca="1">IF('Stock Price'!$I$11="OK",E816/INDEX(E$5:E$1258,'Stock Price'!$I$9)-1,"")</f>
        <v>-0.31972789115646261</v>
      </c>
      <c r="S816" s="19">
        <f ca="1">IF('Stock Price'!$I$11="OK",F816/INDEX(F$5:F$1258,'Stock Price'!$I$9)-1,"")</f>
        <v>4.1467965996269118E-3</v>
      </c>
      <c r="T816" s="19">
        <f ca="1">IF('Stock Price'!$I$11="OK",G816/INDEX(G$5:G$1258,'Stock Price'!$I$9)-1,"")</f>
        <v>-0.50289473684210528</v>
      </c>
      <c r="U816" s="19">
        <f ca="1">IF('Stock Price'!$I$11="OK",H816/INDEX(H$5:H$1258,'Stock Price'!$I$9)-1,"")</f>
        <v>-6.1813057773602575E-2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98.39</v>
      </c>
      <c r="C817" s="18">
        <v>132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-0.28980799769019772</v>
      </c>
      <c r="P817" s="19">
        <f ca="1">IF('Stock Price'!$I$11="OK",C817/INDEX(C$5:C$1258,'Stock Price'!$I$9)-1,"")</f>
        <v>-0.27740522786369237</v>
      </c>
      <c r="Q817" s="19">
        <f ca="1">IF('Stock Price'!$I$11="OK",D817/INDEX(D$5:D$1258,'Stock Price'!$I$9)-1,"")</f>
        <v>-0.31331855732419911</v>
      </c>
      <c r="R817" s="19">
        <f ca="1">IF('Stock Price'!$I$11="OK",E817/INDEX(E$5:E$1258,'Stock Price'!$I$9)-1,"")</f>
        <v>-0.31836734693877555</v>
      </c>
      <c r="S817" s="19">
        <f ca="1">IF('Stock Price'!$I$11="OK",F817/INDEX(F$5:F$1258,'Stock Price'!$I$9)-1,"")</f>
        <v>1.0366991499066947E-2</v>
      </c>
      <c r="T817" s="19">
        <f ca="1">IF('Stock Price'!$I$11="OK",G817/INDEX(G$5:G$1258,'Stock Price'!$I$9)-1,"")</f>
        <v>-0.49257894736842101</v>
      </c>
      <c r="U817" s="19">
        <f ca="1">IF('Stock Price'!$I$11="OK",H817/INDEX(H$5:H$1258,'Stock Price'!$I$9)-1,"")</f>
        <v>-6.3410051667449507E-2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97.33</v>
      </c>
      <c r="C818" s="18">
        <v>130.19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-0.29745921755449689</v>
      </c>
      <c r="P818" s="19">
        <f ca="1">IF('Stock Price'!$I$11="OK",C818/INDEX(C$5:C$1258,'Stock Price'!$I$9)-1,"")</f>
        <v>-0.28731353496647061</v>
      </c>
      <c r="Q818" s="19">
        <f ca="1">IF('Stock Price'!$I$11="OK",D818/INDEX(D$5:D$1258,'Stock Price'!$I$9)-1,"")</f>
        <v>-0.32198267177110629</v>
      </c>
      <c r="R818" s="19">
        <f ca="1">IF('Stock Price'!$I$11="OK",E818/INDEX(E$5:E$1258,'Stock Price'!$I$9)-1,"")</f>
        <v>-0.31661807580174939</v>
      </c>
      <c r="S818" s="19">
        <f ca="1">IF('Stock Price'!$I$11="OK",F818/INDEX(F$5:F$1258,'Stock Price'!$I$9)-1,"")</f>
        <v>0</v>
      </c>
      <c r="T818" s="19">
        <f ca="1">IF('Stock Price'!$I$11="OK",G818/INDEX(G$5:G$1258,'Stock Price'!$I$9)-1,"")</f>
        <v>-0.49173684210526314</v>
      </c>
      <c r="U818" s="19">
        <f ca="1">IF('Stock Price'!$I$11="OK",H818/INDEX(H$5:H$1258,'Stock Price'!$I$9)-1,"")</f>
        <v>-7.5904180366369145E-2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97.31</v>
      </c>
      <c r="C819" s="18">
        <v>130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-0.2976035801934459</v>
      </c>
      <c r="P819" s="19">
        <f ca="1">IF('Stock Price'!$I$11="OK",C819/INDEX(C$5:C$1258,'Stock Price'!$I$9)-1,"")</f>
        <v>-0.28835363350212129</v>
      </c>
      <c r="Q819" s="19">
        <f ca="1">IF('Stock Price'!$I$11="OK",D819/INDEX(D$5:D$1258,'Stock Price'!$I$9)-1,"")</f>
        <v>-0.31855732419907312</v>
      </c>
      <c r="R819" s="19">
        <f ca="1">IF('Stock Price'!$I$11="OK",E819/INDEX(E$5:E$1258,'Stock Price'!$I$9)-1,"")</f>
        <v>-0.3220602526724976</v>
      </c>
      <c r="S819" s="19">
        <f ca="1">IF('Stock Price'!$I$11="OK",F819/INDEX(F$5:F$1258,'Stock Price'!$I$9)-1,"")</f>
        <v>0</v>
      </c>
      <c r="T819" s="19">
        <f ca="1">IF('Stock Price'!$I$11="OK",G819/INDEX(G$5:G$1258,'Stock Price'!$I$9)-1,"")</f>
        <v>-0.49173684210526314</v>
      </c>
      <c r="U819" s="19">
        <f ca="1">IF('Stock Price'!$I$11="OK",H819/INDEX(H$5:H$1258,'Stock Price'!$I$9)-1,"")</f>
        <v>-6.5476749647721877E-2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97.14</v>
      </c>
      <c r="C820" s="18">
        <v>133.91999999999999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-0.29883066262451274</v>
      </c>
      <c r="P820" s="19">
        <f ca="1">IF('Stock Price'!$I$11="OK",C820/INDEX(C$5:C$1258,'Stock Price'!$I$9)-1,"")</f>
        <v>-0.26689475845080068</v>
      </c>
      <c r="Q820" s="19">
        <f ca="1">IF('Stock Price'!$I$11="OK",D820/INDEX(D$5:D$1258,'Stock Price'!$I$9)-1,"")</f>
        <v>-0.31593794076163606</v>
      </c>
      <c r="R820" s="19">
        <f ca="1">IF('Stock Price'!$I$11="OK",E820/INDEX(E$5:E$1258,'Stock Price'!$I$9)-1,"")</f>
        <v>-0.32089407191448016</v>
      </c>
      <c r="S820" s="19">
        <f ca="1">IF('Stock Price'!$I$11="OK",F820/INDEX(F$5:F$1258,'Stock Price'!$I$9)-1,"")</f>
        <v>-8.2935931992533796E-4</v>
      </c>
      <c r="T820" s="19">
        <f ca="1">IF('Stock Price'!$I$11="OK",G820/INDEX(G$5:G$1258,'Stock Price'!$I$9)-1,"")</f>
        <v>-0.48978947368421044</v>
      </c>
      <c r="U820" s="19">
        <f ca="1">IF('Stock Price'!$I$11="OK",H820/INDEX(H$5:H$1258,'Stock Price'!$I$9)-1,"")</f>
        <v>-6.8388914983560367E-2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97.64</v>
      </c>
      <c r="C821" s="18">
        <v>131.25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-0.29522159665078673</v>
      </c>
      <c r="P821" s="19">
        <f ca="1">IF('Stock Price'!$I$11="OK",C821/INDEX(C$5:C$1258,'Stock Price'!$I$9)-1,"")</f>
        <v>-0.2815108799781032</v>
      </c>
      <c r="Q821" s="19">
        <f ca="1">IF('Stock Price'!$I$11="OK",D821/INDEX(D$5:D$1258,'Stock Price'!$I$9)-1,"")</f>
        <v>-0.32560951037678831</v>
      </c>
      <c r="R821" s="19">
        <f ca="1">IF('Stock Price'!$I$11="OK",E821/INDEX(E$5:E$1258,'Stock Price'!$I$9)-1,"")</f>
        <v>-0.31622934888241017</v>
      </c>
      <c r="S821" s="19">
        <f ca="1">IF('Stock Price'!$I$11="OK",F821/INDEX(F$5:F$1258,'Stock Price'!$I$9)-1,"")</f>
        <v>-1.6587186398506759E-3</v>
      </c>
      <c r="T821" s="19">
        <f ca="1">IF('Stock Price'!$I$11="OK",G821/INDEX(G$5:G$1258,'Stock Price'!$I$9)-1,"")</f>
        <v>-0.50026315789473697</v>
      </c>
      <c r="U821" s="19">
        <f ca="1">IF('Stock Price'!$I$11="OK",H821/INDEX(H$5:H$1258,'Stock Price'!$I$9)-1,"")</f>
        <v>-6.8670737435415741E-2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97.7</v>
      </c>
      <c r="C822" s="18">
        <v>130.38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-0.29478850873393958</v>
      </c>
      <c r="P822" s="19">
        <f ca="1">IF('Stock Price'!$I$11="OK",C822/INDEX(C$5:C$1258,'Stock Price'!$I$9)-1,"")</f>
        <v>-0.28627343643081982</v>
      </c>
      <c r="Q822" s="19">
        <f ca="1">IF('Stock Price'!$I$11="OK",D822/INDEX(D$5:D$1258,'Stock Price'!$I$9)-1,"")</f>
        <v>-0.31573644972798709</v>
      </c>
      <c r="R822" s="19">
        <f ca="1">IF('Stock Price'!$I$11="OK",E822/INDEX(E$5:E$1258,'Stock Price'!$I$9)-1,"")</f>
        <v>-0.30962099125364428</v>
      </c>
      <c r="S822" s="19">
        <f ca="1">IF('Stock Price'!$I$11="OK",F822/INDEX(F$5:F$1258,'Stock Price'!$I$9)-1,"")</f>
        <v>1.9904623678208555E-2</v>
      </c>
      <c r="T822" s="19">
        <f ca="1">IF('Stock Price'!$I$11="OK",G822/INDEX(G$5:G$1258,'Stock Price'!$I$9)-1,"")</f>
        <v>-0.4810526315789474</v>
      </c>
      <c r="U822" s="19">
        <f ca="1">IF('Stock Price'!$I$11="OK",H822/INDEX(H$5:H$1258,'Stock Price'!$I$9)-1,"")</f>
        <v>-6.3222170032879332E-2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98.98</v>
      </c>
      <c r="C823" s="18">
        <v>131.88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-0.28554929984120103</v>
      </c>
      <c r="P823" s="19">
        <f ca="1">IF('Stock Price'!$I$11="OK",C823/INDEX(C$5:C$1258,'Stock Price'!$I$9)-1,"")</f>
        <v>-0.27806213220199816</v>
      </c>
      <c r="Q823" s="19">
        <f ca="1">IF('Stock Price'!$I$11="OK",D823/INDEX(D$5:D$1258,'Stock Price'!$I$9)-1,"")</f>
        <v>-0.31311706629055003</v>
      </c>
      <c r="R823" s="19">
        <f ca="1">IF('Stock Price'!$I$11="OK",E823/INDEX(E$5:E$1258,'Stock Price'!$I$9)-1,"")</f>
        <v>-0.29154518950437314</v>
      </c>
      <c r="S823" s="19">
        <f ca="1">IF('Stock Price'!$I$11="OK",F823/INDEX(F$5:F$1258,'Stock Price'!$I$9)-1,"")</f>
        <v>3.4003732116939744E-2</v>
      </c>
      <c r="T823" s="19">
        <f ca="1">IF('Stock Price'!$I$11="OK",G823/INDEX(G$5:G$1258,'Stock Price'!$I$9)-1,"")</f>
        <v>-0.47931578947368414</v>
      </c>
      <c r="U823" s="19">
        <f ca="1">IF('Stock Price'!$I$11="OK",H823/INDEX(H$5:H$1258,'Stock Price'!$I$9)-1,"")</f>
        <v>-5.1009863785814957E-2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100.22</v>
      </c>
      <c r="C824" s="18">
        <v>132.66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-0.27659881622636062</v>
      </c>
      <c r="P824" s="19">
        <f ca="1">IF('Stock Price'!$I$11="OK",C824/INDEX(C$5:C$1258,'Stock Price'!$I$9)-1,"")</f>
        <v>-0.27379225400301088</v>
      </c>
      <c r="Q824" s="19">
        <f ca="1">IF('Stock Price'!$I$11="OK",D824/INDEX(D$5:D$1258,'Stock Price'!$I$9)-1,"")</f>
        <v>-0.31996776143461625</v>
      </c>
      <c r="R824" s="19">
        <f ca="1">IF('Stock Price'!$I$11="OK",E824/INDEX(E$5:E$1258,'Stock Price'!$I$9)-1,"")</f>
        <v>-0.28668610301263364</v>
      </c>
      <c r="S824" s="19">
        <f ca="1">IF('Stock Price'!$I$11="OK",F824/INDEX(F$5:F$1258,'Stock Price'!$I$9)-1,"")</f>
        <v>2.0733982998133893E-2</v>
      </c>
      <c r="T824" s="19">
        <f ca="1">IF('Stock Price'!$I$11="OK",G824/INDEX(G$5:G$1258,'Stock Price'!$I$9)-1,"")</f>
        <v>-0.48247368421052628</v>
      </c>
      <c r="U824" s="19">
        <f ca="1">IF('Stock Price'!$I$11="OK",H824/INDEX(H$5:H$1258,'Stock Price'!$I$9)-1,"")</f>
        <v>-6.2000939408172973E-2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99.08</v>
      </c>
      <c r="C825" s="18">
        <v>135.5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-0.28482748664645585</v>
      </c>
      <c r="P825" s="19">
        <f ca="1">IF('Stock Price'!$I$11="OK",C825/INDEX(C$5:C$1258,'Stock Price'!$I$9)-1,"")</f>
        <v>-0.2582455179964418</v>
      </c>
      <c r="Q825" s="19">
        <f ca="1">IF('Stock Price'!$I$11="OK",D825/INDEX(D$5:D$1258,'Stock Price'!$I$9)-1,"")</f>
        <v>-0.33326616965545031</v>
      </c>
      <c r="R825" s="19">
        <f ca="1">IF('Stock Price'!$I$11="OK",E825/INDEX(E$5:E$1258,'Stock Price'!$I$9)-1,"")</f>
        <v>-0.29135082604470364</v>
      </c>
      <c r="S825" s="19">
        <f ca="1">IF('Stock Price'!$I$11="OK",F825/INDEX(F$5:F$1258,'Stock Price'!$I$9)-1,"")</f>
        <v>1.0366991499066947E-2</v>
      </c>
      <c r="T825" s="19">
        <f ca="1">IF('Stock Price'!$I$11="OK",G825/INDEX(G$5:G$1258,'Stock Price'!$I$9)-1,"")</f>
        <v>-0.47415789473684211</v>
      </c>
      <c r="U825" s="19">
        <f ca="1">IF('Stock Price'!$I$11="OK",H825/INDEX(H$5:H$1258,'Stock Price'!$I$9)-1,"")</f>
        <v>-6.7637388445279445E-2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99.27</v>
      </c>
      <c r="C826" s="18">
        <v>131.27430000000001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-0.28345604157644</v>
      </c>
      <c r="P826" s="19">
        <f ca="1">IF('Stock Price'!$I$11="OK",C826/INDEX(C$5:C$1258,'Stock Price'!$I$9)-1,"")</f>
        <v>-0.28137785684959626</v>
      </c>
      <c r="Q826" s="19">
        <f ca="1">IF('Stock Price'!$I$11="OK",D826/INDEX(D$5:D$1258,'Stock Price'!$I$9)-1,"")</f>
        <v>-0.34112431996776138</v>
      </c>
      <c r="R826" s="19">
        <f ca="1">IF('Stock Price'!$I$11="OK",E826/INDEX(E$5:E$1258,'Stock Price'!$I$9)-1,"")</f>
        <v>-0.29659863945578235</v>
      </c>
      <c r="S826" s="19">
        <f ca="1">IF('Stock Price'!$I$11="OK",F826/INDEX(F$5:F$1258,'Stock Price'!$I$9)-1,"")</f>
        <v>7.8789135392909326E-3</v>
      </c>
      <c r="T826" s="19">
        <f ca="1">IF('Stock Price'!$I$11="OK",G826/INDEX(G$5:G$1258,'Stock Price'!$I$9)-1,"")</f>
        <v>-0.47276315789473689</v>
      </c>
      <c r="U826" s="19">
        <f ca="1">IF('Stock Price'!$I$11="OK",H826/INDEX(H$5:H$1258,'Stock Price'!$I$9)-1,"")</f>
        <v>-5.1385627054955418E-2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99.37</v>
      </c>
      <c r="C827" s="18">
        <v>132.52000000000001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-0.28273422838169471</v>
      </c>
      <c r="P827" s="19">
        <f ca="1">IF('Stock Price'!$I$11="OK",C827/INDEX(C$5:C$1258,'Stock Price'!$I$9)-1,"")</f>
        <v>-0.27455864239770078</v>
      </c>
      <c r="Q827" s="19">
        <f ca="1">IF('Stock Price'!$I$11="OK",D827/INDEX(D$5:D$1258,'Stock Price'!$I$9)-1,"")</f>
        <v>-0.35361676405399967</v>
      </c>
      <c r="R827" s="19">
        <f ca="1">IF('Stock Price'!$I$11="OK",E827/INDEX(E$5:E$1258,'Stock Price'!$I$9)-1,"")</f>
        <v>-0.2975704567541303</v>
      </c>
      <c r="S827" s="19">
        <f ca="1">IF('Stock Price'!$I$11="OK",F827/INDEX(F$5:F$1258,'Stock Price'!$I$9)-1,"")</f>
        <v>4.5614762595895808E-3</v>
      </c>
      <c r="T827" s="19">
        <f ca="1">IF('Stock Price'!$I$11="OK",G827/INDEX(G$5:G$1258,'Stock Price'!$I$9)-1,"")</f>
        <v>-0.48415789473684212</v>
      </c>
      <c r="U827" s="19">
        <f ca="1">IF('Stock Price'!$I$11="OK",H827/INDEX(H$5:H$1258,'Stock Price'!$I$9)-1,"")</f>
        <v>-6.3879755753875056E-2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99.07</v>
      </c>
      <c r="C828" s="18">
        <v>129.75989999999999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-0.28489966796593047</v>
      </c>
      <c r="P828" s="19">
        <f ca="1">IF('Stock Price'!$I$11="OK",C828/INDEX(C$5:C$1258,'Stock Price'!$I$9)-1,"")</f>
        <v>-0.28966798959901474</v>
      </c>
      <c r="Q828" s="19">
        <f ca="1">IF('Stock Price'!$I$11="OK",D828/INDEX(D$5:D$1258,'Stock Price'!$I$9)-1,"")</f>
        <v>-0.33910940963127145</v>
      </c>
      <c r="R828" s="19">
        <f ca="1">IF('Stock Price'!$I$11="OK",E828/INDEX(E$5:E$1258,'Stock Price'!$I$9)-1,"")</f>
        <v>-0.2905733722060253</v>
      </c>
      <c r="S828" s="19">
        <f ca="1">IF('Stock Price'!$I$11="OK",F828/INDEX(F$5:F$1258,'Stock Price'!$I$9)-1,"")</f>
        <v>2.3636740617872798E-2</v>
      </c>
      <c r="T828" s="19">
        <f ca="1">IF('Stock Price'!$I$11="OK",G828/INDEX(G$5:G$1258,'Stock Price'!$I$9)-1,"")</f>
        <v>-0.45447368421052625</v>
      </c>
      <c r="U828" s="19">
        <f ca="1">IF('Stock Price'!$I$11="OK",H828/INDEX(H$5:H$1258,'Stock Price'!$I$9)-1,"")</f>
        <v>-5.9746359793330206E-2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97.86</v>
      </c>
      <c r="C829" s="18">
        <v>132.13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-0.29363360762234725</v>
      </c>
      <c r="P829" s="19">
        <f ca="1">IF('Stock Price'!$I$11="OK",C829/INDEX(C$5:C$1258,'Stock Price'!$I$9)-1,"")</f>
        <v>-0.27669358149719459</v>
      </c>
      <c r="Q829" s="19">
        <f ca="1">IF('Stock Price'!$I$11="OK",D829/INDEX(D$5:D$1258,'Stock Price'!$I$9)-1,"")</f>
        <v>-0.32621398347773534</v>
      </c>
      <c r="R829" s="19">
        <f ca="1">IF('Stock Price'!$I$11="OK",E829/INDEX(E$5:E$1258,'Stock Price'!$I$9)-1,"")</f>
        <v>-0.28726919339164236</v>
      </c>
      <c r="S829" s="19">
        <f ca="1">IF('Stock Price'!$I$11="OK",F829/INDEX(F$5:F$1258,'Stock Price'!$I$9)-1,"")</f>
        <v>5.2042297325316289E-2</v>
      </c>
      <c r="T829" s="19">
        <f ca="1">IF('Stock Price'!$I$11="OK",G829/INDEX(G$5:G$1258,'Stock Price'!$I$9)-1,"")</f>
        <v>-0.45421052631578951</v>
      </c>
      <c r="U829" s="19">
        <f ca="1">IF('Stock Price'!$I$11="OK",H829/INDEX(H$5:H$1258,'Stock Price'!$I$9)-1,"")</f>
        <v>-5.4015969938938424E-2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97.53</v>
      </c>
      <c r="C830" s="18">
        <v>134.97999999999999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-0.29601559116500642</v>
      </c>
      <c r="P830" s="19">
        <f ca="1">IF('Stock Price'!$I$11="OK",C830/INDEX(C$5:C$1258,'Stock Price'!$I$9)-1,"")</f>
        <v>-0.26109210346243339</v>
      </c>
      <c r="Q830" s="19">
        <f ca="1">IF('Stock Price'!$I$11="OK",D830/INDEX(D$5:D$1258,'Stock Price'!$I$9)-1,"")</f>
        <v>-0.32641547451138431</v>
      </c>
      <c r="R830" s="19">
        <f ca="1">IF('Stock Price'!$I$11="OK",E830/INDEX(E$5:E$1258,'Stock Price'!$I$9)-1,"")</f>
        <v>-0.29348882410106902</v>
      </c>
      <c r="S830" s="19">
        <f ca="1">IF('Stock Price'!$I$11="OK",F830/INDEX(F$5:F$1258,'Stock Price'!$I$9)-1,"")</f>
        <v>5.2042297325316289E-2</v>
      </c>
      <c r="T830" s="19">
        <f ca="1">IF('Stock Price'!$I$11="OK",G830/INDEX(G$5:G$1258,'Stock Price'!$I$9)-1,"")</f>
        <v>-0.44355263157894742</v>
      </c>
      <c r="U830" s="19">
        <f ca="1">IF('Stock Price'!$I$11="OK",H830/INDEX(H$5:H$1258,'Stock Price'!$I$9)-1,"")</f>
        <v>-8.0131517144199194E-2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99.73</v>
      </c>
      <c r="C831" s="18">
        <v>135.79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-0.28013570088061202</v>
      </c>
      <c r="P831" s="19">
        <f ca="1">IF('Stock Price'!$I$11="OK",C831/INDEX(C$5:C$1258,'Stock Price'!$I$9)-1,"")</f>
        <v>-0.25665799917886967</v>
      </c>
      <c r="Q831" s="19">
        <f ca="1">IF('Stock Price'!$I$11="OK",D831/INDEX(D$5:D$1258,'Stock Price'!$I$9)-1,"")</f>
        <v>-0.31936328833366912</v>
      </c>
      <c r="R831" s="19">
        <f ca="1">IF('Stock Price'!$I$11="OK",E831/INDEX(E$5:E$1258,'Stock Price'!$I$9)-1,"")</f>
        <v>-0.27191448007774544</v>
      </c>
      <c r="S831" s="19">
        <f ca="1">IF('Stock Price'!$I$11="OK",F831/INDEX(F$5:F$1258,'Stock Price'!$I$9)-1,"")</f>
        <v>7.173958117354351E-2</v>
      </c>
      <c r="T831" s="19">
        <f ca="1">IF('Stock Price'!$I$11="OK",G831/INDEX(G$5:G$1258,'Stock Price'!$I$9)-1,"")</f>
        <v>-0.4357894736842105</v>
      </c>
      <c r="U831" s="19">
        <f ca="1">IF('Stock Price'!$I$11="OK",H831/INDEX(H$5:H$1258,'Stock Price'!$I$9)-1,"")</f>
        <v>-9.5913574448097783E-2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98.17</v>
      </c>
      <c r="C832" s="18">
        <v>138.06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-0.2913959867186372</v>
      </c>
      <c r="P832" s="19">
        <f ca="1">IF('Stock Price'!$I$11="OK",C832/INDEX(C$5:C$1258,'Stock Price'!$I$9)-1,"")</f>
        <v>-0.24423155877925284</v>
      </c>
      <c r="Q832" s="19">
        <f ca="1">IF('Stock Price'!$I$11="OK",D832/INDEX(D$5:D$1258,'Stock Price'!$I$9)-1,"")</f>
        <v>-0.32641547451138431</v>
      </c>
      <c r="R832" s="19">
        <f ca="1">IF('Stock Price'!$I$11="OK",E832/INDEX(E$5:E$1258,'Stock Price'!$I$9)-1,"")</f>
        <v>-0.26433430515063172</v>
      </c>
      <c r="S832" s="19">
        <f ca="1">IF('Stock Price'!$I$11="OK",F832/INDEX(F$5:F$1258,'Stock Price'!$I$9)-1,"")</f>
        <v>6.8007464233879267E-2</v>
      </c>
      <c r="T832" s="19">
        <f ca="1">IF('Stock Price'!$I$11="OK",G832/INDEX(G$5:G$1258,'Stock Price'!$I$9)-1,"")</f>
        <v>-0.44776315789473686</v>
      </c>
      <c r="U832" s="19">
        <f ca="1">IF('Stock Price'!$I$11="OK",H832/INDEX(H$5:H$1258,'Stock Price'!$I$9)-1,"")</f>
        <v>-0.10117426021606379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100.03</v>
      </c>
      <c r="C833" s="18">
        <v>135.53989999999999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-0.27797026129637648</v>
      </c>
      <c r="P833" s="19">
        <f ca="1">IF('Stock Price'!$I$11="OK",C833/INDEX(C$5:C$1258,'Stock Price'!$I$9)-1,"")</f>
        <v>-0.25802709730395523</v>
      </c>
      <c r="Q833" s="19">
        <f ca="1">IF('Stock Price'!$I$11="OK",D833/INDEX(D$5:D$1258,'Stock Price'!$I$9)-1,"")</f>
        <v>-0.31392303042514613</v>
      </c>
      <c r="R833" s="19">
        <f ca="1">IF('Stock Price'!$I$11="OK",E833/INDEX(E$5:E$1258,'Stock Price'!$I$9)-1,"")</f>
        <v>-0.26005830903790095</v>
      </c>
      <c r="S833" s="19">
        <f ca="1">IF('Stock Price'!$I$11="OK",F833/INDEX(F$5:F$1258,'Stock Price'!$I$9)-1,"")</f>
        <v>7.775243624300221E-2</v>
      </c>
      <c r="T833" s="19">
        <f ca="1">IF('Stock Price'!$I$11="OK",G833/INDEX(G$5:G$1258,'Stock Price'!$I$9)-1,"")</f>
        <v>-0.44539473684210529</v>
      </c>
      <c r="U833" s="19">
        <f ca="1">IF('Stock Price'!$I$11="OK",H833/INDEX(H$5:H$1258,'Stock Price'!$I$9)-1,"")</f>
        <v>-9.2249882573978481E-2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99.97</v>
      </c>
      <c r="C834" s="18">
        <v>137.946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-0.27840334921322363</v>
      </c>
      <c r="P834" s="19">
        <f ca="1">IF('Stock Price'!$I$11="OK",C834/INDEX(C$5:C$1258,'Stock Price'!$I$9)-1,"")</f>
        <v>-0.24485561790064325</v>
      </c>
      <c r="Q834" s="19">
        <f ca="1">IF('Stock Price'!$I$11="OK",D834/INDEX(D$5:D$1258,'Stock Price'!$I$9)-1,"")</f>
        <v>-0.309490227684868</v>
      </c>
      <c r="R834" s="19">
        <f ca="1">IF('Stock Price'!$I$11="OK",E834/INDEX(E$5:E$1258,'Stock Price'!$I$9)-1,"")</f>
        <v>-0.26044703595724017</v>
      </c>
      <c r="S834" s="19">
        <f ca="1">IF('Stock Price'!$I$11="OK",F834/INDEX(F$5:F$1258,'Stock Price'!$I$9)-1,"")</f>
        <v>8.8119427742069156E-2</v>
      </c>
      <c r="T834" s="19">
        <f ca="1">IF('Stock Price'!$I$11="OK",G834/INDEX(G$5:G$1258,'Stock Price'!$I$9)-1,"")</f>
        <v>-0.45013157894736844</v>
      </c>
      <c r="U834" s="19">
        <f ca="1">IF('Stock Price'!$I$11="OK",H834/INDEX(H$5:H$1258,'Stock Price'!$I$9)-1,"")</f>
        <v>-0.10239549084077038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103.41</v>
      </c>
      <c r="C835" s="18">
        <v>138.91999999999999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-0.2535729753139887</v>
      </c>
      <c r="P835" s="19">
        <f ca="1">IF('Stock Price'!$I$11="OK",C835/INDEX(C$5:C$1258,'Stock Price'!$I$9)-1,"")</f>
        <v>-0.23952374435472845</v>
      </c>
      <c r="Q835" s="19">
        <f ca="1">IF('Stock Price'!$I$11="OK",D835/INDEX(D$5:D$1258,'Stock Price'!$I$9)-1,"")</f>
        <v>-0.28470683054604073</v>
      </c>
      <c r="R835" s="19">
        <f ca="1">IF('Stock Price'!$I$11="OK",E835/INDEX(E$5:E$1258,'Stock Price'!$I$9)-1,"")</f>
        <v>-0.24003887269193391</v>
      </c>
      <c r="S835" s="19">
        <f ca="1">IF('Stock Price'!$I$11="OK",F835/INDEX(F$5:F$1258,'Stock Price'!$I$9)-1,"")</f>
        <v>0.10595065312046459</v>
      </c>
      <c r="T835" s="19">
        <f ca="1">IF('Stock Price'!$I$11="OK",G835/INDEX(G$5:G$1258,'Stock Price'!$I$9)-1,"")</f>
        <v>-0.43565789473684213</v>
      </c>
      <c r="U835" s="19">
        <f ca="1">IF('Stock Price'!$I$11="OK",H835/INDEX(H$5:H$1258,'Stock Price'!$I$9)-1,"")</f>
        <v>-7.9943635509629019E-2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101.84</v>
      </c>
      <c r="C836" s="18">
        <v>137.21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-0.26490544247148828</v>
      </c>
      <c r="P836" s="19">
        <f ca="1">IF('Stock Price'!$I$11="OK",C836/INDEX(C$5:C$1258,'Stock Price'!$I$9)-1,"")</f>
        <v>-0.24888463117558501</v>
      </c>
      <c r="Q836" s="19">
        <f ca="1">IF('Stock Price'!$I$11="OK",D836/INDEX(D$5:D$1258,'Stock Price'!$I$9)-1,"")</f>
        <v>-0.29276647189200078</v>
      </c>
      <c r="R836" s="19">
        <f ca="1">IF('Stock Price'!$I$11="OK",E836/INDEX(E$5:E$1258,'Stock Price'!$I$9)-1,"")</f>
        <v>-0.24314868804664735</v>
      </c>
      <c r="S836" s="19">
        <f ca="1">IF('Stock Price'!$I$11="OK",F836/INDEX(F$5:F$1258,'Stock Price'!$I$9)-1,"")</f>
        <v>9.827907941115499E-2</v>
      </c>
      <c r="T836" s="19">
        <f ca="1">IF('Stock Price'!$I$11="OK",G836/INDEX(G$5:G$1258,'Stock Price'!$I$9)-1,"")</f>
        <v>-0.43434210526315786</v>
      </c>
      <c r="U836" s="19">
        <f ca="1">IF('Stock Price'!$I$11="OK",H836/INDEX(H$5:H$1258,'Stock Price'!$I$9)-1,"")</f>
        <v>-8.4546735556599306E-2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102.93</v>
      </c>
      <c r="C837" s="18">
        <v>139.31989999999999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-0.25703767864876559</v>
      </c>
      <c r="P837" s="19">
        <f ca="1">IF('Stock Price'!$I$11="OK",C837/INDEX(C$5:C$1258,'Stock Price'!$I$9)-1,"")</f>
        <v>-0.23733461064732464</v>
      </c>
      <c r="Q837" s="19">
        <f ca="1">IF('Stock Price'!$I$11="OK",D837/INDEX(D$5:D$1258,'Stock Price'!$I$9)-1,"")</f>
        <v>-0.29357243602659677</v>
      </c>
      <c r="R837" s="19">
        <f ca="1">IF('Stock Price'!$I$11="OK",E837/INDEX(E$5:E$1258,'Stock Price'!$I$9)-1,"")</f>
        <v>-0.24470359572400391</v>
      </c>
      <c r="S837" s="19">
        <f ca="1">IF('Stock Price'!$I$11="OK",F837/INDEX(F$5:F$1258,'Stock Price'!$I$9)-1,"")</f>
        <v>8.1277213352685118E-2</v>
      </c>
      <c r="T837" s="19">
        <f ca="1">IF('Stock Price'!$I$11="OK",G837/INDEX(G$5:G$1258,'Stock Price'!$I$9)-1,"")</f>
        <v>-0.43315789473684208</v>
      </c>
      <c r="U837" s="19">
        <f ca="1">IF('Stock Price'!$I$11="OK",H837/INDEX(H$5:H$1258,'Stock Price'!$I$9)-1,"")</f>
        <v>-7.6749647721935155E-2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104.75</v>
      </c>
      <c r="C838" s="18">
        <v>141.03989999999999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-0.243900678504403</v>
      </c>
      <c r="P838" s="19">
        <f ca="1">IF('Stock Price'!$I$11="OK",C838/INDEX(C$5:C$1258,'Stock Price'!$I$9)-1,"")</f>
        <v>-0.22791898179827574</v>
      </c>
      <c r="Q838" s="19">
        <f ca="1">IF('Stock Price'!$I$11="OK",D838/INDEX(D$5:D$1258,'Stock Price'!$I$9)-1,"")</f>
        <v>-0.28752770501712677</v>
      </c>
      <c r="R838" s="19">
        <f ca="1">IF('Stock Price'!$I$11="OK",E838/INDEX(E$5:E$1258,'Stock Price'!$I$9)-1,"")</f>
        <v>-0.22565597667638482</v>
      </c>
      <c r="S838" s="19">
        <f ca="1">IF('Stock Price'!$I$11="OK",F838/INDEX(F$5:F$1258,'Stock Price'!$I$9)-1,"")</f>
        <v>0.1227451793489529</v>
      </c>
      <c r="T838" s="19">
        <f ca="1">IF('Stock Price'!$I$11="OK",G838/INDEX(G$5:G$1258,'Stock Price'!$I$9)-1,"")</f>
        <v>-0.42473684210526319</v>
      </c>
      <c r="U838" s="19">
        <f ca="1">IF('Stock Price'!$I$11="OK",H838/INDEX(H$5:H$1258,'Stock Price'!$I$9)-1,"")</f>
        <v>-7.0455612963832737E-2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104.72</v>
      </c>
      <c r="C839" s="18">
        <v>140.72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-0.24411722246282663</v>
      </c>
      <c r="P839" s="19">
        <f ca="1">IF('Stock Price'!$I$11="OK",C839/INDEX(C$5:C$1258,'Stock Price'!$I$9)-1,"")</f>
        <v>-0.22967017928014233</v>
      </c>
      <c r="Q839" s="19">
        <f ca="1">IF('Stock Price'!$I$11="OK",D839/INDEX(D$5:D$1258,'Stock Price'!$I$9)-1,"")</f>
        <v>-0.28934112431996772</v>
      </c>
      <c r="R839" s="19">
        <f ca="1">IF('Stock Price'!$I$11="OK",E839/INDEX(E$5:E$1258,'Stock Price'!$I$9)-1,"")</f>
        <v>-0.23712342079689019</v>
      </c>
      <c r="S839" s="19">
        <f ca="1">IF('Stock Price'!$I$11="OK",F839/INDEX(F$5:F$1258,'Stock Price'!$I$9)-1,"")</f>
        <v>0.12668463611859848</v>
      </c>
      <c r="T839" s="19">
        <f ca="1">IF('Stock Price'!$I$11="OK",G839/INDEX(G$5:G$1258,'Stock Price'!$I$9)-1,"")</f>
        <v>-0.43052631578947365</v>
      </c>
      <c r="U839" s="19">
        <f ca="1">IF('Stock Price'!$I$11="OK",H839/INDEX(H$5:H$1258,'Stock Price'!$I$9)-1,"")</f>
        <v>-7.1676843588539318E-2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105.48</v>
      </c>
      <c r="C840" s="18">
        <v>141.9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-0.238631442182763</v>
      </c>
      <c r="P840" s="19">
        <f ca="1">IF('Stock Price'!$I$11="OK",C840/INDEX(C$5:C$1258,'Stock Price'!$I$9)-1,"")</f>
        <v>-0.22321061995346925</v>
      </c>
      <c r="Q840" s="19">
        <f ca="1">IF('Stock Price'!$I$11="OK",D840/INDEX(D$5:D$1258,'Stock Price'!$I$9)-1,"")</f>
        <v>-0.29679629256498097</v>
      </c>
      <c r="R840" s="19">
        <f ca="1">IF('Stock Price'!$I$11="OK",E840/INDEX(E$5:E$1258,'Stock Price'!$I$9)-1,"")</f>
        <v>-0.23576287657920314</v>
      </c>
      <c r="S840" s="19">
        <f ca="1">IF('Stock Price'!$I$11="OK",F840/INDEX(F$5:F$1258,'Stock Price'!$I$9)-1,"")</f>
        <v>0.10615799295044592</v>
      </c>
      <c r="T840" s="19">
        <f ca="1">IF('Stock Price'!$I$11="OK",G840/INDEX(G$5:G$1258,'Stock Price'!$I$9)-1,"")</f>
        <v>-0.44710526315789467</v>
      </c>
      <c r="U840" s="19">
        <f ca="1">IF('Stock Price'!$I$11="OK",H840/INDEX(H$5:H$1258,'Stock Price'!$I$9)-1,"")</f>
        <v>-6.2564584311883498E-2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105.47</v>
      </c>
      <c r="C841" s="18">
        <v>139.54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-0.23870362350223762</v>
      </c>
      <c r="P841" s="19">
        <f ca="1">IF('Stock Price'!$I$11="OK",C841/INDEX(C$5:C$1258,'Stock Price'!$I$9)-1,"")</f>
        <v>-0.23612973860681552</v>
      </c>
      <c r="Q841" s="19">
        <f ca="1">IF('Stock Price'!$I$11="OK",D841/INDEX(D$5:D$1258,'Stock Price'!$I$9)-1,"")</f>
        <v>-0.29800523876687479</v>
      </c>
      <c r="R841" s="19">
        <f ca="1">IF('Stock Price'!$I$11="OK",E841/INDEX(E$5:E$1258,'Stock Price'!$I$9)-1,"")</f>
        <v>-0.2299319727891157</v>
      </c>
      <c r="S841" s="19">
        <f ca="1">IF('Stock Price'!$I$11="OK",F841/INDEX(F$5:F$1258,'Stock Price'!$I$9)-1,"")</f>
        <v>0.10926809040016594</v>
      </c>
      <c r="T841" s="19">
        <f ca="1">IF('Stock Price'!$I$11="OK",G841/INDEX(G$5:G$1258,'Stock Price'!$I$9)-1,"")</f>
        <v>-0.44157894736842107</v>
      </c>
      <c r="U841" s="19">
        <f ca="1">IF('Stock Price'!$I$11="OK",H841/INDEX(H$5:H$1258,'Stock Price'!$I$9)-1,"")</f>
        <v>-0.14758102395490846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109.81</v>
      </c>
      <c r="C842" s="18">
        <v>134.66999999999999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-0.20737693085029585</v>
      </c>
      <c r="P842" s="19">
        <f ca="1">IF('Stock Price'!$I$11="OK",C842/INDEX(C$5:C$1258,'Stock Price'!$I$9)-1,"")</f>
        <v>-0.26278910633638985</v>
      </c>
      <c r="Q842" s="19">
        <f ca="1">IF('Stock Price'!$I$11="OK",D842/INDEX(D$5:D$1258,'Stock Price'!$I$9)-1,"")</f>
        <v>-0.2403788031432601</v>
      </c>
      <c r="R842" s="19">
        <f ca="1">IF('Stock Price'!$I$11="OK",E842/INDEX(E$5:E$1258,'Stock Price'!$I$9)-1,"")</f>
        <v>-0.21224489795918366</v>
      </c>
      <c r="S842" s="19">
        <f ca="1">IF('Stock Price'!$I$11="OK",F842/INDEX(F$5:F$1258,'Stock Price'!$I$9)-1,"")</f>
        <v>0.10926809040016594</v>
      </c>
      <c r="T842" s="19">
        <f ca="1">IF('Stock Price'!$I$11="OK",G842/INDEX(G$5:G$1258,'Stock Price'!$I$9)-1,"")</f>
        <v>-0.44631578947368422</v>
      </c>
      <c r="U842" s="19">
        <f ca="1">IF('Stock Price'!$I$11="OK",H842/INDEX(H$5:H$1258,'Stock Price'!$I$9)-1,"")</f>
        <v>-0.15763269140441527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106.98</v>
      </c>
      <c r="C843" s="18">
        <v>151.5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-0.22780424426158508</v>
      </c>
      <c r="P843" s="19">
        <f ca="1">IF('Stock Price'!$I$11="OK",C843/INDEX(C$5:C$1258,'Stock Price'!$I$9)-1,"")</f>
        <v>-0.17065827288901059</v>
      </c>
      <c r="Q843" s="19">
        <f ca="1">IF('Stock Price'!$I$11="OK",D843/INDEX(D$5:D$1258,'Stock Price'!$I$9)-1,"")</f>
        <v>-0.26697561958492844</v>
      </c>
      <c r="R843" s="19">
        <f ca="1">IF('Stock Price'!$I$11="OK",E843/INDEX(E$5:E$1258,'Stock Price'!$I$9)-1,"")</f>
        <v>-0.23012633624878531</v>
      </c>
      <c r="S843" s="19">
        <f ca="1">IF('Stock Price'!$I$11="OK",F843/INDEX(F$5:F$1258,'Stock Price'!$I$9)-1,"")</f>
        <v>9.6205681111341423E-2</v>
      </c>
      <c r="T843" s="19">
        <f ca="1">IF('Stock Price'!$I$11="OK",G843/INDEX(G$5:G$1258,'Stock Price'!$I$9)-1,"")</f>
        <v>-0.44157894736842107</v>
      </c>
      <c r="U843" s="19">
        <f ca="1">IF('Stock Price'!$I$11="OK",H843/INDEX(H$5:H$1258,'Stock Price'!$I$9)-1,"")</f>
        <v>-0.17285110380460311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106.26</v>
      </c>
      <c r="C844" s="18">
        <v>142.84989999999999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-0.23300129926375046</v>
      </c>
      <c r="P844" s="19">
        <f ca="1">IF('Stock Price'!$I$11="OK",C844/INDEX(C$5:C$1258,'Stock Price'!$I$9)-1,"")</f>
        <v>-0.21801067469549762</v>
      </c>
      <c r="Q844" s="19">
        <f ca="1">IF('Stock Price'!$I$11="OK",D844/INDEX(D$5:D$1258,'Stock Price'!$I$9)-1,"")</f>
        <v>-0.27382631472899466</v>
      </c>
      <c r="R844" s="19">
        <f ca="1">IF('Stock Price'!$I$11="OK",E844/INDEX(E$5:E$1258,'Stock Price'!$I$9)-1,"")</f>
        <v>-0.22701652089407187</v>
      </c>
      <c r="S844" s="19">
        <f ca="1">IF('Stock Price'!$I$11="OK",F844/INDEX(F$5:F$1258,'Stock Price'!$I$9)-1,"")</f>
        <v>0.10615799295044592</v>
      </c>
      <c r="T844" s="19">
        <f ca="1">IF('Stock Price'!$I$11="OK",G844/INDEX(G$5:G$1258,'Stock Price'!$I$9)-1,"")</f>
        <v>-0.44881578947368417</v>
      </c>
      <c r="U844" s="19">
        <f ca="1">IF('Stock Price'!$I$11="OK",H844/INDEX(H$5:H$1258,'Stock Price'!$I$9)-1,"")</f>
        <v>-0.18008454673555663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106.85</v>
      </c>
      <c r="C845" s="18">
        <v>149.16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-0.22874260141475389</v>
      </c>
      <c r="P845" s="19">
        <f ca="1">IF('Stock Price'!$I$11="OK",C845/INDEX(C$5:C$1258,'Stock Price'!$I$9)-1,"")</f>
        <v>-0.18346790748597241</v>
      </c>
      <c r="Q845" s="19">
        <f ca="1">IF('Stock Price'!$I$11="OK",D845/INDEX(D$5:D$1258,'Stock Price'!$I$9)-1,"")</f>
        <v>-0.26516220028208748</v>
      </c>
      <c r="R845" s="19">
        <f ca="1">IF('Stock Price'!$I$11="OK",E845/INDEX(E$5:E$1258,'Stock Price'!$I$9)-1,"")</f>
        <v>-0.22487852283770648</v>
      </c>
      <c r="S845" s="19">
        <f ca="1">IF('Stock Price'!$I$11="OK",F845/INDEX(F$5:F$1258,'Stock Price'!$I$9)-1,"")</f>
        <v>0.10470661414057658</v>
      </c>
      <c r="T845" s="19">
        <f ca="1">IF('Stock Price'!$I$11="OK",G845/INDEX(G$5:G$1258,'Stock Price'!$I$9)-1,"")</f>
        <v>-0.44684210526315793</v>
      </c>
      <c r="U845" s="19">
        <f ca="1">IF('Stock Price'!$I$11="OK",H845/INDEX(H$5:H$1258,'Stock Price'!$I$9)-1,"")</f>
        <v>-0.18835133865664633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107.75</v>
      </c>
      <c r="C846" s="18">
        <v>142.077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-0.22224628266204705</v>
      </c>
      <c r="P846" s="19">
        <f ca="1">IF('Stock Price'!$I$11="OK",C846/INDEX(C$5:C$1258,'Stock Price'!$I$9)-1,"")</f>
        <v>-0.22224168605446837</v>
      </c>
      <c r="Q846" s="19">
        <f ca="1">IF('Stock Price'!$I$11="OK",D846/INDEX(D$5:D$1258,'Stock Price'!$I$9)-1,"")</f>
        <v>-0.27322184162804763</v>
      </c>
      <c r="R846" s="19">
        <f ca="1">IF('Stock Price'!$I$11="OK",E846/INDEX(E$5:E$1258,'Stock Price'!$I$9)-1,"")</f>
        <v>-0.23362487852283775</v>
      </c>
      <c r="S846" s="19">
        <f ca="1">IF('Stock Price'!$I$11="OK",F846/INDEX(F$5:F$1258,'Stock Price'!$I$9)-1,"")</f>
        <v>0.11756168359941954</v>
      </c>
      <c r="T846" s="19">
        <f ca="1">IF('Stock Price'!$I$11="OK",G846/INDEX(G$5:G$1258,'Stock Price'!$I$9)-1,"")</f>
        <v>-0.45447368421052625</v>
      </c>
      <c r="U846" s="19">
        <f ca="1">IF('Stock Price'!$I$11="OK",H846/INDEX(H$5:H$1258,'Stock Price'!$I$9)-1,"")</f>
        <v>-0.18703616721465477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107</v>
      </c>
      <c r="C847" s="18">
        <v>146.43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-0.22765988162263606</v>
      </c>
      <c r="P847" s="19">
        <f ca="1">IF('Stock Price'!$I$11="OK",C847/INDEX(C$5:C$1258,'Stock Price'!$I$9)-1,"")</f>
        <v>-0.19841248118242782</v>
      </c>
      <c r="Q847" s="19">
        <f ca="1">IF('Stock Price'!$I$11="OK",D847/INDEX(D$5:D$1258,'Stock Price'!$I$9)-1,"")</f>
        <v>-0.27201289542615348</v>
      </c>
      <c r="R847" s="19">
        <f ca="1">IF('Stock Price'!$I$11="OK",E847/INDEX(E$5:E$1258,'Stock Price'!$I$9)-1,"")</f>
        <v>-0.21807580174927121</v>
      </c>
      <c r="S847" s="19">
        <f ca="1">IF('Stock Price'!$I$11="OK",F847/INDEX(F$5:F$1258,'Stock Price'!$I$9)-1,"")</f>
        <v>0.13124611237818806</v>
      </c>
      <c r="T847" s="19">
        <f ca="1">IF('Stock Price'!$I$11="OK",G847/INDEX(G$5:G$1258,'Stock Price'!$I$9)-1,"")</f>
        <v>-0.44789473684210523</v>
      </c>
      <c r="U847" s="19">
        <f ca="1">IF('Stock Price'!$I$11="OK",H847/INDEX(H$5:H$1258,'Stock Price'!$I$9)-1,"")</f>
        <v>-0.19520901831845938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107.71</v>
      </c>
      <c r="C848" s="18">
        <v>148.935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-0.22253500793994518</v>
      </c>
      <c r="P848" s="19">
        <f ca="1">IF('Stock Price'!$I$11="OK",C848/INDEX(C$5:C$1258,'Stock Price'!$I$9)-1,"")</f>
        <v>-0.18469960312029565</v>
      </c>
      <c r="Q848" s="19">
        <f ca="1">IF('Stock Price'!$I$11="OK",D848/INDEX(D$5:D$1258,'Stock Price'!$I$9)-1,"")</f>
        <v>-0.26355027201289549</v>
      </c>
      <c r="R848" s="19">
        <f ca="1">IF('Stock Price'!$I$11="OK",E848/INDEX(E$5:E$1258,'Stock Price'!$I$9)-1,"")</f>
        <v>-0.19747327502429546</v>
      </c>
      <c r="S848" s="19">
        <f ca="1">IF('Stock Price'!$I$11="OK",F848/INDEX(F$5:F$1258,'Stock Price'!$I$9)-1,"")</f>
        <v>0.11942774206925155</v>
      </c>
      <c r="T848" s="19">
        <f ca="1">IF('Stock Price'!$I$11="OK",G848/INDEX(G$5:G$1258,'Stock Price'!$I$9)-1,"")</f>
        <v>-0.43105263157894735</v>
      </c>
      <c r="U848" s="19">
        <f ca="1">IF('Stock Price'!$I$11="OK",H848/INDEX(H$5:H$1258,'Stock Price'!$I$9)-1,"")</f>
        <v>-0.20695162047909821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105.43</v>
      </c>
      <c r="C849" s="18">
        <v>148.71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-0.23899234878013564</v>
      </c>
      <c r="P849" s="19">
        <f ca="1">IF('Stock Price'!$I$11="OK",C849/INDEX(C$5:C$1258,'Stock Price'!$I$9)-1,"")</f>
        <v>-0.18593129875461889</v>
      </c>
      <c r="Q849" s="19">
        <f ca="1">IF('Stock Price'!$I$11="OK",D849/INDEX(D$5:D$1258,'Stock Price'!$I$9)-1,"")</f>
        <v>-0.27120693129155748</v>
      </c>
      <c r="R849" s="19">
        <f ca="1">IF('Stock Price'!$I$11="OK",E849/INDEX(E$5:E$1258,'Stock Price'!$I$9)-1,"")</f>
        <v>-0.20213799805636545</v>
      </c>
      <c r="S849" s="19">
        <f ca="1">IF('Stock Price'!$I$11="OK",F849/INDEX(F$5:F$1258,'Stock Price'!$I$9)-1,"")</f>
        <v>0.13000207339829983</v>
      </c>
      <c r="T849" s="19">
        <f ca="1">IF('Stock Price'!$I$11="OK",G849/INDEX(G$5:G$1258,'Stock Price'!$I$9)-1,"")</f>
        <v>-0.4375</v>
      </c>
      <c r="U849" s="19">
        <f ca="1">IF('Stock Price'!$I$11="OK",H849/INDEX(H$5:H$1258,'Stock Price'!$I$9)-1,"")</f>
        <v>-0.22019727571629866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106.61</v>
      </c>
      <c r="C850" s="18">
        <v>147.94489999999999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-0.23047495308214228</v>
      </c>
      <c r="P850" s="19">
        <f ca="1">IF('Stock Price'!$I$11="OK",C850/INDEX(C$5:C$1258,'Stock Price'!$I$9)-1,"")</f>
        <v>-0.19011961133159994</v>
      </c>
      <c r="Q850" s="19">
        <f ca="1">IF('Stock Price'!$I$11="OK",D850/INDEX(D$5:D$1258,'Stock Price'!$I$9)-1,"")</f>
        <v>-0.26234132581100145</v>
      </c>
      <c r="R850" s="19">
        <f ca="1">IF('Stock Price'!$I$11="OK",E850/INDEX(E$5:E$1258,'Stock Price'!$I$9)-1,"")</f>
        <v>-0.20602526724975712</v>
      </c>
      <c r="S850" s="19">
        <f ca="1">IF('Stock Price'!$I$11="OK",F850/INDEX(F$5:F$1258,'Stock Price'!$I$9)-1,"")</f>
        <v>0.11859838274932621</v>
      </c>
      <c r="T850" s="19">
        <f ca="1">IF('Stock Price'!$I$11="OK",G850/INDEX(G$5:G$1258,'Stock Price'!$I$9)-1,"")</f>
        <v>-0.43052631578947365</v>
      </c>
      <c r="U850" s="19">
        <f ca="1">IF('Stock Price'!$I$11="OK",H850/INDEX(H$5:H$1258,'Stock Price'!$I$9)-1,"")</f>
        <v>-0.21756693283231565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106.91</v>
      </c>
      <c r="C851" s="18">
        <v>144.82990000000001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-0.22830951349790674</v>
      </c>
      <c r="P851" s="19">
        <f ca="1">IF('Stock Price'!$I$11="OK",C851/INDEX(C$5:C$1258,'Stock Price'!$I$9)-1,"")</f>
        <v>-0.20717175311345282</v>
      </c>
      <c r="Q851" s="19">
        <f ca="1">IF('Stock Price'!$I$11="OK",D851/INDEX(D$5:D$1258,'Stock Price'!$I$9)-1,"")</f>
        <v>-0.26375176304654446</v>
      </c>
      <c r="R851" s="19">
        <f ca="1">IF('Stock Price'!$I$11="OK",E851/INDEX(E$5:E$1258,'Stock Price'!$I$9)-1,"")</f>
        <v>-0.20932944606413995</v>
      </c>
      <c r="S851" s="19">
        <f ca="1">IF('Stock Price'!$I$11="OK",F851/INDEX(F$5:F$1258,'Stock Price'!$I$9)-1,"")</f>
        <v>0.11134148869997929</v>
      </c>
      <c r="T851" s="19">
        <f ca="1">IF('Stock Price'!$I$11="OK",G851/INDEX(G$5:G$1258,'Stock Price'!$I$9)-1,"")</f>
        <v>-0.43947368421052635</v>
      </c>
      <c r="U851" s="19">
        <f ca="1">IF('Stock Price'!$I$11="OK",H851/INDEX(H$5:H$1258,'Stock Price'!$I$9)-1,"")</f>
        <v>-0.19586660403945522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107.31</v>
      </c>
      <c r="C852" s="18">
        <v>145.47499999999999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-0.2254222607189259</v>
      </c>
      <c r="P852" s="19">
        <f ca="1">IF('Stock Price'!$I$11="OK",C852/INDEX(C$5:C$1258,'Stock Price'!$I$9)-1,"")</f>
        <v>-0.20364034487477767</v>
      </c>
      <c r="Q852" s="19">
        <f ca="1">IF('Stock Price'!$I$11="OK",D852/INDEX(D$5:D$1258,'Stock Price'!$I$9)-1,"")</f>
        <v>-0.25528913963328637</v>
      </c>
      <c r="R852" s="19">
        <f ca="1">IF('Stock Price'!$I$11="OK",E852/INDEX(E$5:E$1258,'Stock Price'!$I$9)-1,"")</f>
        <v>-0.20019436345966968</v>
      </c>
      <c r="S852" s="19">
        <f ca="1">IF('Stock Price'!$I$11="OK",F852/INDEX(F$5:F$1258,'Stock Price'!$I$9)-1,"")</f>
        <v>0.12233049968899046</v>
      </c>
      <c r="T852" s="19">
        <f ca="1">IF('Stock Price'!$I$11="OK",G852/INDEX(G$5:G$1258,'Stock Price'!$I$9)-1,"")</f>
        <v>-0.42960526315789471</v>
      </c>
      <c r="U852" s="19">
        <f ca="1">IF('Stock Price'!$I$11="OK",H852/INDEX(H$5:H$1258,'Stock Price'!$I$9)-1,"")</f>
        <v>-0.17632691404415213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109.35</v>
      </c>
      <c r="C853" s="18">
        <v>142.4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-0.21069727154612383</v>
      </c>
      <c r="P853" s="19">
        <f ca="1">IF('Stock Price'!$I$11="OK",C853/INDEX(C$5:C$1258,'Stock Price'!$I$9)-1,"")</f>
        <v>-0.2204735185438621</v>
      </c>
      <c r="Q853" s="19">
        <f ca="1">IF('Stock Price'!$I$11="OK",D853/INDEX(D$5:D$1258,'Stock Price'!$I$9)-1,"")</f>
        <v>-0.26173685271005442</v>
      </c>
      <c r="R853" s="19">
        <f ca="1">IF('Stock Price'!$I$11="OK",E853/INDEX(E$5:E$1258,'Stock Price'!$I$9)-1,"")</f>
        <v>-0.19494655004859085</v>
      </c>
      <c r="S853" s="19">
        <f ca="1">IF('Stock Price'!$I$11="OK",F853/INDEX(F$5:F$1258,'Stock Price'!$I$9)-1,"")</f>
        <v>0.1291727140783745</v>
      </c>
      <c r="T853" s="19">
        <f ca="1">IF('Stock Price'!$I$11="OK",G853/INDEX(G$5:G$1258,'Stock Price'!$I$9)-1,"")</f>
        <v>-0.41973684210526319</v>
      </c>
      <c r="U853" s="19">
        <f ca="1">IF('Stock Price'!$I$11="OK",H853/INDEX(H$5:H$1258,'Stock Price'!$I$9)-1,"")</f>
        <v>-0.15922968529826209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109.22</v>
      </c>
      <c r="C854" s="18">
        <v>148.01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-0.21163562869929253</v>
      </c>
      <c r="P854" s="19">
        <f ca="1">IF('Stock Price'!$I$11="OK",C854/INDEX(C$5:C$1258,'Stock Price'!$I$9)-1,"")</f>
        <v>-0.18976324072806905</v>
      </c>
      <c r="Q854" s="19">
        <f ca="1">IF('Stock Price'!$I$11="OK",D854/INDEX(D$5:D$1258,'Stock Price'!$I$9)-1,"")</f>
        <v>-0.25287124722949839</v>
      </c>
      <c r="R854" s="19">
        <f ca="1">IF('Stock Price'!$I$11="OK",E854/INDEX(E$5:E$1258,'Stock Price'!$I$9)-1,"")</f>
        <v>-0.19319727891156468</v>
      </c>
      <c r="S854" s="19">
        <f ca="1">IF('Stock Price'!$I$11="OK",F854/INDEX(F$5:F$1258,'Stock Price'!$I$9)-1,"")</f>
        <v>0.11445158614969952</v>
      </c>
      <c r="T854" s="19">
        <f ca="1">IF('Stock Price'!$I$11="OK",G854/INDEX(G$5:G$1258,'Stock Price'!$I$9)-1,"")</f>
        <v>-0.41381578947368425</v>
      </c>
      <c r="U854" s="19">
        <f ca="1">IF('Stock Price'!$I$11="OK",H854/INDEX(H$5:H$1258,'Stock Price'!$I$9)-1,"")</f>
        <v>-0.1426021606387976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109.62</v>
      </c>
      <c r="C855" s="18">
        <v>151.21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-0.2087483759203117</v>
      </c>
      <c r="P855" s="19">
        <f ca="1">IF('Stock Price'!$I$11="OK",C855/INDEX(C$5:C$1258,'Stock Price'!$I$9)-1,"")</f>
        <v>-0.17224579170658272</v>
      </c>
      <c r="Q855" s="19">
        <f ca="1">IF('Stock Price'!$I$11="OK",D855/INDEX(D$5:D$1258,'Stock Price'!$I$9)-1,"")</f>
        <v>-0.22708039492242604</v>
      </c>
      <c r="R855" s="19">
        <f ca="1">IF('Stock Price'!$I$11="OK",E855/INDEX(E$5:E$1258,'Stock Price'!$I$9)-1,"")</f>
        <v>-0.18775510204081636</v>
      </c>
      <c r="S855" s="19">
        <f ca="1">IF('Stock Price'!$I$11="OK",F855/INDEX(F$5:F$1258,'Stock Price'!$I$9)-1,"")</f>
        <v>0.1380883267675721</v>
      </c>
      <c r="T855" s="19">
        <f ca="1">IF('Stock Price'!$I$11="OK",G855/INDEX(G$5:G$1258,'Stock Price'!$I$9)-1,"")</f>
        <v>-0.40421052631578946</v>
      </c>
      <c r="U855" s="19">
        <f ca="1">IF('Stock Price'!$I$11="OK",H855/INDEX(H$5:H$1258,'Stock Price'!$I$9)-1,"")</f>
        <v>-0.14109910756223576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108.02</v>
      </c>
      <c r="C856" s="18">
        <v>155.65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-0.22029738703623503</v>
      </c>
      <c r="P856" s="19">
        <f ca="1">IF('Stock Price'!$I$11="OK",C856/INDEX(C$5:C$1258,'Stock Price'!$I$9)-1,"")</f>
        <v>-0.14794033118927064</v>
      </c>
      <c r="Q856" s="19">
        <f ca="1">IF('Stock Price'!$I$11="OK",D856/INDEX(D$5:D$1258,'Stock Price'!$I$9)-1,"")</f>
        <v>-0.24642353415273022</v>
      </c>
      <c r="R856" s="19">
        <f ca="1">IF('Stock Price'!$I$11="OK",E856/INDEX(E$5:E$1258,'Stock Price'!$I$9)-1,"")</f>
        <v>-0.18289601554907686</v>
      </c>
      <c r="S856" s="19">
        <f ca="1">IF('Stock Price'!$I$11="OK",F856/INDEX(F$5:F$1258,'Stock Price'!$I$9)-1,"")</f>
        <v>0.13933236574746033</v>
      </c>
      <c r="T856" s="19">
        <f ca="1">IF('Stock Price'!$I$11="OK",G856/INDEX(G$5:G$1258,'Stock Price'!$I$9)-1,"")</f>
        <v>-0.39381578947368423</v>
      </c>
      <c r="U856" s="19">
        <f ca="1">IF('Stock Price'!$I$11="OK",H856/INDEX(H$5:H$1258,'Stock Price'!$I$9)-1,"")</f>
        <v>-0.16035697510568347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108.92</v>
      </c>
      <c r="C857" s="18">
        <v>150.46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-0.21380106828352818</v>
      </c>
      <c r="P857" s="19">
        <f ca="1">IF('Stock Price'!$I$11="OK",C857/INDEX(C$5:C$1258,'Stock Price'!$I$9)-1,"")</f>
        <v>-0.17635144382099355</v>
      </c>
      <c r="Q857" s="19">
        <f ca="1">IF('Stock Price'!$I$11="OK",D857/INDEX(D$5:D$1258,'Stock Price'!$I$9)-1,"")</f>
        <v>-0.24843844448922037</v>
      </c>
      <c r="R857" s="19">
        <f ca="1">IF('Stock Price'!$I$11="OK",E857/INDEX(E$5:E$1258,'Stock Price'!$I$9)-1,"")</f>
        <v>-0.19455782312925174</v>
      </c>
      <c r="S857" s="19">
        <f ca="1">IF('Stock Price'!$I$11="OK",F857/INDEX(F$5:F$1258,'Stock Price'!$I$9)-1,"")</f>
        <v>0.12253783951897157</v>
      </c>
      <c r="T857" s="19">
        <f ca="1">IF('Stock Price'!$I$11="OK",G857/INDEX(G$5:G$1258,'Stock Price'!$I$9)-1,"")</f>
        <v>-0.40144736842105255</v>
      </c>
      <c r="U857" s="19">
        <f ca="1">IF('Stock Price'!$I$11="OK",H857/INDEX(H$5:H$1258,'Stock Price'!$I$9)-1,"")</f>
        <v>-0.1490840770314702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109.05</v>
      </c>
      <c r="C858" s="18">
        <v>150.46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-0.21286271113035948</v>
      </c>
      <c r="P858" s="19">
        <f ca="1">IF('Stock Price'!$I$11="OK",C858/INDEX(C$5:C$1258,'Stock Price'!$I$9)-1,"")</f>
        <v>-0.17635144382099355</v>
      </c>
      <c r="Q858" s="19">
        <f ca="1">IF('Stock Price'!$I$11="OK",D858/INDEX(D$5:D$1258,'Stock Price'!$I$9)-1,"")</f>
        <v>-0.24259520451339911</v>
      </c>
      <c r="R858" s="19">
        <f ca="1">IF('Stock Price'!$I$11="OK",E858/INDEX(E$5:E$1258,'Stock Price'!$I$9)-1,"")</f>
        <v>-0.18872691933916419</v>
      </c>
      <c r="S858" s="19">
        <f ca="1">IF('Stock Price'!$I$11="OK",F858/INDEX(F$5:F$1258,'Stock Price'!$I$9)-1,"")</f>
        <v>0.12938005390835583</v>
      </c>
      <c r="T858" s="19">
        <f ca="1">IF('Stock Price'!$I$11="OK",G858/INDEX(G$5:G$1258,'Stock Price'!$I$9)-1,"")</f>
        <v>-0.4023684210526316</v>
      </c>
      <c r="U858" s="19">
        <f ca="1">IF('Stock Price'!$I$11="OK",H858/INDEX(H$5:H$1258,'Stock Price'!$I$9)-1,"")</f>
        <v>-0.13339596054485681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110.62</v>
      </c>
      <c r="C859" s="18">
        <v>151.16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-0.20153024397285979</v>
      </c>
      <c r="P859" s="19">
        <f ca="1">IF('Stock Price'!$I$11="OK",C859/INDEX(C$5:C$1258,'Stock Price'!$I$9)-1,"")</f>
        <v>-0.1725195018475435</v>
      </c>
      <c r="Q859" s="19">
        <f ca="1">IF('Stock Price'!$I$11="OK",D859/INDEX(D$5:D$1258,'Stock Price'!$I$9)-1,"")</f>
        <v>-0.23534152730203506</v>
      </c>
      <c r="R859" s="19">
        <f ca="1">IF('Stock Price'!$I$11="OK",E859/INDEX(E$5:E$1258,'Stock Price'!$I$9)-1,"")</f>
        <v>-0.18697764820213802</v>
      </c>
      <c r="S859" s="19">
        <f ca="1">IF('Stock Price'!$I$11="OK",F859/INDEX(F$5:F$1258,'Stock Price'!$I$9)-1,"")</f>
        <v>0.17188471905453051</v>
      </c>
      <c r="T859" s="19">
        <f ca="1">IF('Stock Price'!$I$11="OK",G859/INDEX(G$5:G$1258,'Stock Price'!$I$9)-1,"")</f>
        <v>-0.36842105263157898</v>
      </c>
      <c r="U859" s="19">
        <f ca="1">IF('Stock Price'!$I$11="OK",H859/INDEX(H$5:H$1258,'Stock Price'!$I$9)-1,"")</f>
        <v>-0.12494128698919682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111.42</v>
      </c>
      <c r="C860" s="18">
        <v>153.16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-0.19575573841489813</v>
      </c>
      <c r="P860" s="19">
        <f ca="1">IF('Stock Price'!$I$11="OK",C860/INDEX(C$5:C$1258,'Stock Price'!$I$9)-1,"")</f>
        <v>-0.16157109620911458</v>
      </c>
      <c r="Q860" s="19">
        <f ca="1">IF('Stock Price'!$I$11="OK",D860/INDEX(D$5:D$1258,'Stock Price'!$I$9)-1,"")</f>
        <v>-0.22566995768688303</v>
      </c>
      <c r="R860" s="19">
        <f ca="1">IF('Stock Price'!$I$11="OK",E860/INDEX(E$5:E$1258,'Stock Price'!$I$9)-1,"")</f>
        <v>-0.17376093294460648</v>
      </c>
      <c r="S860" s="19">
        <f ca="1">IF('Stock Price'!$I$11="OK",F860/INDEX(F$5:F$1258,'Stock Price'!$I$9)-1,"")</f>
        <v>0.19635081899232865</v>
      </c>
      <c r="T860" s="19">
        <f ca="1">IF('Stock Price'!$I$11="OK",G860/INDEX(G$5:G$1258,'Stock Price'!$I$9)-1,"")</f>
        <v>-0.38105263157894742</v>
      </c>
      <c r="U860" s="19">
        <f ca="1">IF('Stock Price'!$I$11="OK",H860/INDEX(H$5:H$1258,'Stock Price'!$I$9)-1,"")</f>
        <v>-0.13048379520901832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111.88</v>
      </c>
      <c r="C861" s="18">
        <v>157.58000000000001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-0.19243539771907026</v>
      </c>
      <c r="P861" s="19">
        <f ca="1">IF('Stock Price'!$I$11="OK",C861/INDEX(C$5:C$1258,'Stock Price'!$I$9)-1,"")</f>
        <v>-0.13737511974818661</v>
      </c>
      <c r="Q861" s="19">
        <f ca="1">IF('Stock Price'!$I$11="OK",D861/INDEX(D$5:D$1258,'Stock Price'!$I$9)-1,"")</f>
        <v>-0.21801329840822081</v>
      </c>
      <c r="R861" s="19">
        <f ca="1">IF('Stock Price'!$I$11="OK",E861/INDEX(E$5:E$1258,'Stock Price'!$I$9)-1,"")</f>
        <v>-0.17434402332361532</v>
      </c>
      <c r="S861" s="19">
        <f ca="1">IF('Stock Price'!$I$11="OK",F861/INDEX(F$5:F$1258,'Stock Price'!$I$9)-1,"")</f>
        <v>0.22641509433962259</v>
      </c>
      <c r="T861" s="19">
        <f ca="1">IF('Stock Price'!$I$11="OK",G861/INDEX(G$5:G$1258,'Stock Price'!$I$9)-1,"")</f>
        <v>-0.35552631578947369</v>
      </c>
      <c r="U861" s="19">
        <f ca="1">IF('Stock Price'!$I$11="OK",H861/INDEX(H$5:H$1258,'Stock Price'!$I$9)-1,"")</f>
        <v>-0.12456552372005636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112.87</v>
      </c>
      <c r="C862" s="18">
        <v>149.25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-0.18528944709109274</v>
      </c>
      <c r="P862" s="19">
        <f ca="1">IF('Stock Price'!$I$11="OK",C862/INDEX(C$5:C$1258,'Stock Price'!$I$9)-1,"")</f>
        <v>-0.18297522923224308</v>
      </c>
      <c r="Q862" s="19">
        <f ca="1">IF('Stock Price'!$I$11="OK",D862/INDEX(D$5:D$1258,'Stock Price'!$I$9)-1,"")</f>
        <v>-0.20814023775941981</v>
      </c>
      <c r="R862" s="19">
        <f ca="1">IF('Stock Price'!$I$11="OK",E862/INDEX(E$5:E$1258,'Stock Price'!$I$9)-1,"")</f>
        <v>-0.16326530612244905</v>
      </c>
      <c r="S862" s="19">
        <f ca="1">IF('Stock Price'!$I$11="OK",F862/INDEX(F$5:F$1258,'Stock Price'!$I$9)-1,"")</f>
        <v>0.23201326974911884</v>
      </c>
      <c r="T862" s="19">
        <f ca="1">IF('Stock Price'!$I$11="OK",G862/INDEX(G$5:G$1258,'Stock Price'!$I$9)-1,"")</f>
        <v>-0.34592105263157891</v>
      </c>
      <c r="U862" s="19">
        <f ca="1">IF('Stock Price'!$I$11="OK",H862/INDEX(H$5:H$1258,'Stock Price'!$I$9)-1,"")</f>
        <v>-0.11695631751996249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115.57</v>
      </c>
      <c r="C863" s="18">
        <v>149.25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-0.16580049083297244</v>
      </c>
      <c r="P863" s="19">
        <f ca="1">IF('Stock Price'!$I$11="OK",C863/INDEX(C$5:C$1258,'Stock Price'!$I$9)-1,"")</f>
        <v>-0.18297522923224308</v>
      </c>
      <c r="Q863" s="19">
        <f ca="1">IF('Stock Price'!$I$11="OK",D863/INDEX(D$5:D$1258,'Stock Price'!$I$9)-1,"")</f>
        <v>-0.19302841023574457</v>
      </c>
      <c r="R863" s="19">
        <f ca="1">IF('Stock Price'!$I$11="OK",E863/INDEX(E$5:E$1258,'Stock Price'!$I$9)-1,"")</f>
        <v>-0.14693877551020407</v>
      </c>
      <c r="S863" s="19">
        <f ca="1">IF('Stock Price'!$I$11="OK",F863/INDEX(F$5:F$1258,'Stock Price'!$I$9)-1,"")</f>
        <v>0.22848849263943616</v>
      </c>
      <c r="T863" s="19">
        <f ca="1">IF('Stock Price'!$I$11="OK",G863/INDEX(G$5:G$1258,'Stock Price'!$I$9)-1,"")</f>
        <v>-0.38815789473684215</v>
      </c>
      <c r="U863" s="19">
        <f ca="1">IF('Stock Price'!$I$11="OK",H863/INDEX(H$5:H$1258,'Stock Price'!$I$9)-1,"")</f>
        <v>-0.11085016439643025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115.47</v>
      </c>
      <c r="C864" s="18">
        <v>154.22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-0.16652230402771762</v>
      </c>
      <c r="P864" s="19">
        <f ca="1">IF('Stock Price'!$I$11="OK",C864/INDEX(C$5:C$1258,'Stock Price'!$I$9)-1,"")</f>
        <v>-0.15576844122074729</v>
      </c>
      <c r="Q864" s="19">
        <f ca="1">IF('Stock Price'!$I$11="OK",D864/INDEX(D$5:D$1258,'Stock Price'!$I$9)-1,"")</f>
        <v>-0.18758815232722148</v>
      </c>
      <c r="R864" s="19">
        <f ca="1">IF('Stock Price'!$I$11="OK",E864/INDEX(E$5:E$1258,'Stock Price'!$I$9)-1,"")</f>
        <v>-0.16307094266277944</v>
      </c>
      <c r="S864" s="19">
        <f ca="1">IF('Stock Price'!$I$11="OK",F864/INDEX(F$5:F$1258,'Stock Price'!$I$9)-1,"")</f>
        <v>0.2305618909392495</v>
      </c>
      <c r="T864" s="19">
        <f ca="1">IF('Stock Price'!$I$11="OK",G864/INDEX(G$5:G$1258,'Stock Price'!$I$9)-1,"")</f>
        <v>-0.38013157894736838</v>
      </c>
      <c r="U864" s="19">
        <f ca="1">IF('Stock Price'!$I$11="OK",H864/INDEX(H$5:H$1258,'Stock Price'!$I$9)-1,"")</f>
        <v>-0.10540159699389384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111.35</v>
      </c>
      <c r="C865" s="18">
        <v>154.22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-0.1962610076512199</v>
      </c>
      <c r="P865" s="19">
        <f ca="1">IF('Stock Price'!$I$11="OK",C865/INDEX(C$5:C$1258,'Stock Price'!$I$9)-1,"")</f>
        <v>-0.15576844122074729</v>
      </c>
      <c r="Q865" s="19">
        <f ca="1">IF('Stock Price'!$I$11="OK",D865/INDEX(D$5:D$1258,'Stock Price'!$I$9)-1,"")</f>
        <v>-0.20411041708643973</v>
      </c>
      <c r="R865" s="19">
        <f ca="1">IF('Stock Price'!$I$11="OK",E865/INDEX(E$5:E$1258,'Stock Price'!$I$9)-1,"")</f>
        <v>-0.18367346938775519</v>
      </c>
      <c r="S865" s="19">
        <f ca="1">IF('Stock Price'!$I$11="OK",F865/INDEX(F$5:F$1258,'Stock Price'!$I$9)-1,"")</f>
        <v>0.21791416131038788</v>
      </c>
      <c r="T865" s="19">
        <f ca="1">IF('Stock Price'!$I$11="OK",G865/INDEX(G$5:G$1258,'Stock Price'!$I$9)-1,"")</f>
        <v>-0.37789473684210528</v>
      </c>
      <c r="U865" s="19">
        <f ca="1">IF('Stock Price'!$I$11="OK",H865/INDEX(H$5:H$1258,'Stock Price'!$I$9)-1,"")</f>
        <v>-0.11009863785814933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108.64</v>
      </c>
      <c r="C866" s="18">
        <v>149.4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-0.21582214522881471</v>
      </c>
      <c r="P866" s="19">
        <f ca="1">IF('Stock Price'!$I$11="OK",C866/INDEX(C$5:C$1258,'Stock Price'!$I$9)-1,"")</f>
        <v>-0.18215409880936095</v>
      </c>
      <c r="Q866" s="19">
        <f ca="1">IF('Stock Price'!$I$11="OK",D866/INDEX(D$5:D$1258,'Stock Price'!$I$9)-1,"")</f>
        <v>-0.2166028611726778</v>
      </c>
      <c r="R866" s="19">
        <f ca="1">IF('Stock Price'!$I$11="OK",E866/INDEX(E$5:E$1258,'Stock Price'!$I$9)-1,"")</f>
        <v>-0.15335276967930034</v>
      </c>
      <c r="S866" s="19">
        <f ca="1">IF('Stock Price'!$I$11="OK",F866/INDEX(F$5:F$1258,'Stock Price'!$I$9)-1,"")</f>
        <v>0.19614347916234709</v>
      </c>
      <c r="T866" s="19">
        <f ca="1">IF('Stock Price'!$I$11="OK",G866/INDEX(G$5:G$1258,'Stock Price'!$I$9)-1,"")</f>
        <v>-0.39473684210526316</v>
      </c>
      <c r="U866" s="19">
        <f ca="1">IF('Stock Price'!$I$11="OK",H866/INDEX(H$5:H$1258,'Stock Price'!$I$9)-1,"")</f>
        <v>-0.12306247064349463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109.11</v>
      </c>
      <c r="C867" s="18">
        <v>154.46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-0.21242962321351233</v>
      </c>
      <c r="P867" s="19">
        <f ca="1">IF('Stock Price'!$I$11="OK",C867/INDEX(C$5:C$1258,'Stock Price'!$I$9)-1,"")</f>
        <v>-0.15445463254413572</v>
      </c>
      <c r="Q867" s="19">
        <f ca="1">IF('Stock Price'!$I$11="OK",D867/INDEX(D$5:D$1258,'Stock Price'!$I$9)-1,"")</f>
        <v>-0.20955067499496283</v>
      </c>
      <c r="R867" s="19">
        <f ca="1">IF('Stock Price'!$I$11="OK",E867/INDEX(E$5:E$1258,'Stock Price'!$I$9)-1,"")</f>
        <v>-0.1669582118561711</v>
      </c>
      <c r="S867" s="19">
        <f ca="1">IF('Stock Price'!$I$11="OK",F867/INDEX(F$5:F$1258,'Stock Price'!$I$9)-1,"")</f>
        <v>0.1973875181422351</v>
      </c>
      <c r="T867" s="19">
        <f ca="1">IF('Stock Price'!$I$11="OK",G867/INDEX(G$5:G$1258,'Stock Price'!$I$9)-1,"")</f>
        <v>-0.39736842105263159</v>
      </c>
      <c r="U867" s="19">
        <f ca="1">IF('Stock Price'!$I$11="OK",H867/INDEX(H$5:H$1258,'Stock Price'!$I$9)-1,"")</f>
        <v>-0.11028651949271961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109.06</v>
      </c>
      <c r="C868" s="18">
        <v>153.56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-0.21279052981088487</v>
      </c>
      <c r="P868" s="19">
        <f ca="1">IF('Stock Price'!$I$11="OK",C868/INDEX(C$5:C$1258,'Stock Price'!$I$9)-1,"")</f>
        <v>-0.15938141508142878</v>
      </c>
      <c r="Q868" s="19">
        <f ca="1">IF('Stock Price'!$I$11="OK",D868/INDEX(D$5:D$1258,'Stock Price'!$I$9)-1,"")</f>
        <v>-0.2043119081200887</v>
      </c>
      <c r="R868" s="19">
        <f ca="1">IF('Stock Price'!$I$11="OK",E868/INDEX(E$5:E$1258,'Stock Price'!$I$9)-1,"")</f>
        <v>-0.15918367346938789</v>
      </c>
      <c r="S868" s="19">
        <f ca="1">IF('Stock Price'!$I$11="OK",F868/INDEX(F$5:F$1258,'Stock Price'!$I$9)-1,"")</f>
        <v>0.1973875181422351</v>
      </c>
      <c r="T868" s="19">
        <f ca="1">IF('Stock Price'!$I$11="OK",G868/INDEX(G$5:G$1258,'Stock Price'!$I$9)-1,"")</f>
        <v>-0.3872368421052631</v>
      </c>
      <c r="U868" s="19">
        <f ca="1">IF('Stock Price'!$I$11="OK",H868/INDEX(H$5:H$1258,'Stock Price'!$I$9)-1,"")</f>
        <v>-0.11160169093471117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112.22</v>
      </c>
      <c r="C869" s="18">
        <v>154.97999999999999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-0.18998123285693658</v>
      </c>
      <c r="P869" s="19">
        <f ca="1">IF('Stock Price'!$I$11="OK",C869/INDEX(C$5:C$1258,'Stock Price'!$I$9)-1,"")</f>
        <v>-0.15160804707814435</v>
      </c>
      <c r="Q869" s="19">
        <f ca="1">IF('Stock Price'!$I$11="OK",D869/INDEX(D$5:D$1258,'Stock Price'!$I$9)-1,"")</f>
        <v>-0.1889985895627645</v>
      </c>
      <c r="R869" s="19">
        <f ca="1">IF('Stock Price'!$I$11="OK",E869/INDEX(E$5:E$1258,'Stock Price'!$I$9)-1,"")</f>
        <v>-0.14013605442176869</v>
      </c>
      <c r="S869" s="19">
        <f ca="1">IF('Stock Price'!$I$11="OK",F869/INDEX(F$5:F$1258,'Stock Price'!$I$9)-1,"")</f>
        <v>0.2216462782500519</v>
      </c>
      <c r="T869" s="19">
        <f ca="1">IF('Stock Price'!$I$11="OK",G869/INDEX(G$5:G$1258,'Stock Price'!$I$9)-1,"")</f>
        <v>-0.37394736842105269</v>
      </c>
      <c r="U869" s="19">
        <f ca="1">IF('Stock Price'!$I$11="OK",H869/INDEX(H$5:H$1258,'Stock Price'!$I$9)-1,"")</f>
        <v>-0.10953499295443869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112.22</v>
      </c>
      <c r="C870" s="18">
        <v>153.21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-0.18998123285693658</v>
      </c>
      <c r="P870" s="19">
        <f ca="1">IF('Stock Price'!$I$11="OK",C870/INDEX(C$5:C$1258,'Stock Price'!$I$9)-1,"")</f>
        <v>-0.1612973860681538</v>
      </c>
      <c r="Q870" s="19">
        <f ca="1">IF('Stock Price'!$I$11="OK",D870/INDEX(D$5:D$1258,'Stock Price'!$I$9)-1,"")</f>
        <v>-0.18617771509167846</v>
      </c>
      <c r="R870" s="19">
        <f ca="1">IF('Stock Price'!$I$11="OK",E870/INDEX(E$5:E$1258,'Stock Price'!$I$9)-1,"")</f>
        <v>-0.14363459669582124</v>
      </c>
      <c r="S870" s="19">
        <f ca="1">IF('Stock Price'!$I$11="OK",F870/INDEX(F$5:F$1258,'Stock Price'!$I$9)-1,"")</f>
        <v>0.22558573501969725</v>
      </c>
      <c r="T870" s="19">
        <f ca="1">IF('Stock Price'!$I$11="OK",G870/INDEX(G$5:G$1258,'Stock Price'!$I$9)-1,"")</f>
        <v>-0.34842105263157885</v>
      </c>
      <c r="U870" s="19">
        <f ca="1">IF('Stock Price'!$I$11="OK",H870/INDEX(H$5:H$1258,'Stock Price'!$I$9)-1,"")</f>
        <v>-0.11019257867543453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111.56</v>
      </c>
      <c r="C871" s="18">
        <v>154.19999999999999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-0.19474519994225492</v>
      </c>
      <c r="P871" s="19">
        <f ca="1">IF('Stock Price'!$I$11="OK",C871/INDEX(C$5:C$1258,'Stock Price'!$I$9)-1,"")</f>
        <v>-0.15587792527713162</v>
      </c>
      <c r="Q871" s="19">
        <f ca="1">IF('Stock Price'!$I$11="OK",D871/INDEX(D$5:D$1258,'Stock Price'!$I$9)-1,"")</f>
        <v>-0.20310296191819477</v>
      </c>
      <c r="R871" s="19">
        <f ca="1">IF('Stock Price'!$I$11="OK",E871/INDEX(E$5:E$1258,'Stock Price'!$I$9)-1,"")</f>
        <v>-0.157240038872692</v>
      </c>
      <c r="S871" s="19">
        <f ca="1">IF('Stock Price'!$I$11="OK",F871/INDEX(F$5:F$1258,'Stock Price'!$I$9)-1,"")</f>
        <v>0.21501140369064897</v>
      </c>
      <c r="T871" s="19">
        <f ca="1">IF('Stock Price'!$I$11="OK",G871/INDEX(G$5:G$1258,'Stock Price'!$I$9)-1,"")</f>
        <v>-0.35828947368421049</v>
      </c>
      <c r="U871" s="19">
        <f ca="1">IF('Stock Price'!$I$11="OK",H871/INDEX(H$5:H$1258,'Stock Price'!$I$9)-1,"")</f>
        <v>-0.11676843588539232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113.21</v>
      </c>
      <c r="C872" s="18">
        <v>154.63999999999999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-0.18283528222895917</v>
      </c>
      <c r="P872" s="19">
        <f ca="1">IF('Stock Price'!$I$11="OK",C872/INDEX(C$5:C$1258,'Stock Price'!$I$9)-1,"")</f>
        <v>-0.15346927603667726</v>
      </c>
      <c r="Q872" s="19">
        <f ca="1">IF('Stock Price'!$I$11="OK",D872/INDEX(D$5:D$1258,'Stock Price'!$I$9)-1,"")</f>
        <v>-0.2059238363892808</v>
      </c>
      <c r="R872" s="19">
        <f ca="1">IF('Stock Price'!$I$11="OK",E872/INDEX(E$5:E$1258,'Stock Price'!$I$9)-1,"")</f>
        <v>-0.15607385811467445</v>
      </c>
      <c r="S872" s="19">
        <f ca="1">IF('Stock Price'!$I$11="OK",F872/INDEX(F$5:F$1258,'Stock Price'!$I$9)-1,"")</f>
        <v>0.19821687746216043</v>
      </c>
      <c r="T872" s="19">
        <f ca="1">IF('Stock Price'!$I$11="OK",G872/INDEX(G$5:G$1258,'Stock Price'!$I$9)-1,"")</f>
        <v>-0.36855263157894735</v>
      </c>
      <c r="U872" s="19">
        <f ca="1">IF('Stock Price'!$I$11="OK",H872/INDEX(H$5:H$1258,'Stock Price'!$I$9)-1,"")</f>
        <v>-0.11009863785814933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112.13</v>
      </c>
      <c r="C873" s="18">
        <v>153.41999999999999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-0.19063086473220725</v>
      </c>
      <c r="P873" s="19">
        <f ca="1">IF('Stock Price'!$I$11="OK",C873/INDEX(C$5:C$1258,'Stock Price'!$I$9)-1,"")</f>
        <v>-0.1601478034761189</v>
      </c>
      <c r="Q873" s="19">
        <f ca="1">IF('Stock Price'!$I$11="OK",D873/INDEX(D$5:D$1258,'Stock Price'!$I$9)-1,"")</f>
        <v>-0.20934918396131375</v>
      </c>
      <c r="R873" s="19">
        <f ca="1">IF('Stock Price'!$I$11="OK",E873/INDEX(E$5:E$1258,'Stock Price'!$I$9)-1,"")</f>
        <v>-0.15063168124392612</v>
      </c>
      <c r="S873" s="19">
        <f ca="1">IF('Stock Price'!$I$11="OK",F873/INDEX(F$5:F$1258,'Stock Price'!$I$9)-1,"")</f>
        <v>0.17976363259382122</v>
      </c>
      <c r="T873" s="19">
        <f ca="1">IF('Stock Price'!$I$11="OK",G873/INDEX(G$5:G$1258,'Stock Price'!$I$9)-1,"")</f>
        <v>-0.36631578947368426</v>
      </c>
      <c r="U873" s="19">
        <f ca="1">IF('Stock Price'!$I$11="OK",H873/INDEX(H$5:H$1258,'Stock Price'!$I$9)-1,"")</f>
        <v>-0.12531705025833728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111.09</v>
      </c>
      <c r="C874" s="18">
        <v>143.4135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-0.1981377219575573</v>
      </c>
      <c r="P874" s="19">
        <f ca="1">IF('Stock Price'!$I$11="OK",C874/INDEX(C$5:C$1258,'Stock Price'!$I$9)-1,"")</f>
        <v>-0.21492541398658827</v>
      </c>
      <c r="Q874" s="19">
        <f ca="1">IF('Stock Price'!$I$11="OK",D874/INDEX(D$5:D$1258,'Stock Price'!$I$9)-1,"")</f>
        <v>-0.22284908321579688</v>
      </c>
      <c r="R874" s="19">
        <f ca="1">IF('Stock Price'!$I$11="OK",E874/INDEX(E$5:E$1258,'Stock Price'!$I$9)-1,"")</f>
        <v>-0.16598639455782327</v>
      </c>
      <c r="S874" s="19">
        <f ca="1">IF('Stock Price'!$I$11="OK",F874/INDEX(F$5:F$1258,'Stock Price'!$I$9)-1,"")</f>
        <v>0.15965166908563133</v>
      </c>
      <c r="T874" s="19">
        <f ca="1">IF('Stock Price'!$I$11="OK",G874/INDEX(G$5:G$1258,'Stock Price'!$I$9)-1,"")</f>
        <v>-0.41026315789473689</v>
      </c>
      <c r="U874" s="19">
        <f ca="1">IF('Stock Price'!$I$11="OK",H874/INDEX(H$5:H$1258,'Stock Price'!$I$9)-1,"")</f>
        <v>-0.13283231564114606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110.38</v>
      </c>
      <c r="C875" s="18">
        <v>147.55000000000001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-0.20326259564024829</v>
      </c>
      <c r="P875" s="19">
        <f ca="1">IF('Stock Price'!$I$11="OK",C875/INDEX(C$5:C$1258,'Stock Price'!$I$9)-1,"")</f>
        <v>-0.19228137402490764</v>
      </c>
      <c r="Q875" s="19">
        <f ca="1">IF('Stock Price'!$I$11="OK",D875/INDEX(D$5:D$1258,'Stock Price'!$I$9)-1,"")</f>
        <v>-0.22264759218214802</v>
      </c>
      <c r="R875" s="19">
        <f ca="1">IF('Stock Price'!$I$11="OK",E875/INDEX(E$5:E$1258,'Stock Price'!$I$9)-1,"")</f>
        <v>-0.15685131195335278</v>
      </c>
      <c r="S875" s="19">
        <f ca="1">IF('Stock Price'!$I$11="OK",F875/INDEX(F$5:F$1258,'Stock Price'!$I$9)-1,"")</f>
        <v>0.14969935724652728</v>
      </c>
      <c r="T875" s="19">
        <f ca="1">IF('Stock Price'!$I$11="OK",G875/INDEX(G$5:G$1258,'Stock Price'!$I$9)-1,"")</f>
        <v>-0.37973684210526315</v>
      </c>
      <c r="U875" s="19">
        <f ca="1">IF('Stock Price'!$I$11="OK",H875/INDEX(H$5:H$1258,'Stock Price'!$I$9)-1,"")</f>
        <v>-0.17454203851573502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110.14</v>
      </c>
      <c r="C876" s="18">
        <v>143.4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-0.20499494730763679</v>
      </c>
      <c r="P876" s="19">
        <f ca="1">IF('Stock Price'!$I$11="OK",C876/INDEX(C$5:C$1258,'Stock Price'!$I$9)-1,"")</f>
        <v>-0.21499931572464759</v>
      </c>
      <c r="Q876" s="19">
        <f ca="1">IF('Stock Price'!$I$11="OK",D876/INDEX(D$5:D$1258,'Stock Price'!$I$9)-1,"")</f>
        <v>-0.22808785009067101</v>
      </c>
      <c r="R876" s="19">
        <f ca="1">IF('Stock Price'!$I$11="OK",E876/INDEX(E$5:E$1258,'Stock Price'!$I$9)-1,"")</f>
        <v>-0.17142857142857137</v>
      </c>
      <c r="S876" s="19">
        <f ca="1">IF('Stock Price'!$I$11="OK",F876/INDEX(F$5:F$1258,'Stock Price'!$I$9)-1,"")</f>
        <v>0.13000207339829983</v>
      </c>
      <c r="T876" s="19">
        <f ca="1">IF('Stock Price'!$I$11="OK",G876/INDEX(G$5:G$1258,'Stock Price'!$I$9)-1,"")</f>
        <v>-0.40039473684210525</v>
      </c>
      <c r="U876" s="19">
        <f ca="1">IF('Stock Price'!$I$11="OK",H876/INDEX(H$5:H$1258,'Stock Price'!$I$9)-1,"")</f>
        <v>-0.17228745890089248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111.4</v>
      </c>
      <c r="C877" s="18">
        <v>140.1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-0.19590010105384714</v>
      </c>
      <c r="P877" s="19">
        <f ca="1">IF('Stock Price'!$I$11="OK",C877/INDEX(C$5:C$1258,'Stock Price'!$I$9)-1,"")</f>
        <v>-0.23306418502805537</v>
      </c>
      <c r="Q877" s="19">
        <f ca="1">IF('Stock Price'!$I$11="OK",D877/INDEX(D$5:D$1258,'Stock Price'!$I$9)-1,"")</f>
        <v>-0.22385653838404185</v>
      </c>
      <c r="R877" s="19">
        <f ca="1">IF('Stock Price'!$I$11="OK",E877/INDEX(E$5:E$1258,'Stock Price'!$I$9)-1,"")</f>
        <v>-0.1768707482993197</v>
      </c>
      <c r="S877" s="19">
        <f ca="1">IF('Stock Price'!$I$11="OK",F877/INDEX(F$5:F$1258,'Stock Price'!$I$9)-1,"")</f>
        <v>0.13850300642753477</v>
      </c>
      <c r="T877" s="19">
        <f ca="1">IF('Stock Price'!$I$11="OK",G877/INDEX(G$5:G$1258,'Stock Price'!$I$9)-1,"")</f>
        <v>-0.4034210526315789</v>
      </c>
      <c r="U877" s="19">
        <f ca="1">IF('Stock Price'!$I$11="OK",H877/INDEX(H$5:H$1258,'Stock Price'!$I$9)-1,"")</f>
        <v>-0.17707844058243316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112.57</v>
      </c>
      <c r="C878" s="18">
        <v>147.47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-0.18745488667532839</v>
      </c>
      <c r="P878" s="19">
        <f ca="1">IF('Stock Price'!$I$11="OK",C878/INDEX(C$5:C$1258,'Stock Price'!$I$9)-1,"")</f>
        <v>-0.19271931025044486</v>
      </c>
      <c r="Q878" s="19">
        <f ca="1">IF('Stock Price'!$I$11="OK",D878/INDEX(D$5:D$1258,'Stock Price'!$I$9)-1,"")</f>
        <v>-0.21942373564376383</v>
      </c>
      <c r="R878" s="19">
        <f ca="1">IF('Stock Price'!$I$11="OK",E878/INDEX(E$5:E$1258,'Stock Price'!$I$9)-1,"")</f>
        <v>-0.18522837706511175</v>
      </c>
      <c r="S878" s="19">
        <f ca="1">IF('Stock Price'!$I$11="OK",F878/INDEX(F$5:F$1258,'Stock Price'!$I$9)-1,"")</f>
        <v>0.15737093095583665</v>
      </c>
      <c r="T878" s="19">
        <f ca="1">IF('Stock Price'!$I$11="OK",G878/INDEX(G$5:G$1258,'Stock Price'!$I$9)-1,"")</f>
        <v>-0.40605263157894733</v>
      </c>
      <c r="U878" s="19">
        <f ca="1">IF('Stock Price'!$I$11="OK",H878/INDEX(H$5:H$1258,'Stock Price'!$I$9)-1,"")</f>
        <v>-0.16176608736496001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111.48</v>
      </c>
      <c r="C879" s="18">
        <v>147.36000000000001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-0.19532265049805098</v>
      </c>
      <c r="P879" s="19">
        <f ca="1">IF('Stock Price'!$I$11="OK",C879/INDEX(C$5:C$1258,'Stock Price'!$I$9)-1,"")</f>
        <v>-0.19332147256055832</v>
      </c>
      <c r="Q879" s="19">
        <f ca="1">IF('Stock Price'!$I$11="OK",D879/INDEX(D$5:D$1258,'Stock Price'!$I$9)-1,"")</f>
        <v>-0.21942373564376383</v>
      </c>
      <c r="R879" s="19">
        <f ca="1">IF('Stock Price'!$I$11="OK",E879/INDEX(E$5:E$1258,'Stock Price'!$I$9)-1,"")</f>
        <v>-0.20019436345966968</v>
      </c>
      <c r="S879" s="19">
        <f ca="1">IF('Stock Price'!$I$11="OK",F879/INDEX(F$5:F$1258,'Stock Price'!$I$9)-1,"")</f>
        <v>0.14990669707650839</v>
      </c>
      <c r="T879" s="19">
        <f ca="1">IF('Stock Price'!$I$11="OK",G879/INDEX(G$5:G$1258,'Stock Price'!$I$9)-1,"")</f>
        <v>-0.41921052631578948</v>
      </c>
      <c r="U879" s="19">
        <f ca="1">IF('Stock Price'!$I$11="OK",H879/INDEX(H$5:H$1258,'Stock Price'!$I$9)-1,"")</f>
        <v>-0.15678722404884915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109.61</v>
      </c>
      <c r="C880" s="18">
        <v>148.12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-0.20882055723978632</v>
      </c>
      <c r="P880" s="19">
        <f ca="1">IF('Stock Price'!$I$11="OK",C880/INDEX(C$5:C$1258,'Stock Price'!$I$9)-1,"")</f>
        <v>-0.18916107841795538</v>
      </c>
      <c r="Q880" s="19">
        <f ca="1">IF('Stock Price'!$I$11="OK",D880/INDEX(D$5:D$1258,'Stock Price'!$I$9)-1,"")</f>
        <v>-0.23695345557122716</v>
      </c>
      <c r="R880" s="19">
        <f ca="1">IF('Stock Price'!$I$11="OK",E880/INDEX(E$5:E$1258,'Stock Price'!$I$9)-1,"")</f>
        <v>-0.20155490767735673</v>
      </c>
      <c r="S880" s="19">
        <f ca="1">IF('Stock Price'!$I$11="OK",F880/INDEX(F$5:F$1258,'Stock Price'!$I$9)-1,"")</f>
        <v>0.12668463611859848</v>
      </c>
      <c r="T880" s="19">
        <f ca="1">IF('Stock Price'!$I$11="OK",G880/INDEX(G$5:G$1258,'Stock Price'!$I$9)-1,"")</f>
        <v>-0.41276315789473683</v>
      </c>
      <c r="U880" s="19">
        <f ca="1">IF('Stock Price'!$I$11="OK",H880/INDEX(H$5:H$1258,'Stock Price'!$I$9)-1,"")</f>
        <v>-0.18158759981211836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110.77</v>
      </c>
      <c r="C881" s="18">
        <v>147.375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-0.20044752418074196</v>
      </c>
      <c r="P881" s="19">
        <f ca="1">IF('Stock Price'!$I$11="OK",C881/INDEX(C$5:C$1258,'Stock Price'!$I$9)-1,"")</f>
        <v>-0.1932393595182702</v>
      </c>
      <c r="Q881" s="19">
        <f ca="1">IF('Stock Price'!$I$11="OK",D881/INDEX(D$5:D$1258,'Stock Price'!$I$9)-1,"")</f>
        <v>-0.24158774934515415</v>
      </c>
      <c r="R881" s="19">
        <f ca="1">IF('Stock Price'!$I$11="OK",E881/INDEX(E$5:E$1258,'Stock Price'!$I$9)-1,"")</f>
        <v>-0.23479105928085531</v>
      </c>
      <c r="S881" s="19">
        <f ca="1">IF('Stock Price'!$I$11="OK",F881/INDEX(F$5:F$1258,'Stock Price'!$I$9)-1,"")</f>
        <v>0.11859838274932621</v>
      </c>
      <c r="T881" s="19">
        <f ca="1">IF('Stock Price'!$I$11="OK",G881/INDEX(G$5:G$1258,'Stock Price'!$I$9)-1,"")</f>
        <v>-0.43618421052631573</v>
      </c>
      <c r="U881" s="19">
        <f ca="1">IF('Stock Price'!$I$11="OK",H881/INDEX(H$5:H$1258,'Stock Price'!$I$9)-1,"")</f>
        <v>-0.18647252231094413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112.26</v>
      </c>
      <c r="C882" s="18">
        <v>150.84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-0.18969250757903844</v>
      </c>
      <c r="P882" s="19">
        <f ca="1">IF('Stock Price'!$I$11="OK",C882/INDEX(C$5:C$1258,'Stock Price'!$I$9)-1,"")</f>
        <v>-0.17427124674969208</v>
      </c>
      <c r="Q882" s="19">
        <f ca="1">IF('Stock Price'!$I$11="OK",D882/INDEX(D$5:D$1258,'Stock Price'!$I$9)-1,"")</f>
        <v>-0.21398347773524085</v>
      </c>
      <c r="R882" s="19">
        <f ca="1">IF('Stock Price'!$I$11="OK",E882/INDEX(E$5:E$1258,'Stock Price'!$I$9)-1,"")</f>
        <v>-0.22215743440233238</v>
      </c>
      <c r="S882" s="19">
        <f ca="1">IF('Stock Price'!$I$11="OK",F882/INDEX(F$5:F$1258,'Stock Price'!$I$9)-1,"")</f>
        <v>0.13249015135807585</v>
      </c>
      <c r="T882" s="19">
        <f ca="1">IF('Stock Price'!$I$11="OK",G882/INDEX(G$5:G$1258,'Stock Price'!$I$9)-1,"")</f>
        <v>-0.44039473684210528</v>
      </c>
      <c r="U882" s="19">
        <f ca="1">IF('Stock Price'!$I$11="OK",H882/INDEX(H$5:H$1258,'Stock Price'!$I$9)-1,"")</f>
        <v>-0.18844527947393142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105.85</v>
      </c>
      <c r="C883" s="18">
        <v>136.63990000000001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-0.23596073336220591</v>
      </c>
      <c r="P883" s="19">
        <f ca="1">IF('Stock Price'!$I$11="OK",C883/INDEX(C$5:C$1258,'Stock Price'!$I$9)-1,"")</f>
        <v>-0.25200547420281916</v>
      </c>
      <c r="Q883" s="19">
        <f ca="1">IF('Stock Price'!$I$11="OK",D883/INDEX(D$5:D$1258,'Stock Price'!$I$9)-1,"")</f>
        <v>-0.26395325408019343</v>
      </c>
      <c r="R883" s="19">
        <f ca="1">IF('Stock Price'!$I$11="OK",E883/INDEX(E$5:E$1258,'Stock Price'!$I$9)-1,"")</f>
        <v>-0.26822157434402338</v>
      </c>
      <c r="S883" s="19">
        <f ca="1">IF('Stock Price'!$I$11="OK",F883/INDEX(F$5:F$1258,'Stock Price'!$I$9)-1,"")</f>
        <v>7.775243624300221E-2</v>
      </c>
      <c r="T883" s="19">
        <f ca="1">IF('Stock Price'!$I$11="OK",G883/INDEX(G$5:G$1258,'Stock Price'!$I$9)-1,"")</f>
        <v>-0.47118421052631587</v>
      </c>
      <c r="U883" s="19">
        <f ca="1">IF('Stock Price'!$I$11="OK",H883/INDEX(H$5:H$1258,'Stock Price'!$I$9)-1,"")</f>
        <v>-0.2346641615782058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102.87</v>
      </c>
      <c r="C884" s="18">
        <v>129.91489999999999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-0.25747076656561274</v>
      </c>
      <c r="P884" s="19">
        <f ca="1">IF('Stock Price'!$I$11="OK",C884/INDEX(C$5:C$1258,'Stock Price'!$I$9)-1,"")</f>
        <v>-0.28881948816203651</v>
      </c>
      <c r="Q884" s="19">
        <f ca="1">IF('Stock Price'!$I$11="OK",D884/INDEX(D$5:D$1258,'Stock Price'!$I$9)-1,"")</f>
        <v>-0.29800523876687479</v>
      </c>
      <c r="R884" s="19">
        <f ca="1">IF('Stock Price'!$I$11="OK",E884/INDEX(E$5:E$1258,'Stock Price'!$I$9)-1,"")</f>
        <v>-0.30029154518950441</v>
      </c>
      <c r="S884" s="19">
        <f ca="1">IF('Stock Price'!$I$11="OK",F884/INDEX(F$5:F$1258,'Stock Price'!$I$9)-1,"")</f>
        <v>5.2456976985278958E-2</v>
      </c>
      <c r="T884" s="19">
        <f ca="1">IF('Stock Price'!$I$11="OK",G884/INDEX(G$5:G$1258,'Stock Price'!$I$9)-1,"")</f>
        <v>-0.4781052631578947</v>
      </c>
      <c r="U884" s="19">
        <f ca="1">IF('Stock Price'!$I$11="OK",H884/INDEX(H$5:H$1258,'Stock Price'!$I$9)-1,"")</f>
        <v>-0.23738844527947389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101.96</v>
      </c>
      <c r="C885" s="18">
        <v>132.4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-0.26403926663779409</v>
      </c>
      <c r="P885" s="19">
        <f ca="1">IF('Stock Price'!$I$11="OK",C885/INDEX(C$5:C$1258,'Stock Price'!$I$9)-1,"")</f>
        <v>-0.27521554673600657</v>
      </c>
      <c r="Q885" s="19">
        <f ca="1">IF('Stock Price'!$I$11="OK",D885/INDEX(D$5:D$1258,'Stock Price'!$I$9)-1,"")</f>
        <v>-0.31231110215595403</v>
      </c>
      <c r="R885" s="19">
        <f ca="1">IF('Stock Price'!$I$11="OK",E885/INDEX(E$5:E$1258,'Stock Price'!$I$9)-1,"")</f>
        <v>-0.30223517978620029</v>
      </c>
      <c r="S885" s="19">
        <f ca="1">IF('Stock Price'!$I$11="OK",F885/INDEX(F$5:F$1258,'Stock Price'!$I$9)-1,"")</f>
        <v>3.379639228695841E-2</v>
      </c>
      <c r="T885" s="19">
        <f ca="1">IF('Stock Price'!$I$11="OK",G885/INDEX(G$5:G$1258,'Stock Price'!$I$9)-1,"")</f>
        <v>-0.46302631578947362</v>
      </c>
      <c r="U885" s="19">
        <f ca="1">IF('Stock Price'!$I$11="OK",H885/INDEX(H$5:H$1258,'Stock Price'!$I$9)-1,"")</f>
        <v>-0.25833724753405352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103.85</v>
      </c>
      <c r="C886" s="18">
        <v>129.16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-0.25039699725710984</v>
      </c>
      <c r="P886" s="19">
        <f ca="1">IF('Stock Price'!$I$11="OK",C886/INDEX(C$5:C$1258,'Stock Price'!$I$9)-1,"")</f>
        <v>-0.29295196387026146</v>
      </c>
      <c r="Q886" s="19">
        <f ca="1">IF('Stock Price'!$I$11="OK",D886/INDEX(D$5:D$1258,'Stock Price'!$I$9)-1,"")</f>
        <v>-0.30525891597823906</v>
      </c>
      <c r="R886" s="19">
        <f ca="1">IF('Stock Price'!$I$11="OK",E886/INDEX(E$5:E$1258,'Stock Price'!$I$9)-1,"")</f>
        <v>-0.27891156462585032</v>
      </c>
      <c r="S886" s="19">
        <f ca="1">IF('Stock Price'!$I$11="OK",F886/INDEX(F$5:F$1258,'Stock Price'!$I$9)-1,"")</f>
        <v>6.1787269334439232E-2</v>
      </c>
      <c r="T886" s="19">
        <f ca="1">IF('Stock Price'!$I$11="OK",G886/INDEX(G$5:G$1258,'Stock Price'!$I$9)-1,"")</f>
        <v>-0.48768421052631583</v>
      </c>
      <c r="U886" s="19">
        <f ca="1">IF('Stock Price'!$I$11="OK",H886/INDEX(H$5:H$1258,'Stock Price'!$I$9)-1,"")</f>
        <v>-0.23053076561766095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103.4</v>
      </c>
      <c r="C887" s="18">
        <v>128.91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-0.25364515663346321</v>
      </c>
      <c r="P887" s="19">
        <f ca="1">IF('Stock Price'!$I$11="OK",C887/INDEX(C$5:C$1258,'Stock Price'!$I$9)-1,"")</f>
        <v>-0.29432051457506503</v>
      </c>
      <c r="Q887" s="19">
        <f ca="1">IF('Stock Price'!$I$11="OK",D887/INDEX(D$5:D$1258,'Stock Price'!$I$9)-1,"")</f>
        <v>-0.32299012693935125</v>
      </c>
      <c r="R887" s="19">
        <f ca="1">IF('Stock Price'!$I$11="OK",E887/INDEX(E$5:E$1258,'Stock Price'!$I$9)-1,"")</f>
        <v>-0.28357628765792031</v>
      </c>
      <c r="S887" s="19">
        <f ca="1">IF('Stock Price'!$I$11="OK",F887/INDEX(F$5:F$1258,'Stock Price'!$I$9)-1,"")</f>
        <v>2.9649595687331498E-2</v>
      </c>
      <c r="T887" s="19">
        <f ca="1">IF('Stock Price'!$I$11="OK",G887/INDEX(G$5:G$1258,'Stock Price'!$I$9)-1,"")</f>
        <v>-0.47652631578947369</v>
      </c>
      <c r="U887" s="19">
        <f ca="1">IF('Stock Price'!$I$11="OK",H887/INDEX(H$5:H$1258,'Stock Price'!$I$9)-1,"")</f>
        <v>-0.2714889619539691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107.52</v>
      </c>
      <c r="C888" s="18">
        <v>132.68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-0.22390645300996104</v>
      </c>
      <c r="P888" s="19">
        <f ca="1">IF('Stock Price'!$I$11="OK",C888/INDEX(C$5:C$1258,'Stock Price'!$I$9)-1,"")</f>
        <v>-0.27368276994662655</v>
      </c>
      <c r="Q888" s="19">
        <f ca="1">IF('Stock Price'!$I$11="OK",D888/INDEX(D$5:D$1258,'Stock Price'!$I$9)-1,"")</f>
        <v>-0.30203505943985498</v>
      </c>
      <c r="R888" s="19">
        <f ca="1">IF('Stock Price'!$I$11="OK",E888/INDEX(E$5:E$1258,'Stock Price'!$I$9)-1,"")</f>
        <v>-0.25947521865889212</v>
      </c>
      <c r="S888" s="19">
        <f ca="1">IF('Stock Price'!$I$11="OK",F888/INDEX(F$5:F$1258,'Stock Price'!$I$9)-1,"")</f>
        <v>6.7800124403898154E-2</v>
      </c>
      <c r="T888" s="19">
        <f ca="1">IF('Stock Price'!$I$11="OK",G888/INDEX(G$5:G$1258,'Stock Price'!$I$9)-1,"")</f>
        <v>-0.46947368421052627</v>
      </c>
      <c r="U888" s="19">
        <f ca="1">IF('Stock Price'!$I$11="OK",H888/INDEX(H$5:H$1258,'Stock Price'!$I$9)-1,"")</f>
        <v>-0.25617660873649595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109.46</v>
      </c>
      <c r="C889" s="18">
        <v>131.31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-0.20990327703190415</v>
      </c>
      <c r="P889" s="19">
        <f ca="1">IF('Stock Price'!$I$11="OK",C889/INDEX(C$5:C$1258,'Stock Price'!$I$9)-1,"")</f>
        <v>-0.28118242780895031</v>
      </c>
      <c r="Q889" s="19">
        <f ca="1">IF('Stock Price'!$I$11="OK",D889/INDEX(D$5:D$1258,'Stock Price'!$I$9)-1,"")</f>
        <v>-0.28913963328631875</v>
      </c>
      <c r="R889" s="19">
        <f ca="1">IF('Stock Price'!$I$11="OK",E889/INDEX(E$5:E$1258,'Stock Price'!$I$9)-1,"")</f>
        <v>-0.25617103984450917</v>
      </c>
      <c r="S889" s="19">
        <f ca="1">IF('Stock Price'!$I$11="OK",F889/INDEX(F$5:F$1258,'Stock Price'!$I$9)-1,"")</f>
        <v>7.4849678623263749E-2</v>
      </c>
      <c r="T889" s="19">
        <f ca="1">IF('Stock Price'!$I$11="OK",G889/INDEX(G$5:G$1258,'Stock Price'!$I$9)-1,"")</f>
        <v>-0.45026315789473681</v>
      </c>
      <c r="U889" s="19">
        <f ca="1">IF('Stock Price'!$I$11="OK",H889/INDEX(H$5:H$1258,'Stock Price'!$I$9)-1,"")</f>
        <v>-0.25627054955378115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109.93</v>
      </c>
      <c r="C890" s="18">
        <v>134.22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-0.20651075501660165</v>
      </c>
      <c r="P890" s="19">
        <f ca="1">IF('Stock Price'!$I$11="OK",C890/INDEX(C$5:C$1258,'Stock Price'!$I$9)-1,"")</f>
        <v>-0.26525249760503633</v>
      </c>
      <c r="Q890" s="19">
        <f ca="1">IF('Stock Price'!$I$11="OK",D890/INDEX(D$5:D$1258,'Stock Price'!$I$9)-1,"")</f>
        <v>-0.28107999194035871</v>
      </c>
      <c r="R890" s="19">
        <f ca="1">IF('Stock Price'!$I$11="OK",E890/INDEX(E$5:E$1258,'Stock Price'!$I$9)-1,"")</f>
        <v>-0.2517006802721089</v>
      </c>
      <c r="S890" s="19">
        <f ca="1">IF('Stock Price'!$I$11="OK",F890/INDEX(F$5:F$1258,'Stock Price'!$I$9)-1,"")</f>
        <v>4.9139539705577606E-2</v>
      </c>
      <c r="T890" s="19">
        <f ca="1">IF('Stock Price'!$I$11="OK",G890/INDEX(G$5:G$1258,'Stock Price'!$I$9)-1,"")</f>
        <v>-0.45197368421052631</v>
      </c>
      <c r="U890" s="19">
        <f ca="1">IF('Stock Price'!$I$11="OK",H890/INDEX(H$5:H$1258,'Stock Price'!$I$9)-1,"")</f>
        <v>-0.26359793330201975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109.58</v>
      </c>
      <c r="C891" s="18">
        <v>134.08000000000001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-0.20903710119820984</v>
      </c>
      <c r="P891" s="19">
        <f ca="1">IF('Stock Price'!$I$11="OK",C891/INDEX(C$5:C$1258,'Stock Price'!$I$9)-1,"")</f>
        <v>-0.26601888599972623</v>
      </c>
      <c r="Q891" s="19">
        <f ca="1">IF('Stock Price'!$I$11="OK",D891/INDEX(D$5:D$1258,'Stock Price'!$I$9)-1,"")</f>
        <v>-0.2873262139834778</v>
      </c>
      <c r="R891" s="19">
        <f ca="1">IF('Stock Price'!$I$11="OK",E891/INDEX(E$5:E$1258,'Stock Price'!$I$9)-1,"")</f>
        <v>-0.25014577259475224</v>
      </c>
      <c r="S891" s="19">
        <f ca="1">IF('Stock Price'!$I$11="OK",F891/INDEX(F$5:F$1258,'Stock Price'!$I$9)-1,"")</f>
        <v>4.8310180385652268E-2</v>
      </c>
      <c r="T891" s="19">
        <f ca="1">IF('Stock Price'!$I$11="OK",G891/INDEX(G$5:G$1258,'Stock Price'!$I$9)-1,"")</f>
        <v>-0.44855263157894742</v>
      </c>
      <c r="U891" s="19">
        <f ca="1">IF('Stock Price'!$I$11="OK",H891/INDEX(H$5:H$1258,'Stock Price'!$I$9)-1,"")</f>
        <v>-0.28172851103804608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110.86</v>
      </c>
      <c r="C892" s="18">
        <v>139.80000000000001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-0.19979789230547129</v>
      </c>
      <c r="P892" s="19">
        <f ca="1">IF('Stock Price'!$I$11="OK",C892/INDEX(C$5:C$1258,'Stock Price'!$I$9)-1,"")</f>
        <v>-0.23470644587381961</v>
      </c>
      <c r="Q892" s="19">
        <f ca="1">IF('Stock Price'!$I$11="OK",D892/INDEX(D$5:D$1258,'Stock Price'!$I$9)-1,"")</f>
        <v>-0.27604271609913367</v>
      </c>
      <c r="R892" s="19">
        <f ca="1">IF('Stock Price'!$I$11="OK",E892/INDEX(E$5:E$1258,'Stock Price'!$I$9)-1,"")</f>
        <v>-0.24392614188532558</v>
      </c>
      <c r="S892" s="19">
        <f ca="1">IF('Stock Price'!$I$11="OK",F892/INDEX(F$5:F$1258,'Stock Price'!$I$9)-1,"")</f>
        <v>5.5359734605017641E-2</v>
      </c>
      <c r="T892" s="19">
        <f ca="1">IF('Stock Price'!$I$11="OK",G892/INDEX(G$5:G$1258,'Stock Price'!$I$9)-1,"")</f>
        <v>-0.44657894736842108</v>
      </c>
      <c r="U892" s="19">
        <f ca="1">IF('Stock Price'!$I$11="OK",H892/INDEX(H$5:H$1258,'Stock Price'!$I$9)-1,"")</f>
        <v>-0.26726162517613905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110.54</v>
      </c>
      <c r="C893" s="18">
        <v>132.38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-0.20210769452865585</v>
      </c>
      <c r="P893" s="19">
        <f ca="1">IF('Stock Price'!$I$11="OK",C893/INDEX(C$5:C$1258,'Stock Price'!$I$9)-1,"")</f>
        <v>-0.2753250307923909</v>
      </c>
      <c r="Q893" s="19">
        <f ca="1">IF('Stock Price'!$I$11="OK",D893/INDEX(D$5:D$1258,'Stock Price'!$I$9)-1,"")</f>
        <v>-0.26556518234938542</v>
      </c>
      <c r="R893" s="19">
        <f ca="1">IF('Stock Price'!$I$11="OK",E893/INDEX(E$5:E$1258,'Stock Price'!$I$9)-1,"")</f>
        <v>-0.24586977648202146</v>
      </c>
      <c r="S893" s="19">
        <f ca="1">IF('Stock Price'!$I$11="OK",F893/INDEX(F$5:F$1258,'Stock Price'!$I$9)-1,"")</f>
        <v>5.5981754094961644E-2</v>
      </c>
      <c r="T893" s="19">
        <f ca="1">IF('Stock Price'!$I$11="OK",G893/INDEX(G$5:G$1258,'Stock Price'!$I$9)-1,"")</f>
        <v>-0.44657894736842108</v>
      </c>
      <c r="U893" s="19">
        <f ca="1">IF('Stock Price'!$I$11="OK",H893/INDEX(H$5:H$1258,'Stock Price'!$I$9)-1,"")</f>
        <v>-0.26867073743541581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111.41</v>
      </c>
      <c r="C894" s="18">
        <v>129.15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-0.19582791973437275</v>
      </c>
      <c r="P894" s="19">
        <f ca="1">IF('Stock Price'!$I$11="OK",C894/INDEX(C$5:C$1258,'Stock Price'!$I$9)-1,"")</f>
        <v>-0.29300670589845357</v>
      </c>
      <c r="Q894" s="19">
        <f ca="1">IF('Stock Price'!$I$11="OK",D894/INDEX(D$5:D$1258,'Stock Price'!$I$9)-1,"")</f>
        <v>-0.26193834374370339</v>
      </c>
      <c r="R894" s="19">
        <f ca="1">IF('Stock Price'!$I$11="OK",E894/INDEX(E$5:E$1258,'Stock Price'!$I$9)-1,"")</f>
        <v>-0.24237123420796902</v>
      </c>
      <c r="S894" s="19">
        <f ca="1">IF('Stock Price'!$I$11="OK",F894/INDEX(F$5:F$1258,'Stock Price'!$I$9)-1,"")</f>
        <v>7.5057018453244861E-2</v>
      </c>
      <c r="T894" s="19">
        <f ca="1">IF('Stock Price'!$I$11="OK",G894/INDEX(G$5:G$1258,'Stock Price'!$I$9)-1,"")</f>
        <v>-0.43460526315789472</v>
      </c>
      <c r="U894" s="19">
        <f ca="1">IF('Stock Price'!$I$11="OK",H894/INDEX(H$5:H$1258,'Stock Price'!$I$9)-1,"")</f>
        <v>-0.25814936589948334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110.13</v>
      </c>
      <c r="C895" s="18">
        <v>135.75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-0.20506712862711129</v>
      </c>
      <c r="P895" s="19">
        <f ca="1">IF('Stock Price'!$I$11="OK",C895/INDEX(C$5:C$1258,'Stock Price'!$I$9)-1,"")</f>
        <v>-0.25687696729163823</v>
      </c>
      <c r="Q895" s="19">
        <f ca="1">IF('Stock Price'!$I$11="OK",D895/INDEX(D$5:D$1258,'Stock Price'!$I$9)-1,"")</f>
        <v>-0.25387870239774335</v>
      </c>
      <c r="R895" s="19">
        <f ca="1">IF('Stock Price'!$I$11="OK",E895/INDEX(E$5:E$1258,'Stock Price'!$I$9)-1,"")</f>
        <v>-0.23926141885325558</v>
      </c>
      <c r="S895" s="19">
        <f ca="1">IF('Stock Price'!$I$11="OK",F895/INDEX(F$5:F$1258,'Stock Price'!$I$9)-1,"")</f>
        <v>9.9315778561061663E-2</v>
      </c>
      <c r="T895" s="19">
        <f ca="1">IF('Stock Price'!$I$11="OK",G895/INDEX(G$5:G$1258,'Stock Price'!$I$9)-1,"")</f>
        <v>-0.41828947368421054</v>
      </c>
      <c r="U895" s="19">
        <f ca="1">IF('Stock Price'!$I$11="OK",H895/INDEX(H$5:H$1258,'Stock Price'!$I$9)-1,"")</f>
        <v>-0.26031000469704091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111.17</v>
      </c>
      <c r="C896" s="18">
        <v>137.24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-0.19756027140176113</v>
      </c>
      <c r="P896" s="19">
        <f ca="1">IF('Stock Price'!$I$11="OK",C896/INDEX(C$5:C$1258,'Stock Price'!$I$9)-1,"")</f>
        <v>-0.24872040509100857</v>
      </c>
      <c r="Q896" s="19">
        <f ca="1">IF('Stock Price'!$I$11="OK",D896/INDEX(D$5:D$1258,'Stock Price'!$I$9)-1,"")</f>
        <v>-0.24440862381624018</v>
      </c>
      <c r="R896" s="19">
        <f ca="1">IF('Stock Price'!$I$11="OK",E896/INDEX(E$5:E$1258,'Stock Price'!$I$9)-1,"")</f>
        <v>-0.22740524781341109</v>
      </c>
      <c r="S896" s="19">
        <f ca="1">IF('Stock Price'!$I$11="OK",F896/INDEX(F$5:F$1258,'Stock Price'!$I$9)-1,"")</f>
        <v>0.11009744972009128</v>
      </c>
      <c r="T896" s="19">
        <f ca="1">IF('Stock Price'!$I$11="OK",G896/INDEX(G$5:G$1258,'Stock Price'!$I$9)-1,"")</f>
        <v>-0.40842105263157891</v>
      </c>
      <c r="U896" s="19">
        <f ca="1">IF('Stock Price'!$I$11="OK",H896/INDEX(H$5:H$1258,'Stock Price'!$I$9)-1,"")</f>
        <v>-0.24997651479567873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112.14</v>
      </c>
      <c r="C897" s="18">
        <v>134.75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-0.19055868341273274</v>
      </c>
      <c r="P897" s="19">
        <f ca="1">IF('Stock Price'!$I$11="OK",C897/INDEX(C$5:C$1258,'Stock Price'!$I$9)-1,"")</f>
        <v>-0.26235117011085263</v>
      </c>
      <c r="Q897" s="19">
        <f ca="1">IF('Stock Price'!$I$11="OK",D897/INDEX(D$5:D$1258,'Stock Price'!$I$9)-1,"")</f>
        <v>-0.24581906105178319</v>
      </c>
      <c r="R897" s="19">
        <f ca="1">IF('Stock Price'!$I$11="OK",E897/INDEX(E$5:E$1258,'Stock Price'!$I$9)-1,"")</f>
        <v>-0.23187560738581148</v>
      </c>
      <c r="S897" s="19">
        <f ca="1">IF('Stock Price'!$I$11="OK",F897/INDEX(F$5:F$1258,'Stock Price'!$I$9)-1,"")</f>
        <v>8.4801990462367804E-2</v>
      </c>
      <c r="T897" s="19">
        <f ca="1">IF('Stock Price'!$I$11="OK",G897/INDEX(G$5:G$1258,'Stock Price'!$I$9)-1,"")</f>
        <v>-0.39500000000000002</v>
      </c>
      <c r="U897" s="19">
        <f ca="1">IF('Stock Price'!$I$11="OK",H897/INDEX(H$5:H$1258,'Stock Price'!$I$9)-1,"")</f>
        <v>-0.2227336777829968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112.63</v>
      </c>
      <c r="C898" s="18">
        <v>138.75989999999999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-0.18702179875848124</v>
      </c>
      <c r="P898" s="19">
        <f ca="1">IF('Stock Price'!$I$11="OK",C898/INDEX(C$5:C$1258,'Stock Price'!$I$9)-1,"")</f>
        <v>-0.24040016422608468</v>
      </c>
      <c r="Q898" s="19">
        <f ca="1">IF('Stock Price'!$I$11="OK",D898/INDEX(D$5:D$1258,'Stock Price'!$I$9)-1,"")</f>
        <v>-0.23312512593189605</v>
      </c>
      <c r="R898" s="19">
        <f ca="1">IF('Stock Price'!$I$11="OK",E898/INDEX(E$5:E$1258,'Stock Price'!$I$9)-1,"")</f>
        <v>-0.21263362487852289</v>
      </c>
      <c r="S898" s="19">
        <f ca="1">IF('Stock Price'!$I$11="OK",F898/INDEX(F$5:F$1258,'Stock Price'!$I$9)-1,"")</f>
        <v>9.3924942981546744E-2</v>
      </c>
      <c r="T898" s="19">
        <f ca="1">IF('Stock Price'!$I$11="OK",G898/INDEX(G$5:G$1258,'Stock Price'!$I$9)-1,"")</f>
        <v>-0.39526315789473687</v>
      </c>
      <c r="U898" s="19">
        <f ca="1">IF('Stock Price'!$I$11="OK",H898/INDEX(H$5:H$1258,'Stock Price'!$I$9)-1,"")</f>
        <v>-0.21850634100516675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113.45</v>
      </c>
      <c r="C899" s="18">
        <v>144.94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-0.18110293056157056</v>
      </c>
      <c r="P899" s="19">
        <f ca="1">IF('Stock Price'!$I$11="OK",C899/INDEX(C$5:C$1258,'Stock Price'!$I$9)-1,"")</f>
        <v>-0.20656904338305737</v>
      </c>
      <c r="Q899" s="19">
        <f ca="1">IF('Stock Price'!$I$11="OK",D899/INDEX(D$5:D$1258,'Stock Price'!$I$9)-1,"")</f>
        <v>-0.21478944186983684</v>
      </c>
      <c r="R899" s="19">
        <f ca="1">IF('Stock Price'!$I$11="OK",E899/INDEX(E$5:E$1258,'Stock Price'!$I$9)-1,"")</f>
        <v>-0.20971817298347917</v>
      </c>
      <c r="S899" s="19">
        <f ca="1">IF('Stock Price'!$I$11="OK",F899/INDEX(F$5:F$1258,'Stock Price'!$I$9)-1,"")</f>
        <v>0.1138295666597553</v>
      </c>
      <c r="T899" s="19">
        <f ca="1">IF('Stock Price'!$I$11="OK",G899/INDEX(G$5:G$1258,'Stock Price'!$I$9)-1,"")</f>
        <v>-0.39026315789473676</v>
      </c>
      <c r="U899" s="19">
        <f ca="1">IF('Stock Price'!$I$11="OK",H899/INDEX(H$5:H$1258,'Stock Price'!$I$9)-1,"")</f>
        <v>-0.20422733677783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113.49</v>
      </c>
      <c r="C900" s="18">
        <v>145.63999999999999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-0.18081420528367254</v>
      </c>
      <c r="P900" s="19">
        <f ca="1">IF('Stock Price'!$I$11="OK",C900/INDEX(C$5:C$1258,'Stock Price'!$I$9)-1,"")</f>
        <v>-0.20273710140960732</v>
      </c>
      <c r="Q900" s="19">
        <f ca="1">IF('Stock Price'!$I$11="OK",D900/INDEX(D$5:D$1258,'Stock Price'!$I$9)-1,"")</f>
        <v>-0.19705823090872454</v>
      </c>
      <c r="R900" s="19">
        <f ca="1">IF('Stock Price'!$I$11="OK",E900/INDEX(E$5:E$1258,'Stock Price'!$I$9)-1,"")</f>
        <v>-0.20758017492711367</v>
      </c>
      <c r="S900" s="19">
        <f ca="1">IF('Stock Price'!$I$11="OK",F900/INDEX(F$5:F$1258,'Stock Price'!$I$9)-1,"")</f>
        <v>0.13933236574746033</v>
      </c>
      <c r="T900" s="19">
        <f ca="1">IF('Stock Price'!$I$11="OK",G900/INDEX(G$5:G$1258,'Stock Price'!$I$9)-1,"")</f>
        <v>-0.3939473684210526</v>
      </c>
      <c r="U900" s="19">
        <f ca="1">IF('Stock Price'!$I$11="OK",H900/INDEX(H$5:H$1258,'Stock Price'!$I$9)-1,"")</f>
        <v>-0.19962423673085961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111.33</v>
      </c>
      <c r="C901" s="18">
        <v>140.63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-0.19640537029016891</v>
      </c>
      <c r="P901" s="19">
        <f ca="1">IF('Stock Price'!$I$11="OK",C901/INDEX(C$5:C$1258,'Stock Price'!$I$9)-1,"")</f>
        <v>-0.23016285753387167</v>
      </c>
      <c r="Q901" s="19">
        <f ca="1">IF('Stock Price'!$I$11="OK",D901/INDEX(D$5:D$1258,'Stock Price'!$I$9)-1,"")</f>
        <v>-0.21922224461011486</v>
      </c>
      <c r="R901" s="19">
        <f ca="1">IF('Stock Price'!$I$11="OK",E901/INDEX(E$5:E$1258,'Stock Price'!$I$9)-1,"")</f>
        <v>-0.23070942662779403</v>
      </c>
      <c r="S901" s="19">
        <f ca="1">IF('Stock Price'!$I$11="OK",F901/INDEX(F$5:F$1258,'Stock Price'!$I$9)-1,"")</f>
        <v>0.12170848019904623</v>
      </c>
      <c r="T901" s="19">
        <f ca="1">IF('Stock Price'!$I$11="OK",G901/INDEX(G$5:G$1258,'Stock Price'!$I$9)-1,"")</f>
        <v>-0.3939473684210526</v>
      </c>
      <c r="U901" s="19">
        <f ca="1">IF('Stock Price'!$I$11="OK",H901/INDEX(H$5:H$1258,'Stock Price'!$I$9)-1,"")</f>
        <v>-0.21784875528417091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114.29</v>
      </c>
      <c r="C902" s="18">
        <v>146.74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-0.17503969972571087</v>
      </c>
      <c r="P902" s="19">
        <f ca="1">IF('Stock Price'!$I$11="OK",C902/INDEX(C$5:C$1258,'Stock Price'!$I$9)-1,"")</f>
        <v>-0.19671547830847136</v>
      </c>
      <c r="Q902" s="19">
        <f ca="1">IF('Stock Price'!$I$11="OK",D902/INDEX(D$5:D$1258,'Stock Price'!$I$9)-1,"")</f>
        <v>-0.2127745315333468</v>
      </c>
      <c r="R902" s="19">
        <f ca="1">IF('Stock Price'!$I$11="OK",E902/INDEX(E$5:E$1258,'Stock Price'!$I$9)-1,"")</f>
        <v>-0.20155490767735673</v>
      </c>
      <c r="S902" s="19">
        <f ca="1">IF('Stock Price'!$I$11="OK",F902/INDEX(F$5:F$1258,'Stock Price'!$I$9)-1,"")</f>
        <v>0.14949201741654572</v>
      </c>
      <c r="T902" s="19">
        <f ca="1">IF('Stock Price'!$I$11="OK",G902/INDEX(G$5:G$1258,'Stock Price'!$I$9)-1,"")</f>
        <v>-0.37157894736842112</v>
      </c>
      <c r="U902" s="19">
        <f ca="1">IF('Stock Price'!$I$11="OK",H902/INDEX(H$5:H$1258,'Stock Price'!$I$9)-1,"")</f>
        <v>-0.21860028182245184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113.08</v>
      </c>
      <c r="C903" s="18">
        <v>145.96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-0.18377363938212787</v>
      </c>
      <c r="P903" s="19">
        <f ca="1">IF('Stock Price'!$I$11="OK",C903/INDEX(C$5:C$1258,'Stock Price'!$I$9)-1,"")</f>
        <v>-0.20098535650745863</v>
      </c>
      <c r="Q903" s="19">
        <f ca="1">IF('Stock Price'!$I$11="OK",D903/INDEX(D$5:D$1258,'Stock Price'!$I$9)-1,"")</f>
        <v>-0.21720733427362482</v>
      </c>
      <c r="R903" s="19">
        <f ca="1">IF('Stock Price'!$I$11="OK",E903/INDEX(E$5:E$1258,'Stock Price'!$I$9)-1,"")</f>
        <v>-0.19669582118561724</v>
      </c>
      <c r="S903" s="19">
        <f ca="1">IF('Stock Price'!$I$11="OK",F903/INDEX(F$5:F$1258,'Stock Price'!$I$9)-1,"")</f>
        <v>0.13186813186813207</v>
      </c>
      <c r="T903" s="19">
        <f ca="1">IF('Stock Price'!$I$11="OK",G903/INDEX(G$5:G$1258,'Stock Price'!$I$9)-1,"")</f>
        <v>-0.36315789473684212</v>
      </c>
      <c r="U903" s="19">
        <f ca="1">IF('Stock Price'!$I$11="OK",H903/INDEX(H$5:H$1258,'Stock Price'!$I$9)-1,"")</f>
        <v>-0.22179426961014559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110.55</v>
      </c>
      <c r="C904" s="18">
        <v>138.94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-0.20203551320918145</v>
      </c>
      <c r="P904" s="19">
        <f ca="1">IF('Stock Price'!$I$11="OK",C904/INDEX(C$5:C$1258,'Stock Price'!$I$9)-1,"")</f>
        <v>-0.23941426029834412</v>
      </c>
      <c r="Q904" s="19">
        <f ca="1">IF('Stock Price'!$I$11="OK",D904/INDEX(D$5:D$1258,'Stock Price'!$I$9)-1,"")</f>
        <v>-0.24440862381624018</v>
      </c>
      <c r="R904" s="19">
        <f ca="1">IF('Stock Price'!$I$11="OK",E904/INDEX(E$5:E$1258,'Stock Price'!$I$9)-1,"")</f>
        <v>-0.20894071914480072</v>
      </c>
      <c r="S904" s="19">
        <f ca="1">IF('Stock Price'!$I$11="OK",F904/INDEX(F$5:F$1258,'Stock Price'!$I$9)-1,"")</f>
        <v>0.10201119635081901</v>
      </c>
      <c r="T904" s="19">
        <f ca="1">IF('Stock Price'!$I$11="OK",G904/INDEX(G$5:G$1258,'Stock Price'!$I$9)-1,"")</f>
        <v>-0.36710526315789471</v>
      </c>
      <c r="U904" s="19">
        <f ca="1">IF('Stock Price'!$I$11="OK",H904/INDEX(H$5:H$1258,'Stock Price'!$I$9)-1,"")</f>
        <v>-0.25749178017848751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111.7</v>
      </c>
      <c r="C905" s="18">
        <v>138.66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-0.1937346614696116</v>
      </c>
      <c r="P905" s="19">
        <f ca="1">IF('Stock Price'!$I$11="OK",C905/INDEX(C$5:C$1258,'Stock Price'!$I$9)-1,"")</f>
        <v>-0.24094703708772414</v>
      </c>
      <c r="Q905" s="19">
        <f ca="1">IF('Stock Price'!$I$11="OK",D905/INDEX(D$5:D$1258,'Stock Price'!$I$9)-1,"")</f>
        <v>-0.25105782792665732</v>
      </c>
      <c r="R905" s="19">
        <f ca="1">IF('Stock Price'!$I$11="OK",E905/INDEX(E$5:E$1258,'Stock Price'!$I$9)-1,"")</f>
        <v>-0.21613216715257544</v>
      </c>
      <c r="S905" s="19">
        <f ca="1">IF('Stock Price'!$I$11="OK",F905/INDEX(F$5:F$1258,'Stock Price'!$I$9)-1,"")</f>
        <v>8.3765291312461354E-2</v>
      </c>
      <c r="T905" s="19">
        <f ca="1">IF('Stock Price'!$I$11="OK",G905/INDEX(G$5:G$1258,'Stock Price'!$I$9)-1,"")</f>
        <v>-0.38315789473684203</v>
      </c>
      <c r="U905" s="19">
        <f ca="1">IF('Stock Price'!$I$11="OK",H905/INDEX(H$5:H$1258,'Stock Price'!$I$9)-1,"")</f>
        <v>-0.25674025364020669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110.13</v>
      </c>
      <c r="C906" s="18">
        <v>134.09989999999999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-0.20506712862711129</v>
      </c>
      <c r="P906" s="19">
        <f ca="1">IF('Stock Price'!$I$11="OK",C906/INDEX(C$5:C$1258,'Stock Price'!$I$9)-1,"")</f>
        <v>-0.265909949363624</v>
      </c>
      <c r="Q906" s="19">
        <f ca="1">IF('Stock Price'!$I$11="OK",D906/INDEX(D$5:D$1258,'Stock Price'!$I$9)-1,"")</f>
        <v>-0.25710255893612743</v>
      </c>
      <c r="R906" s="19">
        <f ca="1">IF('Stock Price'!$I$11="OK",E906/INDEX(E$5:E$1258,'Stock Price'!$I$9)-1,"")</f>
        <v>-0.23984450923226441</v>
      </c>
      <c r="S906" s="19">
        <f ca="1">IF('Stock Price'!$I$11="OK",F906/INDEX(F$5:F$1258,'Stock Price'!$I$9)-1,"")</f>
        <v>8.0862533692722449E-2</v>
      </c>
      <c r="T906" s="19">
        <f ca="1">IF('Stock Price'!$I$11="OK",G906/INDEX(G$5:G$1258,'Stock Price'!$I$9)-1,"")</f>
        <v>-0.38368421052631574</v>
      </c>
      <c r="U906" s="19">
        <f ca="1">IF('Stock Price'!$I$11="OK",H906/INDEX(H$5:H$1258,'Stock Price'!$I$9)-1,"")</f>
        <v>-0.27054955378111789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108.7</v>
      </c>
      <c r="C907" s="18">
        <v>135.22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-0.21538905731196756</v>
      </c>
      <c r="P907" s="19">
        <f ca="1">IF('Stock Price'!$I$11="OK",C907/INDEX(C$5:C$1258,'Stock Price'!$I$9)-1,"")</f>
        <v>-0.25977829478582182</v>
      </c>
      <c r="Q907" s="19">
        <f ca="1">IF('Stock Price'!$I$11="OK",D907/INDEX(D$5:D$1258,'Stock Price'!$I$9)-1,"")</f>
        <v>-0.26213983477735248</v>
      </c>
      <c r="R907" s="19">
        <f ca="1">IF('Stock Price'!$I$11="OK",E907/INDEX(E$5:E$1258,'Stock Price'!$I$9)-1,"")</f>
        <v>-0.25422740524781351</v>
      </c>
      <c r="S907" s="19">
        <f ca="1">IF('Stock Price'!$I$11="OK",F907/INDEX(F$5:F$1258,'Stock Price'!$I$9)-1,"")</f>
        <v>3.4625751606883748E-2</v>
      </c>
      <c r="T907" s="19">
        <f ca="1">IF('Stock Price'!$I$11="OK",G907/INDEX(G$5:G$1258,'Stock Price'!$I$9)-1,"")</f>
        <v>-0.36723684210526308</v>
      </c>
      <c r="U907" s="19">
        <f ca="1">IF('Stock Price'!$I$11="OK",H907/INDEX(H$5:H$1258,'Stock Price'!$I$9)-1,"")</f>
        <v>-0.28633161108501648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108.95</v>
      </c>
      <c r="C908" s="18">
        <v>135.36000000000001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-0.21358452432510455</v>
      </c>
      <c r="P908" s="19">
        <f ca="1">IF('Stock Price'!$I$11="OK",C908/INDEX(C$5:C$1258,'Stock Price'!$I$9)-1,"")</f>
        <v>-0.25901190639113181</v>
      </c>
      <c r="Q908" s="19">
        <f ca="1">IF('Stock Price'!$I$11="OK",D908/INDEX(D$5:D$1258,'Stock Price'!$I$9)-1,"")</f>
        <v>-0.24702800725367735</v>
      </c>
      <c r="R908" s="19">
        <f ca="1">IF('Stock Price'!$I$11="OK",E908/INDEX(E$5:E$1258,'Stock Price'!$I$9)-1,"")</f>
        <v>-0.23517978620019442</v>
      </c>
      <c r="S908" s="19">
        <f ca="1">IF('Stock Price'!$I$11="OK",F908/INDEX(F$5:F$1258,'Stock Price'!$I$9)-1,"")</f>
        <v>5.8677171884719215E-2</v>
      </c>
      <c r="T908" s="19">
        <f ca="1">IF('Stock Price'!$I$11="OK",G908/INDEX(G$5:G$1258,'Stock Price'!$I$9)-1,"")</f>
        <v>-0.36684210526315797</v>
      </c>
      <c r="U908" s="19">
        <f ca="1">IF('Stock Price'!$I$11="OK",H908/INDEX(H$5:H$1258,'Stock Price'!$I$9)-1,"")</f>
        <v>-0.24443400657585712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106.83</v>
      </c>
      <c r="C909" s="18">
        <v>135.36000000000001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-0.2288869640537029</v>
      </c>
      <c r="P909" s="19">
        <f ca="1">IF('Stock Price'!$I$11="OK",C909/INDEX(C$5:C$1258,'Stock Price'!$I$9)-1,"")</f>
        <v>-0.25901190639113181</v>
      </c>
      <c r="Q909" s="19">
        <f ca="1">IF('Stock Price'!$I$11="OK",D909/INDEX(D$5:D$1258,'Stock Price'!$I$9)-1,"")</f>
        <v>-0.26758009268587546</v>
      </c>
      <c r="R909" s="19">
        <f ca="1">IF('Stock Price'!$I$11="OK",E909/INDEX(E$5:E$1258,'Stock Price'!$I$9)-1,"")</f>
        <v>-0.25481049562682212</v>
      </c>
      <c r="S909" s="19">
        <f ca="1">IF('Stock Price'!$I$11="OK",F909/INDEX(F$5:F$1258,'Stock Price'!$I$9)-1,"")</f>
        <v>3.5869790586771755E-2</v>
      </c>
      <c r="T909" s="19">
        <f ca="1">IF('Stock Price'!$I$11="OK",G909/INDEX(G$5:G$1258,'Stock Price'!$I$9)-1,"")</f>
        <v>-0.34894736842105267</v>
      </c>
      <c r="U909" s="19">
        <f ca="1">IF('Stock Price'!$I$11="OK",H909/INDEX(H$5:H$1258,'Stock Price'!$I$9)-1,"")</f>
        <v>-0.28013151714419926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104.99</v>
      </c>
      <c r="C910" s="18">
        <v>135.36000000000001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-0.24216832683701461</v>
      </c>
      <c r="P910" s="19">
        <f ca="1">IF('Stock Price'!$I$11="OK",C910/INDEX(C$5:C$1258,'Stock Price'!$I$9)-1,"")</f>
        <v>-0.25901190639113181</v>
      </c>
      <c r="Q910" s="19">
        <f ca="1">IF('Stock Price'!$I$11="OK",D910/INDEX(D$5:D$1258,'Stock Price'!$I$9)-1,"")</f>
        <v>-0.27019947612331252</v>
      </c>
      <c r="R910" s="19">
        <f ca="1">IF('Stock Price'!$I$11="OK",E910/INDEX(E$5:E$1258,'Stock Price'!$I$9)-1,"")</f>
        <v>-0.27424684159378032</v>
      </c>
      <c r="S910" s="19">
        <f ca="1">IF('Stock Price'!$I$11="OK",F910/INDEX(F$5:F$1258,'Stock Price'!$I$9)-1,"")</f>
        <v>2.0319303338171446E-2</v>
      </c>
      <c r="T910" s="19">
        <f ca="1">IF('Stock Price'!$I$11="OK",G910/INDEX(G$5:G$1258,'Stock Price'!$I$9)-1,"")</f>
        <v>-0.41657894736842105</v>
      </c>
      <c r="U910" s="19">
        <f ca="1">IF('Stock Price'!$I$11="OK",H910/INDEX(H$5:H$1258,'Stock Price'!$I$9)-1,"")</f>
        <v>-0.30981681540629402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108.46</v>
      </c>
      <c r="C911" s="18">
        <v>135.88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-0.21712140897935617</v>
      </c>
      <c r="P911" s="19">
        <f ca="1">IF('Stock Price'!$I$11="OK",C911/INDEX(C$5:C$1258,'Stock Price'!$I$9)-1,"")</f>
        <v>-0.25616532092514033</v>
      </c>
      <c r="Q911" s="19">
        <f ca="1">IF('Stock Price'!$I$11="OK",D911/INDEX(D$5:D$1258,'Stock Price'!$I$9)-1,"")</f>
        <v>-0.24299818658069716</v>
      </c>
      <c r="R911" s="19">
        <f ca="1">IF('Stock Price'!$I$11="OK",E911/INDEX(E$5:E$1258,'Stock Price'!$I$9)-1,"")</f>
        <v>-0.25364431486880479</v>
      </c>
      <c r="S911" s="19">
        <f ca="1">IF('Stock Price'!$I$11="OK",F911/INDEX(F$5:F$1258,'Stock Price'!$I$9)-1,"")</f>
        <v>5.4530375285092303E-2</v>
      </c>
      <c r="T911" s="19">
        <f ca="1">IF('Stock Price'!$I$11="OK",G911/INDEX(G$5:G$1258,'Stock Price'!$I$9)-1,"")</f>
        <v>-0.39828947368421053</v>
      </c>
      <c r="U911" s="19">
        <f ca="1">IF('Stock Price'!$I$11="OK",H911/INDEX(H$5:H$1258,'Stock Price'!$I$9)-1,"")</f>
        <v>-0.29732268670737438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109.59</v>
      </c>
      <c r="C912" s="18">
        <v>134.46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-0.20896491987873533</v>
      </c>
      <c r="P912" s="19">
        <f ca="1">IF('Stock Price'!$I$11="OK",C912/INDEX(C$5:C$1258,'Stock Price'!$I$9)-1,"")</f>
        <v>-0.26393868892842476</v>
      </c>
      <c r="Q912" s="19">
        <f ca="1">IF('Stock Price'!$I$11="OK",D912/INDEX(D$5:D$1258,'Stock Price'!$I$9)-1,"")</f>
        <v>-0.24158774934515415</v>
      </c>
      <c r="R912" s="19">
        <f ca="1">IF('Stock Price'!$I$11="OK",E912/INDEX(E$5:E$1258,'Stock Price'!$I$9)-1,"")</f>
        <v>-0.24139941690962097</v>
      </c>
      <c r="S912" s="19">
        <f ca="1">IF('Stock Price'!$I$11="OK",F912/INDEX(F$5:F$1258,'Stock Price'!$I$9)-1,"")</f>
        <v>7.1532241343562175E-2</v>
      </c>
      <c r="T912" s="19">
        <f ca="1">IF('Stock Price'!$I$11="OK",G912/INDEX(G$5:G$1258,'Stock Price'!$I$9)-1,"")</f>
        <v>-0.39815789473684204</v>
      </c>
      <c r="U912" s="19">
        <f ca="1">IF('Stock Price'!$I$11="OK",H912/INDEX(H$5:H$1258,'Stock Price'!$I$9)-1,"")</f>
        <v>-0.28548614372945047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110.71</v>
      </c>
      <c r="C913" s="18">
        <v>141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-0.20088061209758912</v>
      </c>
      <c r="P913" s="19">
        <f ca="1">IF('Stock Price'!$I$11="OK",C913/INDEX(C$5:C$1258,'Stock Price'!$I$9)-1,"")</f>
        <v>-0.22813740249076231</v>
      </c>
      <c r="Q913" s="19">
        <f ca="1">IF('Stock Price'!$I$11="OK",D913/INDEX(D$5:D$1258,'Stock Price'!$I$9)-1,"")</f>
        <v>-0.23514003626838609</v>
      </c>
      <c r="R913" s="19">
        <f ca="1">IF('Stock Price'!$I$11="OK",E913/INDEX(E$5:E$1258,'Stock Price'!$I$9)-1,"")</f>
        <v>-0.23673469387755097</v>
      </c>
      <c r="S913" s="19">
        <f ca="1">IF('Stock Price'!$I$11="OK",F913/INDEX(F$5:F$1258,'Stock Price'!$I$9)-1,"")</f>
        <v>8.3972631142442467E-2</v>
      </c>
      <c r="T913" s="19">
        <f ca="1">IF('Stock Price'!$I$11="OK",G913/INDEX(G$5:G$1258,'Stock Price'!$I$9)-1,"")</f>
        <v>-0.39697368421052637</v>
      </c>
      <c r="U913" s="19">
        <f ca="1">IF('Stock Price'!$I$11="OK",H913/INDEX(H$5:H$1258,'Stock Price'!$I$9)-1,"")</f>
        <v>-0.27449506810709257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112.28</v>
      </c>
      <c r="C914" s="18">
        <v>138.68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-0.18954814494008942</v>
      </c>
      <c r="P914" s="19">
        <f ca="1">IF('Stock Price'!$I$11="OK",C914/INDEX(C$5:C$1258,'Stock Price'!$I$9)-1,"")</f>
        <v>-0.2408375530313398</v>
      </c>
      <c r="Q914" s="19">
        <f ca="1">IF('Stock Price'!$I$11="OK",D914/INDEX(D$5:D$1258,'Stock Price'!$I$9)-1,"")</f>
        <v>-0.22627443078783005</v>
      </c>
      <c r="R914" s="19">
        <f ca="1">IF('Stock Price'!$I$11="OK",E914/INDEX(E$5:E$1258,'Stock Price'!$I$9)-1,"")</f>
        <v>-0.22818270165208943</v>
      </c>
      <c r="S914" s="19">
        <f ca="1">IF('Stock Price'!$I$11="OK",F914/INDEX(F$5:F$1258,'Stock Price'!$I$9)-1,"")</f>
        <v>9.6620360771304314E-2</v>
      </c>
      <c r="T914" s="19">
        <f ca="1">IF('Stock Price'!$I$11="OK",G914/INDEX(G$5:G$1258,'Stock Price'!$I$9)-1,"")</f>
        <v>-0.383421052631579</v>
      </c>
      <c r="U914" s="19">
        <f ca="1">IF('Stock Price'!$I$11="OK",H914/INDEX(H$5:H$1258,'Stock Price'!$I$9)-1,"")</f>
        <v>-0.26754344762799442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112.78</v>
      </c>
      <c r="C915" s="18">
        <v>138.24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-0.18593907896636341</v>
      </c>
      <c r="P915" s="19">
        <f ca="1">IF('Stock Price'!$I$11="OK",C915/INDEX(C$5:C$1258,'Stock Price'!$I$9)-1,"")</f>
        <v>-0.24324620227179417</v>
      </c>
      <c r="Q915" s="19">
        <f ca="1">IF('Stock Price'!$I$11="OK",D915/INDEX(D$5:D$1258,'Stock Price'!$I$9)-1,"")</f>
        <v>-0.22345355631674402</v>
      </c>
      <c r="R915" s="19">
        <f ca="1">IF('Stock Price'!$I$11="OK",E915/INDEX(E$5:E$1258,'Stock Price'!$I$9)-1,"")</f>
        <v>-0.23440233236151609</v>
      </c>
      <c r="S915" s="19">
        <f ca="1">IF('Stock Price'!$I$11="OK",F915/INDEX(F$5:F$1258,'Stock Price'!$I$9)-1,"")</f>
        <v>9.6827700601285649E-2</v>
      </c>
      <c r="T915" s="19">
        <f ca="1">IF('Stock Price'!$I$11="OK",G915/INDEX(G$5:G$1258,'Stock Price'!$I$9)-1,"")</f>
        <v>-0.37592105263157893</v>
      </c>
      <c r="U915" s="19">
        <f ca="1">IF('Stock Price'!$I$11="OK",H915/INDEX(H$5:H$1258,'Stock Price'!$I$9)-1,"")</f>
        <v>-0.27684358853922031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112.5</v>
      </c>
      <c r="C916" s="18">
        <v>141.12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-0.18796015591165005</v>
      </c>
      <c r="P916" s="19">
        <f ca="1">IF('Stock Price'!$I$11="OK",C916/INDEX(C$5:C$1258,'Stock Price'!$I$9)-1,"")</f>
        <v>-0.22748049815245652</v>
      </c>
      <c r="Q916" s="19">
        <f ca="1">IF('Stock Price'!$I$11="OK",D916/INDEX(D$5:D$1258,'Stock Price'!$I$9)-1,"")</f>
        <v>-0.2157968970380818</v>
      </c>
      <c r="R916" s="19">
        <f ca="1">IF('Stock Price'!$I$11="OK",E916/INDEX(E$5:E$1258,'Stock Price'!$I$9)-1,"")</f>
        <v>-0.24042759961127314</v>
      </c>
      <c r="S916" s="19">
        <f ca="1">IF('Stock Price'!$I$11="OK",F916/INDEX(F$5:F$1258,'Stock Price'!$I$9)-1,"")</f>
        <v>8.8741447232013382E-2</v>
      </c>
      <c r="T916" s="19">
        <f ca="1">IF('Stock Price'!$I$11="OK",G916/INDEX(G$5:G$1258,'Stock Price'!$I$9)-1,"")</f>
        <v>-0.35894736842105268</v>
      </c>
      <c r="U916" s="19">
        <f ca="1">IF('Stock Price'!$I$11="OK",H916/INDEX(H$5:H$1258,'Stock Price'!$I$9)-1,"")</f>
        <v>-0.26876467825270078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112.75</v>
      </c>
      <c r="C917" s="18">
        <v>143.25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-0.18615562292478705</v>
      </c>
      <c r="P917" s="19">
        <f ca="1">IF('Stock Price'!$I$11="OK",C917/INDEX(C$5:C$1258,'Stock Price'!$I$9)-1,"")</f>
        <v>-0.21582044614752982</v>
      </c>
      <c r="Q917" s="19">
        <f ca="1">IF('Stock Price'!$I$11="OK",D917/INDEX(D$5:D$1258,'Stock Price'!$I$9)-1,"")</f>
        <v>-0.22103566391295604</v>
      </c>
      <c r="R917" s="19">
        <f ca="1">IF('Stock Price'!$I$11="OK",E917/INDEX(E$5:E$1258,'Stock Price'!$I$9)-1,"")</f>
        <v>-0.22896015549076776</v>
      </c>
      <c r="S917" s="19">
        <f ca="1">IF('Stock Price'!$I$11="OK",F917/INDEX(F$5:F$1258,'Stock Price'!$I$9)-1,"")</f>
        <v>7.775243624300221E-2</v>
      </c>
      <c r="T917" s="19">
        <f ca="1">IF('Stock Price'!$I$11="OK",G917/INDEX(G$5:G$1258,'Stock Price'!$I$9)-1,"")</f>
        <v>-0.35592105263157892</v>
      </c>
      <c r="U917" s="19">
        <f ca="1">IF('Stock Price'!$I$11="OK",H917/INDEX(H$5:H$1258,'Stock Price'!$I$9)-1,"")</f>
        <v>-0.27120713950211373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113.21</v>
      </c>
      <c r="C918" s="18">
        <v>143.97499999999999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-0.18283528222895917</v>
      </c>
      <c r="P918" s="19">
        <f ca="1">IF('Stock Price'!$I$11="OK",C918/INDEX(C$5:C$1258,'Stock Price'!$I$9)-1,"")</f>
        <v>-0.21185164910359933</v>
      </c>
      <c r="Q918" s="19">
        <f ca="1">IF('Stock Price'!$I$11="OK",D918/INDEX(D$5:D$1258,'Stock Price'!$I$9)-1,"")</f>
        <v>-0.20531936328833378</v>
      </c>
      <c r="R918" s="19">
        <f ca="1">IF('Stock Price'!$I$11="OK",E918/INDEX(E$5:E$1258,'Stock Price'!$I$9)-1,"")</f>
        <v>-0.23206997084548109</v>
      </c>
      <c r="S918" s="19">
        <f ca="1">IF('Stock Price'!$I$11="OK",F918/INDEX(F$5:F$1258,'Stock Price'!$I$9)-1,"")</f>
        <v>8.6253369272237368E-2</v>
      </c>
      <c r="T918" s="19">
        <f ca="1">IF('Stock Price'!$I$11="OK",G918/INDEX(G$5:G$1258,'Stock Price'!$I$9)-1,"")</f>
        <v>-0.34394736842105267</v>
      </c>
      <c r="U918" s="19">
        <f ca="1">IF('Stock Price'!$I$11="OK",H918/INDEX(H$5:H$1258,'Stock Price'!$I$9)-1,"")</f>
        <v>-0.27111319868482853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111.87</v>
      </c>
      <c r="C919" s="18">
        <v>143.97499999999999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-0.19250757903854476</v>
      </c>
      <c r="P919" s="19">
        <f ca="1">IF('Stock Price'!$I$11="OK",C919/INDEX(C$5:C$1258,'Stock Price'!$I$9)-1,"")</f>
        <v>-0.21185164910359933</v>
      </c>
      <c r="Q919" s="19">
        <f ca="1">IF('Stock Price'!$I$11="OK",D919/INDEX(D$5:D$1258,'Stock Price'!$I$9)-1,"")</f>
        <v>-0.21055813016320779</v>
      </c>
      <c r="R919" s="19">
        <f ca="1">IF('Stock Price'!$I$11="OK",E919/INDEX(E$5:E$1258,'Stock Price'!$I$9)-1,"")</f>
        <v>-0.23673469387755097</v>
      </c>
      <c r="S919" s="19">
        <f ca="1">IF('Stock Price'!$I$11="OK",F919/INDEX(F$5:F$1258,'Stock Price'!$I$9)-1,"")</f>
        <v>7.7959776072983766E-2</v>
      </c>
      <c r="T919" s="19">
        <f ca="1">IF('Stock Price'!$I$11="OK",G919/INDEX(G$5:G$1258,'Stock Price'!$I$9)-1,"")</f>
        <v>-0.35078947368421043</v>
      </c>
      <c r="U919" s="19">
        <f ca="1">IF('Stock Price'!$I$11="OK",H919/INDEX(H$5:H$1258,'Stock Price'!$I$9)-1,"")</f>
        <v>-0.28445279473931429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112.58</v>
      </c>
      <c r="C920" s="18">
        <v>143.1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-0.18738270535585388</v>
      </c>
      <c r="P920" s="19">
        <f ca="1">IF('Stock Price'!$I$11="OK",C920/INDEX(C$5:C$1258,'Stock Price'!$I$9)-1,"")</f>
        <v>-0.21664157657041205</v>
      </c>
      <c r="Q920" s="19">
        <f ca="1">IF('Stock Price'!$I$11="OK",D920/INDEX(D$5:D$1258,'Stock Price'!$I$9)-1,"")</f>
        <v>-0.19403586540398954</v>
      </c>
      <c r="R920" s="19">
        <f ca="1">IF('Stock Price'!$I$11="OK",E920/INDEX(E$5:E$1258,'Stock Price'!$I$9)-1,"")</f>
        <v>-0.23168124392614187</v>
      </c>
      <c r="S920" s="19">
        <f ca="1">IF('Stock Price'!$I$11="OK",F920/INDEX(F$5:F$1258,'Stock Price'!$I$9)-1,"")</f>
        <v>8.542400995231203E-2</v>
      </c>
      <c r="T920" s="19">
        <f ca="1">IF('Stock Price'!$I$11="OK",G920/INDEX(G$5:G$1258,'Stock Price'!$I$9)-1,"")</f>
        <v>-0.3493421052631579</v>
      </c>
      <c r="U920" s="19">
        <f ca="1">IF('Stock Price'!$I$11="OK",H920/INDEX(H$5:H$1258,'Stock Price'!$I$9)-1,"")</f>
        <v>-0.28229215594175661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115.76</v>
      </c>
      <c r="C921" s="18">
        <v>141.5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-0.16442904576295647</v>
      </c>
      <c r="P921" s="19">
        <f ca="1">IF('Stock Price'!$I$11="OK",C921/INDEX(C$5:C$1258,'Stock Price'!$I$9)-1,"")</f>
        <v>-0.22540030108115505</v>
      </c>
      <c r="Q921" s="19">
        <f ca="1">IF('Stock Price'!$I$11="OK",D921/INDEX(D$5:D$1258,'Stock Price'!$I$9)-1,"")</f>
        <v>-0.17328228893814224</v>
      </c>
      <c r="R921" s="19">
        <f ca="1">IF('Stock Price'!$I$11="OK",E921/INDEX(E$5:E$1258,'Stock Price'!$I$9)-1,"")</f>
        <v>-0.21671525753158416</v>
      </c>
      <c r="S921" s="19">
        <f ca="1">IF('Stock Price'!$I$11="OK",F921/INDEX(F$5:F$1258,'Stock Price'!$I$9)-1,"")</f>
        <v>2.3636740617872798E-2</v>
      </c>
      <c r="T921" s="19">
        <f ca="1">IF('Stock Price'!$I$11="OK",G921/INDEX(G$5:G$1258,'Stock Price'!$I$9)-1,"")</f>
        <v>-0.34907894736842104</v>
      </c>
      <c r="U921" s="19">
        <f ca="1">IF('Stock Price'!$I$11="OK",H921/INDEX(H$5:H$1258,'Stock Price'!$I$9)-1,"")</f>
        <v>-0.27815875998121187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116.7</v>
      </c>
      <c r="C922" s="18">
        <v>142.5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-0.1576440017323516</v>
      </c>
      <c r="P922" s="19">
        <f ca="1">IF('Stock Price'!$I$11="OK",C922/INDEX(C$5:C$1258,'Stock Price'!$I$9)-1,"")</f>
        <v>-0.21992609826194065</v>
      </c>
      <c r="Q922" s="19">
        <f ca="1">IF('Stock Price'!$I$11="OK",D922/INDEX(D$5:D$1258,'Stock Price'!$I$9)-1,"")</f>
        <v>-0.1605883538182552</v>
      </c>
      <c r="R922" s="19">
        <f ca="1">IF('Stock Price'!$I$11="OK",E922/INDEX(E$5:E$1258,'Stock Price'!$I$9)-1,"")</f>
        <v>-0.20932944606413995</v>
      </c>
      <c r="S922" s="19">
        <f ca="1">IF('Stock Price'!$I$11="OK",F922/INDEX(F$5:F$1258,'Stock Price'!$I$9)-1,"")</f>
        <v>1.9904623678208555E-2</v>
      </c>
      <c r="T922" s="19">
        <f ca="1">IF('Stock Price'!$I$11="OK",G922/INDEX(G$5:G$1258,'Stock Price'!$I$9)-1,"")</f>
        <v>-0.33842105263157896</v>
      </c>
      <c r="U922" s="19">
        <f ca="1">IF('Stock Price'!$I$11="OK",H922/INDEX(H$5:H$1258,'Stock Price'!$I$9)-1,"")</f>
        <v>-0.28370126820103336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115.94</v>
      </c>
      <c r="C923" s="18">
        <v>142.47999999999999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-0.16312978201241513</v>
      </c>
      <c r="P923" s="19">
        <f ca="1">IF('Stock Price'!$I$11="OK",C923/INDEX(C$5:C$1258,'Stock Price'!$I$9)-1,"")</f>
        <v>-0.22003558231832498</v>
      </c>
      <c r="Q923" s="19">
        <f ca="1">IF('Stock Price'!$I$11="OK",D923/INDEX(D$5:D$1258,'Stock Price'!$I$9)-1,"")</f>
        <v>-0.18476727785613545</v>
      </c>
      <c r="R923" s="19">
        <f ca="1">IF('Stock Price'!$I$11="OK",E923/INDEX(E$5:E$1258,'Stock Price'!$I$9)-1,"")</f>
        <v>-0.22293488824101082</v>
      </c>
      <c r="S923" s="19">
        <f ca="1">IF('Stock Price'!$I$11="OK",F923/INDEX(F$5:F$1258,'Stock Price'!$I$9)-1,"")</f>
        <v>1.9904623678208555E-2</v>
      </c>
      <c r="T923" s="19">
        <f ca="1">IF('Stock Price'!$I$11="OK",G923/INDEX(G$5:G$1258,'Stock Price'!$I$9)-1,"")</f>
        <v>-0.34315789473684211</v>
      </c>
      <c r="U923" s="19">
        <f ca="1">IF('Stock Price'!$I$11="OK",H923/INDEX(H$5:H$1258,'Stock Price'!$I$9)-1,"")</f>
        <v>-0.27534053546265858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116.94</v>
      </c>
      <c r="C924" s="18">
        <v>145.625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-0.1559116500649631</v>
      </c>
      <c r="P924" s="19">
        <f ca="1">IF('Stock Price'!$I$11="OK",C924/INDEX(C$5:C$1258,'Stock Price'!$I$9)-1,"")</f>
        <v>-0.20281921445189555</v>
      </c>
      <c r="Q924" s="19">
        <f ca="1">IF('Stock Price'!$I$11="OK",D924/INDEX(D$5:D$1258,'Stock Price'!$I$9)-1,"")</f>
        <v>-0.17791658271206945</v>
      </c>
      <c r="R924" s="19">
        <f ca="1">IF('Stock Price'!$I$11="OK",E924/INDEX(E$5:E$1258,'Stock Price'!$I$9)-1,"")</f>
        <v>-0.20699708454810506</v>
      </c>
      <c r="S924" s="19">
        <f ca="1">IF('Stock Price'!$I$11="OK",F924/INDEX(F$5:F$1258,'Stock Price'!$I$9)-1,"")</f>
        <v>2.6332158407630146E-2</v>
      </c>
      <c r="T924" s="19">
        <f ca="1">IF('Stock Price'!$I$11="OK",G924/INDEX(G$5:G$1258,'Stock Price'!$I$9)-1,"")</f>
        <v>-0.33368421052631581</v>
      </c>
      <c r="U924" s="19">
        <f ca="1">IF('Stock Price'!$I$11="OK",H924/INDEX(H$5:H$1258,'Stock Price'!$I$9)-1,"")</f>
        <v>-0.26472522310944113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117.79</v>
      </c>
      <c r="C925" s="18">
        <v>142.75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-0.14977623790962891</v>
      </c>
      <c r="P925" s="19">
        <f ca="1">IF('Stock Price'!$I$11="OK",C925/INDEX(C$5:C$1258,'Stock Price'!$I$9)-1,"")</f>
        <v>-0.21855754755713708</v>
      </c>
      <c r="Q925" s="19">
        <f ca="1">IF('Stock Price'!$I$11="OK",D925/INDEX(D$5:D$1258,'Stock Price'!$I$9)-1,"")</f>
        <v>-0.17086439653435426</v>
      </c>
      <c r="R925" s="19">
        <f ca="1">IF('Stock Price'!$I$11="OK",E925/INDEX(E$5:E$1258,'Stock Price'!$I$9)-1,"")</f>
        <v>-0.20777453838678339</v>
      </c>
      <c r="S925" s="19">
        <f ca="1">IF('Stock Price'!$I$11="OK",F925/INDEX(F$5:F$1258,'Stock Price'!$I$9)-1,"")</f>
        <v>3.1722993987145065E-2</v>
      </c>
      <c r="T925" s="19">
        <f ca="1">IF('Stock Price'!$I$11="OK",G925/INDEX(G$5:G$1258,'Stock Price'!$I$9)-1,"")</f>
        <v>-0.30447368421052634</v>
      </c>
      <c r="U925" s="19">
        <f ca="1">IF('Stock Price'!$I$11="OK",H925/INDEX(H$5:H$1258,'Stock Price'!$I$9)-1,"")</f>
        <v>-0.27083137623297315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118.02</v>
      </c>
      <c r="C926" s="18">
        <v>144.31989999999999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-0.14811606756171503</v>
      </c>
      <c r="P926" s="19">
        <f ca="1">IF('Stock Price'!$I$11="OK",C926/INDEX(C$5:C$1258,'Stock Price'!$I$9)-1,"")</f>
        <v>-0.2099635965512523</v>
      </c>
      <c r="Q926" s="19">
        <f ca="1">IF('Stock Price'!$I$11="OK",D926/INDEX(D$5:D$1258,'Stock Price'!$I$9)-1,"")</f>
        <v>-0.16985694136610918</v>
      </c>
      <c r="R926" s="19">
        <f ca="1">IF('Stock Price'!$I$11="OK",E926/INDEX(E$5:E$1258,'Stock Price'!$I$9)-1,"")</f>
        <v>-0.2058309037900875</v>
      </c>
      <c r="S926" s="19">
        <f ca="1">IF('Stock Price'!$I$11="OK",F926/INDEX(F$5:F$1258,'Stock Price'!$I$9)-1,"")</f>
        <v>4.6444121915820036E-2</v>
      </c>
      <c r="T926" s="19">
        <f ca="1">IF('Stock Price'!$I$11="OK",G926/INDEX(G$5:G$1258,'Stock Price'!$I$9)-1,"")</f>
        <v>-0.30434210526315797</v>
      </c>
      <c r="U926" s="19">
        <f ca="1">IF('Stock Price'!$I$11="OK",H926/INDEX(H$5:H$1258,'Stock Price'!$I$9)-1,"")</f>
        <v>-0.25814936589948334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118.02</v>
      </c>
      <c r="C927" s="18">
        <v>146.52000000000001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-0.14811606756171503</v>
      </c>
      <c r="P927" s="19">
        <f ca="1">IF('Stock Price'!$I$11="OK",C927/INDEX(C$5:C$1258,'Stock Price'!$I$9)-1,"")</f>
        <v>-0.19791980292869849</v>
      </c>
      <c r="Q927" s="19">
        <f ca="1">IF('Stock Price'!$I$11="OK",D927/INDEX(D$5:D$1258,'Stock Price'!$I$9)-1,"")</f>
        <v>-0.1767076365101754</v>
      </c>
      <c r="R927" s="19">
        <f ca="1">IF('Stock Price'!$I$11="OK",E927/INDEX(E$5:E$1258,'Stock Price'!$I$9)-1,"")</f>
        <v>-0.20602526724975712</v>
      </c>
      <c r="S927" s="19">
        <f ca="1">IF('Stock Price'!$I$11="OK",F927/INDEX(F$5:F$1258,'Stock Price'!$I$9)-1,"")</f>
        <v>3.1515654157163731E-2</v>
      </c>
      <c r="T927" s="19">
        <f ca="1">IF('Stock Price'!$I$11="OK",G927/INDEX(G$5:G$1258,'Stock Price'!$I$9)-1,"")</f>
        <v>-0.3030263157894737</v>
      </c>
      <c r="U927" s="19">
        <f ca="1">IF('Stock Price'!$I$11="OK",H927/INDEX(H$5:H$1258,'Stock Price'!$I$9)-1,"")</f>
        <v>-0.25476749647721941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118.58</v>
      </c>
      <c r="C928" s="18">
        <v>146.625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-0.14407391367114186</v>
      </c>
      <c r="P928" s="19">
        <f ca="1">IF('Stock Price'!$I$11="OK",C928/INDEX(C$5:C$1258,'Stock Price'!$I$9)-1,"")</f>
        <v>-0.19734501163268103</v>
      </c>
      <c r="Q928" s="19">
        <f ca="1">IF('Stock Price'!$I$11="OK",D928/INDEX(D$5:D$1258,'Stock Price'!$I$9)-1,"")</f>
        <v>-0.16784203102961925</v>
      </c>
      <c r="R928" s="19">
        <f ca="1">IF('Stock Price'!$I$11="OK",E928/INDEX(E$5:E$1258,'Stock Price'!$I$9)-1,"")</f>
        <v>-0.20174927113702623</v>
      </c>
      <c r="S928" s="19">
        <f ca="1">IF('Stock Price'!$I$11="OK",F928/INDEX(F$5:F$1258,'Stock Price'!$I$9)-1,"")</f>
        <v>3.4211071946921079E-2</v>
      </c>
      <c r="T928" s="19">
        <f ca="1">IF('Stock Price'!$I$11="OK",G928/INDEX(G$5:G$1258,'Stock Price'!$I$9)-1,"")</f>
        <v>-0.29618421052631572</v>
      </c>
      <c r="U928" s="19">
        <f ca="1">IF('Stock Price'!$I$11="OK",H928/INDEX(H$5:H$1258,'Stock Price'!$I$9)-1,"")</f>
        <v>-0.23579145138562718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118.07</v>
      </c>
      <c r="C929" s="18">
        <v>148.215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-0.14775516096434238</v>
      </c>
      <c r="P929" s="19">
        <f ca="1">IF('Stock Price'!$I$11="OK",C929/INDEX(C$5:C$1258,'Stock Price'!$I$9)-1,"")</f>
        <v>-0.18864102915013004</v>
      </c>
      <c r="Q929" s="19">
        <f ca="1">IF('Stock Price'!$I$11="OK",D929/INDEX(D$5:D$1258,'Stock Price'!$I$9)-1,"")</f>
        <v>-0.1613943179528512</v>
      </c>
      <c r="R929" s="19">
        <f ca="1">IF('Stock Price'!$I$11="OK",E929/INDEX(E$5:E$1258,'Stock Price'!$I$9)-1,"")</f>
        <v>-0.20136054421768701</v>
      </c>
      <c r="S929" s="19">
        <f ca="1">IF('Stock Price'!$I$11="OK",F929/INDEX(F$5:F$1258,'Stock Price'!$I$9)-1,"")</f>
        <v>3.0478955007257058E-2</v>
      </c>
      <c r="T929" s="19">
        <f ca="1">IF('Stock Price'!$I$11="OK",G929/INDEX(G$5:G$1258,'Stock Price'!$I$9)-1,"")</f>
        <v>-0.26960526315789479</v>
      </c>
      <c r="U929" s="19">
        <f ca="1">IF('Stock Price'!$I$11="OK",H929/INDEX(H$5:H$1258,'Stock Price'!$I$9)-1,"")</f>
        <v>-0.24546735556599353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120.77</v>
      </c>
      <c r="C930" s="18">
        <v>150.10489999999999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-0.12826620470622196</v>
      </c>
      <c r="P930" s="19">
        <f ca="1">IF('Stock Price'!$I$11="OK",C930/INDEX(C$5:C$1258,'Stock Price'!$I$9)-1,"")</f>
        <v>-0.17829533324209679</v>
      </c>
      <c r="Q930" s="19">
        <f ca="1">IF('Stock Price'!$I$11="OK",D930/INDEX(D$5:D$1258,'Stock Price'!$I$9)-1,"")</f>
        <v>-0.14386459802538787</v>
      </c>
      <c r="R930" s="19">
        <f ca="1">IF('Stock Price'!$I$11="OK",E930/INDEX(E$5:E$1258,'Stock Price'!$I$9)-1,"")</f>
        <v>-0.18464528668610303</v>
      </c>
      <c r="S930" s="19">
        <f ca="1">IF('Stock Price'!$I$11="OK",F930/INDEX(F$5:F$1258,'Stock Price'!$I$9)-1,"")</f>
        <v>5.3908355795148299E-2</v>
      </c>
      <c r="T930" s="19">
        <f ca="1">IF('Stock Price'!$I$11="OK",G930/INDEX(G$5:G$1258,'Stock Price'!$I$9)-1,"")</f>
        <v>-0.2678947368421053</v>
      </c>
      <c r="U930" s="19">
        <f ca="1">IF('Stock Price'!$I$11="OK",H930/INDEX(H$5:H$1258,'Stock Price'!$I$9)-1,"")</f>
        <v>-0.23137623297322696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119.45</v>
      </c>
      <c r="C931" s="18">
        <v>148.03989999999999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-0.13779413887685865</v>
      </c>
      <c r="P931" s="19">
        <f ca="1">IF('Stock Price'!$I$11="OK",C931/INDEX(C$5:C$1258,'Stock Price'!$I$9)-1,"")</f>
        <v>-0.1895995620637746</v>
      </c>
      <c r="Q931" s="19">
        <f ca="1">IF('Stock Price'!$I$11="OK",D931/INDEX(D$5:D$1258,'Stock Price'!$I$9)-1,"")</f>
        <v>-0.1767076365101754</v>
      </c>
      <c r="R931" s="19">
        <f ca="1">IF('Stock Price'!$I$11="OK",E931/INDEX(E$5:E$1258,'Stock Price'!$I$9)-1,"")</f>
        <v>-0.19689018464528674</v>
      </c>
      <c r="S931" s="19">
        <f ca="1">IF('Stock Price'!$I$11="OK",F931/INDEX(F$5:F$1258,'Stock Price'!$I$9)-1,"")</f>
        <v>2.9856935517313055E-2</v>
      </c>
      <c r="T931" s="19">
        <f ca="1">IF('Stock Price'!$I$11="OK",G931/INDEX(G$5:G$1258,'Stock Price'!$I$9)-1,"")</f>
        <v>-0.27684210526315789</v>
      </c>
      <c r="U931" s="19">
        <f ca="1">IF('Stock Price'!$I$11="OK",H931/INDEX(H$5:H$1258,'Stock Price'!$I$9)-1,"")</f>
        <v>-0.23240958196336314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118.09</v>
      </c>
      <c r="C932" s="18">
        <v>148.35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-0.14761079832539337</v>
      </c>
      <c r="P932" s="19">
        <f ca="1">IF('Stock Price'!$I$11="OK",C932/INDEX(C$5:C$1258,'Stock Price'!$I$9)-1,"")</f>
        <v>-0.18790201176953614</v>
      </c>
      <c r="Q932" s="19">
        <f ca="1">IF('Stock Price'!$I$11="OK",D932/INDEX(D$5:D$1258,'Stock Price'!$I$9)-1,"")</f>
        <v>-0.18416280475518843</v>
      </c>
      <c r="R932" s="19">
        <f ca="1">IF('Stock Price'!$I$11="OK",E932/INDEX(E$5:E$1258,'Stock Price'!$I$9)-1,"")</f>
        <v>-0.21943634596695827</v>
      </c>
      <c r="S932" s="19">
        <f ca="1">IF('Stock Price'!$I$11="OK",F932/INDEX(F$5:F$1258,'Stock Price'!$I$9)-1,"")</f>
        <v>2.4466099937798136E-2</v>
      </c>
      <c r="T932" s="19">
        <f ca="1">IF('Stock Price'!$I$11="OK",G932/INDEX(G$5:G$1258,'Stock Price'!$I$9)-1,"")</f>
        <v>-0.27434210526315794</v>
      </c>
      <c r="U932" s="19">
        <f ca="1">IF('Stock Price'!$I$11="OK",H932/INDEX(H$5:H$1258,'Stock Price'!$I$9)-1,"")</f>
        <v>-0.23945514325974648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116.41</v>
      </c>
      <c r="C933" s="18">
        <v>140.97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-0.15973725999711275</v>
      </c>
      <c r="P933" s="19">
        <f ca="1">IF('Stock Price'!$I$11="OK",C933/INDEX(C$5:C$1258,'Stock Price'!$I$9)-1,"")</f>
        <v>-0.22830162857533876</v>
      </c>
      <c r="Q933" s="19">
        <f ca="1">IF('Stock Price'!$I$11="OK",D933/INDEX(D$5:D$1258,'Stock Price'!$I$9)-1,"")</f>
        <v>-0.19967761434616171</v>
      </c>
      <c r="R933" s="19">
        <f ca="1">IF('Stock Price'!$I$11="OK",E933/INDEX(E$5:E$1258,'Stock Price'!$I$9)-1,"")</f>
        <v>-0.22215743440233238</v>
      </c>
      <c r="S933" s="19">
        <f ca="1">IF('Stock Price'!$I$11="OK",F933/INDEX(F$5:F$1258,'Stock Price'!$I$9)-1,"")</f>
        <v>-2.0733982998133449E-4</v>
      </c>
      <c r="T933" s="19">
        <f ca="1">IF('Stock Price'!$I$11="OK",G933/INDEX(G$5:G$1258,'Stock Price'!$I$9)-1,"")</f>
        <v>-0.28526315789473689</v>
      </c>
      <c r="U933" s="19">
        <f ca="1">IF('Stock Price'!$I$11="OK",H933/INDEX(H$5:H$1258,'Stock Price'!$I$9)-1,"")</f>
        <v>-0.26463128229215593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115.96</v>
      </c>
      <c r="C934" s="18">
        <v>143.6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-0.16298541937346611</v>
      </c>
      <c r="P934" s="19">
        <f ca="1">IF('Stock Price'!$I$11="OK",C934/INDEX(C$5:C$1258,'Stock Price'!$I$9)-1,"")</f>
        <v>-0.2139044751608048</v>
      </c>
      <c r="Q934" s="19">
        <f ca="1">IF('Stock Price'!$I$11="OK",D934/INDEX(D$5:D$1258,'Stock Price'!$I$9)-1,"")</f>
        <v>-0.22143864598025387</v>
      </c>
      <c r="R934" s="19">
        <f ca="1">IF('Stock Price'!$I$11="OK",E934/INDEX(E$5:E$1258,'Stock Price'!$I$9)-1,"")</f>
        <v>-0.2299319727891157</v>
      </c>
      <c r="S934" s="19">
        <f ca="1">IF('Stock Price'!$I$11="OK",F934/INDEX(F$5:F$1258,'Stock Price'!$I$9)-1,"")</f>
        <v>-1.2647729628861737E-2</v>
      </c>
      <c r="T934" s="19">
        <f ca="1">IF('Stock Price'!$I$11="OK",G934/INDEX(G$5:G$1258,'Stock Price'!$I$9)-1,"")</f>
        <v>-0.2840789473684211</v>
      </c>
      <c r="U934" s="19">
        <f ca="1">IF('Stock Price'!$I$11="OK",H934/INDEX(H$5:H$1258,'Stock Price'!$I$9)-1,"")</f>
        <v>-0.25514325974635976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115.77</v>
      </c>
      <c r="C935" s="18">
        <v>139.6901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-0.16435686444348196</v>
      </c>
      <c r="P935" s="19">
        <f ca="1">IF('Stock Price'!$I$11="OK",C935/INDEX(C$5:C$1258,'Stock Price'!$I$9)-1,"")</f>
        <v>-0.23530806076365129</v>
      </c>
      <c r="Q935" s="19">
        <f ca="1">IF('Stock Price'!$I$11="OK",D935/INDEX(D$5:D$1258,'Stock Price'!$I$9)-1,"")</f>
        <v>-0.23292363489824708</v>
      </c>
      <c r="R935" s="19">
        <f ca="1">IF('Stock Price'!$I$11="OK",E935/INDEX(E$5:E$1258,'Stock Price'!$I$9)-1,"")</f>
        <v>-0.23809523809523814</v>
      </c>
      <c r="S935" s="19">
        <f ca="1">IF('Stock Price'!$I$11="OK",F935/INDEX(F$5:F$1258,'Stock Price'!$I$9)-1,"")</f>
        <v>-7.6715737093094871E-3</v>
      </c>
      <c r="T935" s="19">
        <f ca="1">IF('Stock Price'!$I$11="OK",G935/INDEX(G$5:G$1258,'Stock Price'!$I$9)-1,"")</f>
        <v>-0.29776315789473684</v>
      </c>
      <c r="U935" s="19">
        <f ca="1">IF('Stock Price'!$I$11="OK",H935/INDEX(H$5:H$1258,'Stock Price'!$I$9)-1,"")</f>
        <v>-0.25730389854391733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117.52</v>
      </c>
      <c r="C936" s="18">
        <v>142.01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-0.15172513353544104</v>
      </c>
      <c r="P936" s="19">
        <f ca="1">IF('Stock Price'!$I$11="OK",C936/INDEX(C$5:C$1258,'Stock Price'!$I$9)-1,"")</f>
        <v>-0.22260845764335579</v>
      </c>
      <c r="Q936" s="19">
        <f ca="1">IF('Stock Price'!$I$11="OK",D936/INDEX(D$5:D$1258,'Stock Price'!$I$9)-1,"")</f>
        <v>-0.22909530525891608</v>
      </c>
      <c r="R936" s="19">
        <f ca="1">IF('Stock Price'!$I$11="OK",E936/INDEX(E$5:E$1258,'Stock Price'!$I$9)-1,"")</f>
        <v>-0.22176870748299327</v>
      </c>
      <c r="S936" s="19">
        <f ca="1">IF('Stock Price'!$I$11="OK",F936/INDEX(F$5:F$1258,'Stock Price'!$I$9)-1,"")</f>
        <v>-1.0366991499066724E-3</v>
      </c>
      <c r="T936" s="19">
        <f ca="1">IF('Stock Price'!$I$11="OK",G936/INDEX(G$5:G$1258,'Stock Price'!$I$9)-1,"")</f>
        <v>-0.30960526315789472</v>
      </c>
      <c r="U936" s="19">
        <f ca="1">IF('Stock Price'!$I$11="OK",H936/INDEX(H$5:H$1258,'Stock Price'!$I$9)-1,"")</f>
        <v>-0.24697040864255526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118.83</v>
      </c>
      <c r="C937" s="18">
        <v>142.01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-0.14226938068427886</v>
      </c>
      <c r="P937" s="19">
        <f ca="1">IF('Stock Price'!$I$11="OK",C937/INDEX(C$5:C$1258,'Stock Price'!$I$9)-1,"")</f>
        <v>-0.22260845764335579</v>
      </c>
      <c r="Q937" s="19">
        <f ca="1">IF('Stock Price'!$I$11="OK",D937/INDEX(D$5:D$1258,'Stock Price'!$I$9)-1,"")</f>
        <v>-0.22063268184565787</v>
      </c>
      <c r="R937" s="19">
        <f ca="1">IF('Stock Price'!$I$11="OK",E937/INDEX(E$5:E$1258,'Stock Price'!$I$9)-1,"")</f>
        <v>-0.20719144800777456</v>
      </c>
      <c r="S937" s="19">
        <f ca="1">IF('Stock Price'!$I$11="OK",F937/INDEX(F$5:F$1258,'Stock Price'!$I$9)-1,"")</f>
        <v>3.9394567696455773E-3</v>
      </c>
      <c r="T937" s="19">
        <f ca="1">IF('Stock Price'!$I$11="OK",G937/INDEX(G$5:G$1258,'Stock Price'!$I$9)-1,"")</f>
        <v>-0.3030263157894737</v>
      </c>
      <c r="U937" s="19">
        <f ca="1">IF('Stock Price'!$I$11="OK",H937/INDEX(H$5:H$1258,'Stock Price'!$I$9)-1,"")</f>
        <v>-0.24546735556599353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118</v>
      </c>
      <c r="C938" s="18">
        <v>146.19999999999999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-0.14826043020066404</v>
      </c>
      <c r="P938" s="19">
        <f ca="1">IF('Stock Price'!$I$11="OK",C938/INDEX(C$5:C$1258,'Stock Price'!$I$9)-1,"")</f>
        <v>-0.19967154783084728</v>
      </c>
      <c r="Q938" s="19">
        <f ca="1">IF('Stock Price'!$I$11="OK",D938/INDEX(D$5:D$1258,'Stock Price'!$I$9)-1,"")</f>
        <v>-0.22869232319161803</v>
      </c>
      <c r="R938" s="19">
        <f ca="1">IF('Stock Price'!$I$11="OK",E938/INDEX(E$5:E$1258,'Stock Price'!$I$9)-1,"")</f>
        <v>-0.21690962099125366</v>
      </c>
      <c r="S938" s="19">
        <f ca="1">IF('Stock Price'!$I$11="OK",F938/INDEX(F$5:F$1258,'Stock Price'!$I$9)-1,"")</f>
        <v>-8.9156126891976051E-3</v>
      </c>
      <c r="T938" s="19">
        <f ca="1">IF('Stock Price'!$I$11="OK",G938/INDEX(G$5:G$1258,'Stock Price'!$I$9)-1,"")</f>
        <v>-0.30500000000000005</v>
      </c>
      <c r="U938" s="19">
        <f ca="1">IF('Stock Price'!$I$11="OK",H938/INDEX(H$5:H$1258,'Stock Price'!$I$9)-1,"")</f>
        <v>-0.25157350868952555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120.32</v>
      </c>
      <c r="C939" s="18">
        <v>139.92500000000001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-0.13151436408257544</v>
      </c>
      <c r="P939" s="19">
        <f ca="1">IF('Stock Price'!$I$11="OK",C939/INDEX(C$5:C$1258,'Stock Price'!$I$9)-1,"")</f>
        <v>-0.23402217052141783</v>
      </c>
      <c r="Q939" s="19">
        <f ca="1">IF('Stock Price'!$I$11="OK",D939/INDEX(D$5:D$1258,'Stock Price'!$I$9)-1,"")</f>
        <v>-0.22325206528309505</v>
      </c>
      <c r="R939" s="19">
        <f ca="1">IF('Stock Price'!$I$11="OK",E939/INDEX(E$5:E$1258,'Stock Price'!$I$9)-1,"")</f>
        <v>-0.19961127308066084</v>
      </c>
      <c r="S939" s="19">
        <f ca="1">IF('Stock Price'!$I$11="OK",F939/INDEX(F$5:F$1258,'Stock Price'!$I$9)-1,"")</f>
        <v>2.9027576197386828E-3</v>
      </c>
      <c r="T939" s="19">
        <f ca="1">IF('Stock Price'!$I$11="OK",G939/INDEX(G$5:G$1258,'Stock Price'!$I$9)-1,"")</f>
        <v>-0.30842105263157893</v>
      </c>
      <c r="U939" s="19">
        <f ca="1">IF('Stock Price'!$I$11="OK",H939/INDEX(H$5:H$1258,'Stock Price'!$I$9)-1,"")</f>
        <v>-0.2594645373414749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120.01</v>
      </c>
      <c r="C940" s="18">
        <v>138.18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-0.13375198498628549</v>
      </c>
      <c r="P940" s="19">
        <f ca="1">IF('Stock Price'!$I$11="OK",C940/INDEX(C$5:C$1258,'Stock Price'!$I$9)-1,"")</f>
        <v>-0.24357465444094706</v>
      </c>
      <c r="Q940" s="19">
        <f ca="1">IF('Stock Price'!$I$11="OK",D940/INDEX(D$5:D$1258,'Stock Price'!$I$9)-1,"")</f>
        <v>-0.22264759218214802</v>
      </c>
      <c r="R940" s="19">
        <f ca="1">IF('Stock Price'!$I$11="OK",E940/INDEX(E$5:E$1258,'Stock Price'!$I$9)-1,"")</f>
        <v>-0.20485908649173967</v>
      </c>
      <c r="S940" s="19">
        <f ca="1">IF('Stock Price'!$I$11="OK",F940/INDEX(F$5:F$1258,'Stock Price'!$I$9)-1,"")</f>
        <v>-7.8789135392908216E-3</v>
      </c>
      <c r="T940" s="19">
        <f ca="1">IF('Stock Price'!$I$11="OK",G940/INDEX(G$5:G$1258,'Stock Price'!$I$9)-1,"")</f>
        <v>-0.29013157894736841</v>
      </c>
      <c r="U940" s="19">
        <f ca="1">IF('Stock Price'!$I$11="OK",H940/INDEX(H$5:H$1258,'Stock Price'!$I$9)-1,"")</f>
        <v>-0.25692813527477698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121.01</v>
      </c>
      <c r="C941" s="18">
        <v>138.18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-0.12653385303883347</v>
      </c>
      <c r="P941" s="19">
        <f ca="1">IF('Stock Price'!$I$11="OK",C941/INDEX(C$5:C$1258,'Stock Price'!$I$9)-1,"")</f>
        <v>-0.24357465444094706</v>
      </c>
      <c r="Q941" s="19">
        <f ca="1">IF('Stock Price'!$I$11="OK",D941/INDEX(D$5:D$1258,'Stock Price'!$I$9)-1,"")</f>
        <v>-0.22627443078783005</v>
      </c>
      <c r="R941" s="19">
        <f ca="1">IF('Stock Price'!$I$11="OK",E941/INDEX(E$5:E$1258,'Stock Price'!$I$9)-1,"")</f>
        <v>-0.20777453838678339</v>
      </c>
      <c r="S941" s="19">
        <f ca="1">IF('Stock Price'!$I$11="OK",F941/INDEX(F$5:F$1258,'Stock Price'!$I$9)-1,"")</f>
        <v>1.658718639850898E-3</v>
      </c>
      <c r="T941" s="19">
        <f ca="1">IF('Stock Price'!$I$11="OK",G941/INDEX(G$5:G$1258,'Stock Price'!$I$9)-1,"")</f>
        <v>-0.32802631578947372</v>
      </c>
      <c r="U941" s="19">
        <f ca="1">IF('Stock Price'!$I$11="OK",H941/INDEX(H$5:H$1258,'Stock Price'!$I$9)-1,"")</f>
        <v>-0.25636449037106623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123.1</v>
      </c>
      <c r="C942" s="18">
        <v>139.71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-0.11144795726865886</v>
      </c>
      <c r="P942" s="19">
        <f ca="1">IF('Stock Price'!$I$11="OK",C942/INDEX(C$5:C$1258,'Stock Price'!$I$9)-1,"")</f>
        <v>-0.23519912412754895</v>
      </c>
      <c r="Q942" s="19">
        <f ca="1">IF('Stock Price'!$I$11="OK",D942/INDEX(D$5:D$1258,'Stock Price'!$I$9)-1,"")</f>
        <v>-0.21519242393713478</v>
      </c>
      <c r="R942" s="19">
        <f ca="1">IF('Stock Price'!$I$11="OK",E942/INDEX(E$5:E$1258,'Stock Price'!$I$9)-1,"")</f>
        <v>-0.20019436345966968</v>
      </c>
      <c r="S942" s="19">
        <f ca="1">IF('Stock Price'!$I$11="OK",F942/INDEX(F$5:F$1258,'Stock Price'!$I$9)-1,"")</f>
        <v>1.7001866058469872E-2</v>
      </c>
      <c r="T942" s="19">
        <f ca="1">IF('Stock Price'!$I$11="OK",G942/INDEX(G$5:G$1258,'Stock Price'!$I$9)-1,"")</f>
        <v>-0.30368421052631578</v>
      </c>
      <c r="U942" s="19">
        <f ca="1">IF('Stock Price'!$I$11="OK",H942/INDEX(H$5:H$1258,'Stock Price'!$I$9)-1,"")</f>
        <v>-0.23147017379051193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123.81</v>
      </c>
      <c r="C943" s="18">
        <v>143.88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-0.10632308358596787</v>
      </c>
      <c r="P943" s="19">
        <f ca="1">IF('Stock Price'!$I$11="OK",C943/INDEX(C$5:C$1258,'Stock Price'!$I$9)-1,"")</f>
        <v>-0.21237169837142478</v>
      </c>
      <c r="Q943" s="19">
        <f ca="1">IF('Stock Price'!$I$11="OK",D943/INDEX(D$5:D$1258,'Stock Price'!$I$9)-1,"")</f>
        <v>-0.22405802941769104</v>
      </c>
      <c r="R943" s="19">
        <f ca="1">IF('Stock Price'!$I$11="OK",E943/INDEX(E$5:E$1258,'Stock Price'!$I$9)-1,"")</f>
        <v>-0.20019436345966968</v>
      </c>
      <c r="S943" s="19">
        <f ca="1">IF('Stock Price'!$I$11="OK",F943/INDEX(F$5:F$1258,'Stock Price'!$I$9)-1,"")</f>
        <v>2.2392701637984791E-2</v>
      </c>
      <c r="T943" s="19">
        <f ca="1">IF('Stock Price'!$I$11="OK",G943/INDEX(G$5:G$1258,'Stock Price'!$I$9)-1,"")</f>
        <v>-0.30644736842105258</v>
      </c>
      <c r="U943" s="19">
        <f ca="1">IF('Stock Price'!$I$11="OK",H943/INDEX(H$5:H$1258,'Stock Price'!$I$9)-1,"")</f>
        <v>-0.22602160638797564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121.9</v>
      </c>
      <c r="C944" s="18">
        <v>140.685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-0.12010971560560113</v>
      </c>
      <c r="P944" s="19">
        <f ca="1">IF('Stock Price'!$I$11="OK",C944/INDEX(C$5:C$1258,'Stock Price'!$I$9)-1,"")</f>
        <v>-0.22986177637881489</v>
      </c>
      <c r="Q944" s="19">
        <f ca="1">IF('Stock Price'!$I$11="OK",D944/INDEX(D$5:D$1258,'Stock Price'!$I$9)-1,"")</f>
        <v>-0.23070723352810807</v>
      </c>
      <c r="R944" s="19">
        <f ca="1">IF('Stock Price'!$I$11="OK",E944/INDEX(E$5:E$1258,'Stock Price'!$I$9)-1,"")</f>
        <v>-0.21399416909621005</v>
      </c>
      <c r="S944" s="19">
        <f ca="1">IF('Stock Price'!$I$11="OK",F944/INDEX(F$5:F$1258,'Stock Price'!$I$9)-1,"")</f>
        <v>1.4513788098693414E-3</v>
      </c>
      <c r="T944" s="19">
        <f ca="1">IF('Stock Price'!$I$11="OK",G944/INDEX(G$5:G$1258,'Stock Price'!$I$9)-1,"")</f>
        <v>-0.31447368421052635</v>
      </c>
      <c r="U944" s="19">
        <f ca="1">IF('Stock Price'!$I$11="OK",H944/INDEX(H$5:H$1258,'Stock Price'!$I$9)-1,"")</f>
        <v>-0.23973696571160164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122.12</v>
      </c>
      <c r="C945" s="18">
        <v>142.63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-0.11852172657716176</v>
      </c>
      <c r="P945" s="19">
        <f ca="1">IF('Stock Price'!$I$11="OK",C945/INDEX(C$5:C$1258,'Stock Price'!$I$9)-1,"")</f>
        <v>-0.21921445189544275</v>
      </c>
      <c r="Q945" s="19">
        <f ca="1">IF('Stock Price'!$I$11="OK",D945/INDEX(D$5:D$1258,'Stock Price'!$I$9)-1,"")</f>
        <v>-0.2305057424944591</v>
      </c>
      <c r="R945" s="19">
        <f ca="1">IF('Stock Price'!$I$11="OK",E945/INDEX(E$5:E$1258,'Stock Price'!$I$9)-1,"")</f>
        <v>-0.21632653061224494</v>
      </c>
      <c r="S945" s="19">
        <f ca="1">IF('Stock Price'!$I$11="OK",F945/INDEX(F$5:F$1258,'Stock Price'!$I$9)-1,"")</f>
        <v>1.8660584698322324E-3</v>
      </c>
      <c r="T945" s="19">
        <f ca="1">IF('Stock Price'!$I$11="OK",G945/INDEX(G$5:G$1258,'Stock Price'!$I$9)-1,"")</f>
        <v>-0.31184210526315792</v>
      </c>
      <c r="U945" s="19">
        <f ca="1">IF('Stock Price'!$I$11="OK",H945/INDEX(H$5:H$1258,'Stock Price'!$I$9)-1,"")</f>
        <v>-0.24001878816345701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121.68</v>
      </c>
      <c r="C946" s="18">
        <v>140.15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-0.12169770463404062</v>
      </c>
      <c r="P946" s="19">
        <f ca="1">IF('Stock Price'!$I$11="OK",C946/INDEX(C$5:C$1258,'Stock Price'!$I$9)-1,"")</f>
        <v>-0.23279047488709459</v>
      </c>
      <c r="Q946" s="19">
        <f ca="1">IF('Stock Price'!$I$11="OK",D946/INDEX(D$5:D$1258,'Stock Price'!$I$9)-1,"")</f>
        <v>-0.22466250251863806</v>
      </c>
      <c r="R946" s="19">
        <f ca="1">IF('Stock Price'!$I$11="OK",E946/INDEX(E$5:E$1258,'Stock Price'!$I$9)-1,"")</f>
        <v>-0.22079689018464521</v>
      </c>
      <c r="S946" s="19">
        <f ca="1">IF('Stock Price'!$I$11="OK",F946/INDEX(F$5:F$1258,'Stock Price'!$I$9)-1,"")</f>
        <v>-1.0366991499066724E-3</v>
      </c>
      <c r="T946" s="19">
        <f ca="1">IF('Stock Price'!$I$11="OK",G946/INDEX(G$5:G$1258,'Stock Price'!$I$9)-1,"")</f>
        <v>-0.28473684210526318</v>
      </c>
      <c r="U946" s="19">
        <f ca="1">IF('Stock Price'!$I$11="OK",H946/INDEX(H$5:H$1258,'Stock Price'!$I$9)-1,"")</f>
        <v>-0.23560356975105679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122.94</v>
      </c>
      <c r="C947" s="18">
        <v>141.4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-0.11260285838025119</v>
      </c>
      <c r="P947" s="19">
        <f ca="1">IF('Stock Price'!$I$11="OK",C947/INDEX(C$5:C$1258,'Stock Price'!$I$9)-1,"")</f>
        <v>-0.2259477213630765</v>
      </c>
      <c r="Q947" s="19">
        <f ca="1">IF('Stock Price'!$I$11="OK",D947/INDEX(D$5:D$1258,'Stock Price'!$I$9)-1,"")</f>
        <v>-0.21337900463429382</v>
      </c>
      <c r="R947" s="19">
        <f ca="1">IF('Stock Price'!$I$11="OK",E947/INDEX(E$5:E$1258,'Stock Price'!$I$9)-1,"")</f>
        <v>-0.20563654033041801</v>
      </c>
      <c r="S947" s="19">
        <f ca="1">IF('Stock Price'!$I$11="OK",F947/INDEX(F$5:F$1258,'Stock Price'!$I$9)-1,"")</f>
        <v>1.2440389798880291E-2</v>
      </c>
      <c r="T947" s="19">
        <f ca="1">IF('Stock Price'!$I$11="OK",G947/INDEX(G$5:G$1258,'Stock Price'!$I$9)-1,"")</f>
        <v>-0.28078947368421059</v>
      </c>
      <c r="U947" s="19">
        <f ca="1">IF('Stock Price'!$I$11="OK",H947/INDEX(H$5:H$1258,'Stock Price'!$I$9)-1,"")</f>
        <v>-0.21362141850634109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123.73</v>
      </c>
      <c r="C948" s="18">
        <v>141.4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-0.10690053414176404</v>
      </c>
      <c r="P948" s="19">
        <f ca="1">IF('Stock Price'!$I$11="OK",C948/INDEX(C$5:C$1258,'Stock Price'!$I$9)-1,"")</f>
        <v>-0.2259477213630765</v>
      </c>
      <c r="Q948" s="19">
        <f ca="1">IF('Stock Price'!$I$11="OK",D948/INDEX(D$5:D$1258,'Stock Price'!$I$9)-1,"")</f>
        <v>-0.20249848881724775</v>
      </c>
      <c r="R948" s="19">
        <f ca="1">IF('Stock Price'!$I$11="OK",E948/INDEX(E$5:E$1258,'Stock Price'!$I$9)-1,"")</f>
        <v>-0.19883381924198262</v>
      </c>
      <c r="S948" s="19">
        <f ca="1">IF('Stock Price'!$I$11="OK",F948/INDEX(F$5:F$1258,'Stock Price'!$I$9)-1,"")</f>
        <v>2.3014721127928794E-2</v>
      </c>
      <c r="T948" s="19">
        <f ca="1">IF('Stock Price'!$I$11="OK",G948/INDEX(G$5:G$1258,'Stock Price'!$I$9)-1,"")</f>
        <v>-0.2689473684210526</v>
      </c>
      <c r="U948" s="19">
        <f ca="1">IF('Stock Price'!$I$11="OK",H948/INDEX(H$5:H$1258,'Stock Price'!$I$9)-1,"")</f>
        <v>-0.2107092531705026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121.02</v>
      </c>
      <c r="C949" s="18">
        <v>140.25989999999999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-0.12646167171935896</v>
      </c>
      <c r="P949" s="19">
        <f ca="1">IF('Stock Price'!$I$11="OK",C949/INDEX(C$5:C$1258,'Stock Price'!$I$9)-1,"")</f>
        <v>-0.23218885999726302</v>
      </c>
      <c r="Q949" s="19">
        <f ca="1">IF('Stock Price'!$I$11="OK",D949/INDEX(D$5:D$1258,'Stock Price'!$I$9)-1,"")</f>
        <v>-0.22869232319161803</v>
      </c>
      <c r="R949" s="19">
        <f ca="1">IF('Stock Price'!$I$11="OK",E949/INDEX(E$5:E$1258,'Stock Price'!$I$9)-1,"")</f>
        <v>-0.213022351797862</v>
      </c>
      <c r="S949" s="19">
        <f ca="1">IF('Stock Price'!$I$11="OK",F949/INDEX(F$5:F$1258,'Stock Price'!$I$9)-1,"")</f>
        <v>7.8789135392909326E-3</v>
      </c>
      <c r="T949" s="19">
        <f ca="1">IF('Stock Price'!$I$11="OK",G949/INDEX(G$5:G$1258,'Stock Price'!$I$9)-1,"")</f>
        <v>-0.28052631578947373</v>
      </c>
      <c r="U949" s="19">
        <f ca="1">IF('Stock Price'!$I$11="OK",H949/INDEX(H$5:H$1258,'Stock Price'!$I$9)-1,"")</f>
        <v>-0.21690934711131993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121.04</v>
      </c>
      <c r="C950" s="18">
        <v>143.15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-0.12631730908040995</v>
      </c>
      <c r="P950" s="19">
        <f ca="1">IF('Stock Price'!$I$11="OK",C950/INDEX(C$5:C$1258,'Stock Price'!$I$9)-1,"")</f>
        <v>-0.21636786642945127</v>
      </c>
      <c r="Q950" s="19">
        <f ca="1">IF('Stock Price'!$I$11="OK",D950/INDEX(D$5:D$1258,'Stock Price'!$I$9)-1,"")</f>
        <v>-0.22849083215796906</v>
      </c>
      <c r="R950" s="19">
        <f ca="1">IF('Stock Price'!$I$11="OK",E950/INDEX(E$5:E$1258,'Stock Price'!$I$9)-1,"")</f>
        <v>-0.21710398445092327</v>
      </c>
      <c r="S950" s="19">
        <f ca="1">IF('Stock Price'!$I$11="OK",F950/INDEX(F$5:F$1258,'Stock Price'!$I$9)-1,"")</f>
        <v>6.6348745594029257E-3</v>
      </c>
      <c r="T950" s="19">
        <f ca="1">IF('Stock Price'!$I$11="OK",G950/INDEX(G$5:G$1258,'Stock Price'!$I$9)-1,"")</f>
        <v>-0.27605263157894733</v>
      </c>
      <c r="U950" s="19">
        <f ca="1">IF('Stock Price'!$I$11="OK",H950/INDEX(H$5:H$1258,'Stock Price'!$I$9)-1,"")</f>
        <v>-0.21399718177548144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119.67</v>
      </c>
      <c r="C951" s="18">
        <v>140.4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-0.13620614984841917</v>
      </c>
      <c r="P951" s="19">
        <f ca="1">IF('Stock Price'!$I$11="OK",C951/INDEX(C$5:C$1258,'Stock Price'!$I$9)-1,"")</f>
        <v>-0.23142192418229102</v>
      </c>
      <c r="Q951" s="19">
        <f ca="1">IF('Stock Price'!$I$11="OK",D951/INDEX(D$5:D$1258,'Stock Price'!$I$9)-1,"")</f>
        <v>-0.23796091073947212</v>
      </c>
      <c r="R951" s="19">
        <f ca="1">IF('Stock Price'!$I$11="OK",E951/INDEX(E$5:E$1258,'Stock Price'!$I$9)-1,"")</f>
        <v>-0.22973760932944609</v>
      </c>
      <c r="S951" s="19">
        <f ca="1">IF('Stock Price'!$I$11="OK",F951/INDEX(F$5:F$1258,'Stock Price'!$I$9)-1,"")</f>
        <v>-2.2807381297946794E-3</v>
      </c>
      <c r="T951" s="19">
        <f ca="1">IF('Stock Price'!$I$11="OK",G951/INDEX(G$5:G$1258,'Stock Price'!$I$9)-1,"")</f>
        <v>-0.2811842105263157</v>
      </c>
      <c r="U951" s="19">
        <f ca="1">IF('Stock Price'!$I$11="OK",H951/INDEX(H$5:H$1258,'Stock Price'!$I$9)-1,"")</f>
        <v>-0.23419445749178025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118.37</v>
      </c>
      <c r="C952" s="18">
        <v>142.02000000000001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-0.14558972138010673</v>
      </c>
      <c r="P952" s="19">
        <f ca="1">IF('Stock Price'!$I$11="OK",C952/INDEX(C$5:C$1258,'Stock Price'!$I$9)-1,"")</f>
        <v>-0.22255371561516357</v>
      </c>
      <c r="Q952" s="19">
        <f ca="1">IF('Stock Price'!$I$11="OK",D952/INDEX(D$5:D$1258,'Stock Price'!$I$9)-1,"")</f>
        <v>-0.22869232319161803</v>
      </c>
      <c r="R952" s="19">
        <f ca="1">IF('Stock Price'!$I$11="OK",E952/INDEX(E$5:E$1258,'Stock Price'!$I$9)-1,"")</f>
        <v>-0.21865889212827982</v>
      </c>
      <c r="S952" s="19">
        <f ca="1">IF('Stock Price'!$I$11="OK",F952/INDEX(F$5:F$1258,'Stock Price'!$I$9)-1,"")</f>
        <v>6.0128550694589222E-3</v>
      </c>
      <c r="T952" s="19">
        <f ca="1">IF('Stock Price'!$I$11="OK",G952/INDEX(G$5:G$1258,'Stock Price'!$I$9)-1,"")</f>
        <v>-0.27460526315789469</v>
      </c>
      <c r="U952" s="19">
        <f ca="1">IF('Stock Price'!$I$11="OK",H952/INDEX(H$5:H$1258,'Stock Price'!$I$9)-1,"")</f>
        <v>-0.22564584311883507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114.52</v>
      </c>
      <c r="C953" s="18">
        <v>142.02000000000001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-0.17337952937779699</v>
      </c>
      <c r="P953" s="19">
        <f ca="1">IF('Stock Price'!$I$11="OK",C953/INDEX(C$5:C$1258,'Stock Price'!$I$9)-1,"")</f>
        <v>-0.22255371561516357</v>
      </c>
      <c r="Q953" s="19">
        <f ca="1">IF('Stock Price'!$I$11="OK",D953/INDEX(D$5:D$1258,'Stock Price'!$I$9)-1,"")</f>
        <v>-0.26516220028208748</v>
      </c>
      <c r="R953" s="19">
        <f ca="1">IF('Stock Price'!$I$11="OK",E953/INDEX(E$5:E$1258,'Stock Price'!$I$9)-1,"")</f>
        <v>-0.22487852283770648</v>
      </c>
      <c r="S953" s="19">
        <f ca="1">IF('Stock Price'!$I$11="OK",F953/INDEX(F$5:F$1258,'Stock Price'!$I$9)-1,"")</f>
        <v>8.7082728592162706E-3</v>
      </c>
      <c r="T953" s="19">
        <f ca="1">IF('Stock Price'!$I$11="OK",G953/INDEX(G$5:G$1258,'Stock Price'!$I$9)-1,"")</f>
        <v>-0.26394736842105271</v>
      </c>
      <c r="U953" s="19">
        <f ca="1">IF('Stock Price'!$I$11="OK",H953/INDEX(H$5:H$1258,'Stock Price'!$I$9)-1,"")</f>
        <v>-0.23419445749178025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114.25</v>
      </c>
      <c r="C954" s="18">
        <v>142.02000000000001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-0.17532842500360901</v>
      </c>
      <c r="P954" s="19">
        <f ca="1">IF('Stock Price'!$I$11="OK",C954/INDEX(C$5:C$1258,'Stock Price'!$I$9)-1,"")</f>
        <v>-0.22255371561516357</v>
      </c>
      <c r="Q954" s="19">
        <f ca="1">IF('Stock Price'!$I$11="OK",D954/INDEX(D$5:D$1258,'Stock Price'!$I$9)-1,"")</f>
        <v>-0.26838605682047145</v>
      </c>
      <c r="R954" s="19">
        <f ca="1">IF('Stock Price'!$I$11="OK",E954/INDEX(E$5:E$1258,'Stock Price'!$I$9)-1,"")</f>
        <v>-0.22099125364431493</v>
      </c>
      <c r="S954" s="19">
        <f ca="1">IF('Stock Price'!$I$11="OK",F954/INDEX(F$5:F$1258,'Stock Price'!$I$9)-1,"")</f>
        <v>1.8660584698322324E-3</v>
      </c>
      <c r="T954" s="19">
        <f ca="1">IF('Stock Price'!$I$11="OK",G954/INDEX(G$5:G$1258,'Stock Price'!$I$9)-1,"")</f>
        <v>-0.27184210526315788</v>
      </c>
      <c r="U954" s="19">
        <f ca="1">IF('Stock Price'!$I$11="OK",H954/INDEX(H$5:H$1258,'Stock Price'!$I$9)-1,"")</f>
        <v>-0.24884922498825746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114.14</v>
      </c>
      <c r="C955" s="18">
        <v>139.69999999999999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-0.1761224195178287</v>
      </c>
      <c r="P955" s="19">
        <f ca="1">IF('Stock Price'!$I$11="OK",C955/INDEX(C$5:C$1258,'Stock Price'!$I$9)-1,"")</f>
        <v>-0.23525386615574118</v>
      </c>
      <c r="Q955" s="19">
        <f ca="1">IF('Stock Price'!$I$11="OK",D955/INDEX(D$5:D$1258,'Stock Price'!$I$9)-1,"")</f>
        <v>-0.27060245819061046</v>
      </c>
      <c r="R955" s="19">
        <f ca="1">IF('Stock Price'!$I$11="OK",E955/INDEX(E$5:E$1258,'Stock Price'!$I$9)-1,"")</f>
        <v>-0.22662779397473276</v>
      </c>
      <c r="S955" s="19">
        <f ca="1">IF('Stock Price'!$I$11="OK",F955/INDEX(F$5:F$1258,'Stock Price'!$I$9)-1,"")</f>
        <v>-6.2201948994401457E-3</v>
      </c>
      <c r="T955" s="19">
        <f ca="1">IF('Stock Price'!$I$11="OK",G955/INDEX(G$5:G$1258,'Stock Price'!$I$9)-1,"")</f>
        <v>-0.27486842105263154</v>
      </c>
      <c r="U955" s="19">
        <f ca="1">IF('Stock Price'!$I$11="OK",H955/INDEX(H$5:H$1258,'Stock Price'!$I$9)-1,"")</f>
        <v>-0.25495537811178959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116.83</v>
      </c>
      <c r="C956" s="18">
        <v>141.9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-0.1567056445791829</v>
      </c>
      <c r="P956" s="19">
        <f ca="1">IF('Stock Price'!$I$11="OK",C956/INDEX(C$5:C$1258,'Stock Price'!$I$9)-1,"")</f>
        <v>-0.22321061995346925</v>
      </c>
      <c r="Q956" s="19">
        <f ca="1">IF('Stock Price'!$I$11="OK",D956/INDEX(D$5:D$1258,'Stock Price'!$I$9)-1,"")</f>
        <v>-0.25408019343139232</v>
      </c>
      <c r="R956" s="19">
        <f ca="1">IF('Stock Price'!$I$11="OK",E956/INDEX(E$5:E$1258,'Stock Price'!$I$9)-1,"")</f>
        <v>-0.21807580174927121</v>
      </c>
      <c r="S956" s="19">
        <f ca="1">IF('Stock Price'!$I$11="OK",F956/INDEX(F$5:F$1258,'Stock Price'!$I$9)-1,"")</f>
        <v>1.0781671159029615E-2</v>
      </c>
      <c r="T956" s="19">
        <f ca="1">IF('Stock Price'!$I$11="OK",G956/INDEX(G$5:G$1258,'Stock Price'!$I$9)-1,"")</f>
        <v>-0.26828947368421052</v>
      </c>
      <c r="U956" s="19">
        <f ca="1">IF('Stock Price'!$I$11="OK",H956/INDEX(H$5:H$1258,'Stock Price'!$I$9)-1,"")</f>
        <v>-0.23334899013621424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117.97</v>
      </c>
      <c r="C957" s="18">
        <v>147.30000000000001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-0.14847697415908756</v>
      </c>
      <c r="P957" s="19">
        <f ca="1">IF('Stock Price'!$I$11="OK",C957/INDEX(C$5:C$1258,'Stock Price'!$I$9)-1,"")</f>
        <v>-0.19364992472971121</v>
      </c>
      <c r="Q957" s="19">
        <f ca="1">IF('Stock Price'!$I$11="OK",D957/INDEX(D$5:D$1258,'Stock Price'!$I$9)-1,"")</f>
        <v>-0.23372959903284307</v>
      </c>
      <c r="R957" s="19">
        <f ca="1">IF('Stock Price'!$I$11="OK",E957/INDEX(E$5:E$1258,'Stock Price'!$I$9)-1,"")</f>
        <v>-0.20038872691933918</v>
      </c>
      <c r="S957" s="19">
        <f ca="1">IF('Stock Price'!$I$11="OK",F957/INDEX(F$5:F$1258,'Stock Price'!$I$9)-1,"")</f>
        <v>4.0016587186398445E-2</v>
      </c>
      <c r="T957" s="19">
        <f ca="1">IF('Stock Price'!$I$11="OK",G957/INDEX(G$5:G$1258,'Stock Price'!$I$9)-1,"")</f>
        <v>-0.25065789473684208</v>
      </c>
      <c r="U957" s="19">
        <f ca="1">IF('Stock Price'!$I$11="OK",H957/INDEX(H$5:H$1258,'Stock Price'!$I$9)-1,"")</f>
        <v>-0.21108501643964306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117.46</v>
      </c>
      <c r="C958" s="18">
        <v>146.91999999999999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-0.15215822145228819</v>
      </c>
      <c r="P958" s="19">
        <f ca="1">IF('Stock Price'!$I$11="OK",C958/INDEX(C$5:C$1258,'Stock Price'!$I$9)-1,"")</f>
        <v>-0.19573012180101279</v>
      </c>
      <c r="Q958" s="19">
        <f ca="1">IF('Stock Price'!$I$11="OK",D958/INDEX(D$5:D$1258,'Stock Price'!$I$9)-1,"")</f>
        <v>-0.2296997783598631</v>
      </c>
      <c r="R958" s="19">
        <f ca="1">IF('Stock Price'!$I$11="OK",E958/INDEX(E$5:E$1258,'Stock Price'!$I$9)-1,"")</f>
        <v>-0.19455782312925174</v>
      </c>
      <c r="S958" s="19">
        <f ca="1">IF('Stock Price'!$I$11="OK",F958/INDEX(F$5:F$1258,'Stock Price'!$I$9)-1,"")</f>
        <v>3.9394567696454663E-2</v>
      </c>
      <c r="T958" s="19">
        <f ca="1">IF('Stock Price'!$I$11="OK",G958/INDEX(G$5:G$1258,'Stock Price'!$I$9)-1,"")</f>
        <v>-0.23355263157894735</v>
      </c>
      <c r="U958" s="19">
        <f ca="1">IF('Stock Price'!$I$11="OK",H958/INDEX(H$5:H$1258,'Stock Price'!$I$9)-1,"")</f>
        <v>-0.20986378581493659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117.7</v>
      </c>
      <c r="C959" s="18">
        <v>146.91999999999999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-0.15042586978489958</v>
      </c>
      <c r="P959" s="19">
        <f ca="1">IF('Stock Price'!$I$11="OK",C959/INDEX(C$5:C$1258,'Stock Price'!$I$9)-1,"")</f>
        <v>-0.19573012180101279</v>
      </c>
      <c r="Q959" s="19">
        <f ca="1">IF('Stock Price'!$I$11="OK",D959/INDEX(D$5:D$1258,'Stock Price'!$I$9)-1,"")</f>
        <v>-0.23493854523473712</v>
      </c>
      <c r="R959" s="19">
        <f ca="1">IF('Stock Price'!$I$11="OK",E959/INDEX(E$5:E$1258,'Stock Price'!$I$9)-1,"")</f>
        <v>-0.2033041788143829</v>
      </c>
      <c r="S959" s="19">
        <f ca="1">IF('Stock Price'!$I$11="OK",F959/INDEX(F$5:F$1258,'Stock Price'!$I$9)-1,"")</f>
        <v>4.4370723616006691E-2</v>
      </c>
      <c r="T959" s="19">
        <f ca="1">IF('Stock Price'!$I$11="OK",G959/INDEX(G$5:G$1258,'Stock Price'!$I$9)-1,"")</f>
        <v>-0.23131578947368414</v>
      </c>
      <c r="U959" s="19">
        <f ca="1">IF('Stock Price'!$I$11="OK",H959/INDEX(H$5:H$1258,'Stock Price'!$I$9)-1,"")</f>
        <v>-0.20422733677783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116.18</v>
      </c>
      <c r="C960" s="18">
        <v>144.1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-0.16139743034502663</v>
      </c>
      <c r="P960" s="19">
        <f ca="1">IF('Stock Price'!$I$11="OK",C960/INDEX(C$5:C$1258,'Stock Price'!$I$9)-1,"")</f>
        <v>-0.21116737375119754</v>
      </c>
      <c r="Q960" s="19">
        <f ca="1">IF('Stock Price'!$I$11="OK",D960/INDEX(D$5:D$1258,'Stock Price'!$I$9)-1,"")</f>
        <v>-0.24541607898448514</v>
      </c>
      <c r="R960" s="19">
        <f ca="1">IF('Stock Price'!$I$11="OK",E960/INDEX(E$5:E$1258,'Stock Price'!$I$9)-1,"")</f>
        <v>-0.21088435374149661</v>
      </c>
      <c r="S960" s="19">
        <f ca="1">IF('Stock Price'!$I$11="OK",F960/INDEX(F$5:F$1258,'Stock Price'!$I$9)-1,"")</f>
        <v>2.5917478747667477E-2</v>
      </c>
      <c r="T960" s="19">
        <f ca="1">IF('Stock Price'!$I$11="OK",G960/INDEX(G$5:G$1258,'Stock Price'!$I$9)-1,"")</f>
        <v>-0.23802631578947375</v>
      </c>
      <c r="U960" s="19">
        <f ca="1">IF('Stock Price'!$I$11="OK",H960/INDEX(H$5:H$1258,'Stock Price'!$I$9)-1,"")</f>
        <v>-0.21033348990136214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117.22</v>
      </c>
      <c r="C961" s="18">
        <v>150.47999999999999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-0.15389057311967658</v>
      </c>
      <c r="P961" s="19">
        <f ca="1">IF('Stock Price'!$I$11="OK",C961/INDEX(C$5:C$1258,'Stock Price'!$I$9)-1,"")</f>
        <v>-0.17624195976460943</v>
      </c>
      <c r="Q961" s="19">
        <f ca="1">IF('Stock Price'!$I$11="OK",D961/INDEX(D$5:D$1258,'Stock Price'!$I$9)-1,"")</f>
        <v>-0.24098327624420712</v>
      </c>
      <c r="R961" s="19">
        <f ca="1">IF('Stock Price'!$I$11="OK",E961/INDEX(E$5:E$1258,'Stock Price'!$I$9)-1,"")</f>
        <v>-0.21652089407191444</v>
      </c>
      <c r="S961" s="19">
        <f ca="1">IF('Stock Price'!$I$11="OK",F961/INDEX(F$5:F$1258,'Stock Price'!$I$9)-1,"")</f>
        <v>2.3222060957910129E-2</v>
      </c>
      <c r="T961" s="19">
        <f ca="1">IF('Stock Price'!$I$11="OK",G961/INDEX(G$5:G$1258,'Stock Price'!$I$9)-1,"")</f>
        <v>-0.24802631578947365</v>
      </c>
      <c r="U961" s="19">
        <f ca="1">IF('Stock Price'!$I$11="OK",H961/INDEX(H$5:H$1258,'Stock Price'!$I$9)-1,"")</f>
        <v>-0.22376702677313298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116.63</v>
      </c>
      <c r="C962" s="18">
        <v>155.66999999999999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-0.15814927096867326</v>
      </c>
      <c r="P962" s="19">
        <f ca="1">IF('Stock Price'!$I$11="OK",C962/INDEX(C$5:C$1258,'Stock Price'!$I$9)-1,"")</f>
        <v>-0.14783084713288641</v>
      </c>
      <c r="Q962" s="19">
        <f ca="1">IF('Stock Price'!$I$11="OK",D962/INDEX(D$5:D$1258,'Stock Price'!$I$9)-1,"")</f>
        <v>-0.21478944186983684</v>
      </c>
      <c r="R962" s="19">
        <f ca="1">IF('Stock Price'!$I$11="OK",E962/INDEX(E$5:E$1258,'Stock Price'!$I$9)-1,"")</f>
        <v>-0.22137998056365404</v>
      </c>
      <c r="S962" s="19">
        <f ca="1">IF('Stock Price'!$I$11="OK",F962/INDEX(F$5:F$1258,'Stock Price'!$I$9)-1,"")</f>
        <v>2.1148662658096784E-2</v>
      </c>
      <c r="T962" s="19">
        <f ca="1">IF('Stock Price'!$I$11="OK",G962/INDEX(G$5:G$1258,'Stock Price'!$I$9)-1,"")</f>
        <v>-0.25776315789473692</v>
      </c>
      <c r="U962" s="19">
        <f ca="1">IF('Stock Price'!$I$11="OK",H962/INDEX(H$5:H$1258,'Stock Price'!$I$9)-1,"")</f>
        <v>-0.23203381869422268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113.74</v>
      </c>
      <c r="C963" s="18">
        <v>147.38999999999999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-0.17900967229680953</v>
      </c>
      <c r="P963" s="19">
        <f ca="1">IF('Stock Price'!$I$11="OK",C963/INDEX(C$5:C$1258,'Stock Price'!$I$9)-1,"")</f>
        <v>-0.19315724647598209</v>
      </c>
      <c r="Q963" s="19">
        <f ca="1">IF('Stock Price'!$I$11="OK",D963/INDEX(D$5:D$1258,'Stock Price'!$I$9)-1,"")</f>
        <v>-0.25146080999395537</v>
      </c>
      <c r="R963" s="19">
        <f ca="1">IF('Stock Price'!$I$11="OK",E963/INDEX(E$5:E$1258,'Stock Price'!$I$9)-1,"")</f>
        <v>-0.24373177842565608</v>
      </c>
      <c r="S963" s="19">
        <f ca="1">IF('Stock Price'!$I$11="OK",F963/INDEX(F$5:F$1258,'Stock Price'!$I$9)-1,"")</f>
        <v>-5.3701015965166854E-2</v>
      </c>
      <c r="T963" s="19">
        <f ca="1">IF('Stock Price'!$I$11="OK",G963/INDEX(G$5:G$1258,'Stock Price'!$I$9)-1,"")</f>
        <v>-0.28026315789473677</v>
      </c>
      <c r="U963" s="19">
        <f ca="1">IF('Stock Price'!$I$11="OK",H963/INDEX(H$5:H$1258,'Stock Price'!$I$9)-1,"")</f>
        <v>-0.26613433536871767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115.3</v>
      </c>
      <c r="C964" s="18">
        <v>147.5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-0.16774938645878446</v>
      </c>
      <c r="P964" s="19">
        <f ca="1">IF('Stock Price'!$I$11="OK",C964/INDEX(C$5:C$1258,'Stock Price'!$I$9)-1,"")</f>
        <v>-0.19255508416586842</v>
      </c>
      <c r="Q964" s="19">
        <f ca="1">IF('Stock Price'!$I$11="OK",D964/INDEX(D$5:D$1258,'Stock Price'!$I$9)-1,"")</f>
        <v>-0.24319967761434613</v>
      </c>
      <c r="R964" s="19">
        <f ca="1">IF('Stock Price'!$I$11="OK",E964/INDEX(E$5:E$1258,'Stock Price'!$I$9)-1,"")</f>
        <v>-0.24509232264334302</v>
      </c>
      <c r="S964" s="19">
        <f ca="1">IF('Stock Price'!$I$11="OK",F964/INDEX(F$5:F$1258,'Stock Price'!$I$9)-1,"")</f>
        <v>-3.0686294837238171E-2</v>
      </c>
      <c r="T964" s="19">
        <f ca="1">IF('Stock Price'!$I$11="OK",G964/INDEX(G$5:G$1258,'Stock Price'!$I$9)-1,"")</f>
        <v>-0.26</v>
      </c>
      <c r="U964" s="19">
        <f ca="1">IF('Stock Price'!$I$11="OK",H964/INDEX(H$5:H$1258,'Stock Price'!$I$9)-1,"")</f>
        <v>-0.25514325974635976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117.83</v>
      </c>
      <c r="C965" s="18">
        <v>150.32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-0.14948751263173088</v>
      </c>
      <c r="P965" s="19">
        <f ca="1">IF('Stock Price'!$I$11="OK",C965/INDEX(C$5:C$1258,'Stock Price'!$I$9)-1,"")</f>
        <v>-0.17711783221568367</v>
      </c>
      <c r="Q965" s="19">
        <f ca="1">IF('Stock Price'!$I$11="OK",D965/INDEX(D$5:D$1258,'Stock Price'!$I$9)-1,"")</f>
        <v>-0.24078178521055815</v>
      </c>
      <c r="R965" s="19">
        <f ca="1">IF('Stock Price'!$I$11="OK",E965/INDEX(E$5:E$1258,'Stock Price'!$I$9)-1,"")</f>
        <v>-0.23362487852283775</v>
      </c>
      <c r="S965" s="19">
        <f ca="1">IF('Stock Price'!$I$11="OK",F965/INDEX(F$5:F$1258,'Stock Price'!$I$9)-1,"")</f>
        <v>-3.7321169396641318E-3</v>
      </c>
      <c r="T965" s="19">
        <f ca="1">IF('Stock Price'!$I$11="OK",G965/INDEX(G$5:G$1258,'Stock Price'!$I$9)-1,"")</f>
        <v>-0.27644736842105255</v>
      </c>
      <c r="U965" s="19">
        <f ca="1">IF('Stock Price'!$I$11="OK",H965/INDEX(H$5:H$1258,'Stock Price'!$I$9)-1,"")</f>
        <v>-0.24978863316110855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117.73</v>
      </c>
      <c r="C966" s="18">
        <v>150.29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-0.15020932582647606</v>
      </c>
      <c r="P966" s="19">
        <f ca="1">IF('Stock Price'!$I$11="OK",C966/INDEX(C$5:C$1258,'Stock Price'!$I$9)-1,"")</f>
        <v>-0.17728205830026011</v>
      </c>
      <c r="Q966" s="19">
        <f ca="1">IF('Stock Price'!$I$11="OK",D966/INDEX(D$5:D$1258,'Stock Price'!$I$9)-1,"")</f>
        <v>-0.2480354624219222</v>
      </c>
      <c r="R966" s="19">
        <f ca="1">IF('Stock Price'!$I$11="OK",E966/INDEX(E$5:E$1258,'Stock Price'!$I$9)-1,"")</f>
        <v>-0.23381924198250725</v>
      </c>
      <c r="S966" s="19">
        <f ca="1">IF('Stock Price'!$I$11="OK",F966/INDEX(F$5:F$1258,'Stock Price'!$I$9)-1,"")</f>
        <v>-8.0862533692721561E-3</v>
      </c>
      <c r="T966" s="19">
        <f ca="1">IF('Stock Price'!$I$11="OK",G966/INDEX(G$5:G$1258,'Stock Price'!$I$9)-1,"")</f>
        <v>-0.27039473684210524</v>
      </c>
      <c r="U966" s="19">
        <f ca="1">IF('Stock Price'!$I$11="OK",H966/INDEX(H$5:H$1258,'Stock Price'!$I$9)-1,"")</f>
        <v>-0.24105213715359319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113.5</v>
      </c>
      <c r="C967" s="18">
        <v>148.68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-0.18074202396419803</v>
      </c>
      <c r="P967" s="19">
        <f ca="1">IF('Stock Price'!$I$11="OK",C967/INDEX(C$5:C$1258,'Stock Price'!$I$9)-1,"")</f>
        <v>-0.18609552483919534</v>
      </c>
      <c r="Q967" s="19">
        <f ca="1">IF('Stock Price'!$I$11="OK",D967/INDEX(D$5:D$1258,'Stock Price'!$I$9)-1,"")</f>
        <v>-0.25952045133991541</v>
      </c>
      <c r="R967" s="19">
        <f ca="1">IF('Stock Price'!$I$11="OK",E967/INDEX(E$5:E$1258,'Stock Price'!$I$9)-1,"")</f>
        <v>-0.25442176870748301</v>
      </c>
      <c r="S967" s="19">
        <f ca="1">IF('Stock Price'!$I$11="OK",F967/INDEX(F$5:F$1258,'Stock Price'!$I$9)-1,"")</f>
        <v>-4.2504665146174569E-2</v>
      </c>
      <c r="T967" s="19">
        <f ca="1">IF('Stock Price'!$I$11="OK",G967/INDEX(G$5:G$1258,'Stock Price'!$I$9)-1,"")</f>
        <v>-0.34276315789473677</v>
      </c>
      <c r="U967" s="19">
        <f ca="1">IF('Stock Price'!$I$11="OK",H967/INDEX(H$5:H$1258,'Stock Price'!$I$9)-1,"")</f>
        <v>-0.25373414748708323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115.92</v>
      </c>
      <c r="C968" s="18">
        <v>147.23500000000001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-0.16327414465136414</v>
      </c>
      <c r="P968" s="19">
        <f ca="1">IF('Stock Price'!$I$11="OK",C968/INDEX(C$5:C$1258,'Stock Price'!$I$9)-1,"")</f>
        <v>-0.1940057479129601</v>
      </c>
      <c r="Q968" s="19">
        <f ca="1">IF('Stock Price'!$I$11="OK",D968/INDEX(D$5:D$1258,'Stock Price'!$I$9)-1,"")</f>
        <v>-0.24279669554704819</v>
      </c>
      <c r="R968" s="19">
        <f ca="1">IF('Stock Price'!$I$11="OK",E968/INDEX(E$5:E$1258,'Stock Price'!$I$9)-1,"")</f>
        <v>-0.2493683187560739</v>
      </c>
      <c r="S968" s="19">
        <f ca="1">IF('Stock Price'!$I$11="OK",F968/INDEX(F$5:F$1258,'Stock Price'!$I$9)-1,"")</f>
        <v>-1.6587186398507092E-2</v>
      </c>
      <c r="T968" s="19">
        <f ca="1">IF('Stock Price'!$I$11="OK",G968/INDEX(G$5:G$1258,'Stock Price'!$I$9)-1,"")</f>
        <v>-0.33236842105263154</v>
      </c>
      <c r="U968" s="19">
        <f ca="1">IF('Stock Price'!$I$11="OK",H968/INDEX(H$5:H$1258,'Stock Price'!$I$9)-1,"")</f>
        <v>-0.24499765147956787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116.84</v>
      </c>
      <c r="C969" s="18">
        <v>141.77199999999999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-0.15663346325970828</v>
      </c>
      <c r="P969" s="19">
        <f ca="1">IF('Stock Price'!$I$11="OK",C969/INDEX(C$5:C$1258,'Stock Price'!$I$9)-1,"")</f>
        <v>-0.22391131791432883</v>
      </c>
      <c r="Q969" s="19">
        <f ca="1">IF('Stock Price'!$I$11="OK",D969/INDEX(D$5:D$1258,'Stock Price'!$I$9)-1,"")</f>
        <v>-0.23836389280677017</v>
      </c>
      <c r="R969" s="19">
        <f ca="1">IF('Stock Price'!$I$11="OK",E969/INDEX(E$5:E$1258,'Stock Price'!$I$9)-1,"")</f>
        <v>-0.25694849368318762</v>
      </c>
      <c r="S969" s="19">
        <f ca="1">IF('Stock Price'!$I$11="OK",F969/INDEX(F$5:F$1258,'Stock Price'!$I$9)-1,"")</f>
        <v>-2.2807381297947238E-2</v>
      </c>
      <c r="T969" s="19">
        <f ca="1">IF('Stock Price'!$I$11="OK",G969/INDEX(G$5:G$1258,'Stock Price'!$I$9)-1,"")</f>
        <v>-0.32328947368421057</v>
      </c>
      <c r="U969" s="19">
        <f ca="1">IF('Stock Price'!$I$11="OK",H969/INDEX(H$5:H$1258,'Stock Price'!$I$9)-1,"")</f>
        <v>-0.2419915453264444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118.55</v>
      </c>
      <c r="C970" s="18">
        <v>146.12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-0.14429045762956549</v>
      </c>
      <c r="P970" s="19">
        <f ca="1">IF('Stock Price'!$I$11="OK",C970/INDEX(C$5:C$1258,'Stock Price'!$I$9)-1,"")</f>
        <v>-0.20010948405638429</v>
      </c>
      <c r="Q970" s="19">
        <f ca="1">IF('Stock Price'!$I$11="OK",D970/INDEX(D$5:D$1258,'Stock Price'!$I$9)-1,"")</f>
        <v>-0.24017731210961113</v>
      </c>
      <c r="R970" s="19">
        <f ca="1">IF('Stock Price'!$I$11="OK",E970/INDEX(E$5:E$1258,'Stock Price'!$I$9)-1,"")</f>
        <v>-0.26977648202138005</v>
      </c>
      <c r="S970" s="19">
        <f ca="1">IF('Stock Price'!$I$11="OK",F970/INDEX(F$5:F$1258,'Stock Price'!$I$9)-1,"")</f>
        <v>-2.1148662658096562E-2</v>
      </c>
      <c r="T970" s="19">
        <f ca="1">IF('Stock Price'!$I$11="OK",G970/INDEX(G$5:G$1258,'Stock Price'!$I$9)-1,"")</f>
        <v>-0.32342105263157894</v>
      </c>
      <c r="U970" s="19">
        <f ca="1">IF('Stock Price'!$I$11="OK",H970/INDEX(H$5:H$1258,'Stock Price'!$I$9)-1,"")</f>
        <v>-0.24819163926726162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119.31</v>
      </c>
      <c r="C971" s="18">
        <v>148.28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-0.13880467734950186</v>
      </c>
      <c r="P971" s="19">
        <f ca="1">IF('Stock Price'!$I$11="OK",C971/INDEX(C$5:C$1258,'Stock Price'!$I$9)-1,"")</f>
        <v>-0.18828520596688114</v>
      </c>
      <c r="Q971" s="19">
        <f ca="1">IF('Stock Price'!$I$11="OK",D971/INDEX(D$5:D$1258,'Stock Price'!$I$9)-1,"")</f>
        <v>-0.22990126939351208</v>
      </c>
      <c r="R971" s="19">
        <f ca="1">IF('Stock Price'!$I$11="OK",E971/INDEX(E$5:E$1258,'Stock Price'!$I$9)-1,"")</f>
        <v>-0.259086491739553</v>
      </c>
      <c r="S971" s="19">
        <f ca="1">IF('Stock Price'!$I$11="OK",F971/INDEX(F$5:F$1258,'Stock Price'!$I$9)-1,"")</f>
        <v>-3.7321169396641318E-3</v>
      </c>
      <c r="T971" s="19">
        <f ca="1">IF('Stock Price'!$I$11="OK",G971/INDEX(G$5:G$1258,'Stock Price'!$I$9)-1,"")</f>
        <v>-0.31684210526315792</v>
      </c>
      <c r="U971" s="19">
        <f ca="1">IF('Stock Price'!$I$11="OK",H971/INDEX(H$5:H$1258,'Stock Price'!$I$9)-1,"")</f>
        <v>-0.2456552372005637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121.2</v>
      </c>
      <c r="C972" s="18">
        <v>154.30000000000001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-0.12516240796881761</v>
      </c>
      <c r="P972" s="19">
        <f ca="1">IF('Stock Price'!$I$11="OK",C972/INDEX(C$5:C$1258,'Stock Price'!$I$9)-1,"")</f>
        <v>-0.15533050499521006</v>
      </c>
      <c r="Q972" s="19">
        <f ca="1">IF('Stock Price'!$I$11="OK",D972/INDEX(D$5:D$1258,'Stock Price'!$I$9)-1,"")</f>
        <v>-0.21156558533145275</v>
      </c>
      <c r="R972" s="19">
        <f ca="1">IF('Stock Price'!$I$11="OK",E972/INDEX(E$5:E$1258,'Stock Price'!$I$9)-1,"")</f>
        <v>-0.24995140913508263</v>
      </c>
      <c r="S972" s="19">
        <f ca="1">IF('Stock Price'!$I$11="OK",F972/INDEX(F$5:F$1258,'Stock Price'!$I$9)-1,"")</f>
        <v>1.0574331329048503E-2</v>
      </c>
      <c r="T972" s="19">
        <f ca="1">IF('Stock Price'!$I$11="OK",G972/INDEX(G$5:G$1258,'Stock Price'!$I$9)-1,"")</f>
        <v>-0.29473684210526319</v>
      </c>
      <c r="U972" s="19">
        <f ca="1">IF('Stock Price'!$I$11="OK",H972/INDEX(H$5:H$1258,'Stock Price'!$I$9)-1,"")</f>
        <v>-0.22301550023485217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122.09</v>
      </c>
      <c r="C973" s="18">
        <v>155.75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-0.11873827053558528</v>
      </c>
      <c r="P973" s="19">
        <f ca="1">IF('Stock Price'!$I$11="OK",C973/INDEX(C$5:C$1258,'Stock Price'!$I$9)-1,"")</f>
        <v>-0.14739291090734918</v>
      </c>
      <c r="Q973" s="19">
        <f ca="1">IF('Stock Price'!$I$11="OK",D973/INDEX(D$5:D$1258,'Stock Price'!$I$9)-1,"")</f>
        <v>-0.20955067499496283</v>
      </c>
      <c r="R973" s="19">
        <f ca="1">IF('Stock Price'!$I$11="OK",E973/INDEX(E$5:E$1258,'Stock Price'!$I$9)-1,"")</f>
        <v>-0.24859086491739568</v>
      </c>
      <c r="S973" s="19">
        <f ca="1">IF('Stock Price'!$I$11="OK",F973/INDEX(F$5:F$1258,'Stock Price'!$I$9)-1,"")</f>
        <v>1.6794526228488538E-2</v>
      </c>
      <c r="T973" s="19">
        <f ca="1">IF('Stock Price'!$I$11="OK",G973/INDEX(G$5:G$1258,'Stock Price'!$I$9)-1,"")</f>
        <v>-0.29921052631578948</v>
      </c>
      <c r="U973" s="19">
        <f ca="1">IF('Stock Price'!$I$11="OK",H973/INDEX(H$5:H$1258,'Stock Price'!$I$9)-1,"")</f>
        <v>-0.22254579614842651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124.21</v>
      </c>
      <c r="C974" s="18">
        <v>155.5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-0.10343583080698715</v>
      </c>
      <c r="P974" s="19">
        <f ca="1">IF('Stock Price'!$I$11="OK",C974/INDEX(C$5:C$1258,'Stock Price'!$I$9)-1,"")</f>
        <v>-0.14876146161215276</v>
      </c>
      <c r="Q974" s="19">
        <f ca="1">IF('Stock Price'!$I$11="OK",D974/INDEX(D$5:D$1258,'Stock Price'!$I$9)-1,"")</f>
        <v>-0.20693129155752576</v>
      </c>
      <c r="R974" s="19">
        <f ca="1">IF('Stock Price'!$I$11="OK",E974/INDEX(E$5:E$1258,'Stock Price'!$I$9)-1,"")</f>
        <v>-0.23070942662779403</v>
      </c>
      <c r="S974" s="19">
        <f ca="1">IF('Stock Price'!$I$11="OK",F974/INDEX(F$5:F$1258,'Stock Price'!$I$9)-1,"")</f>
        <v>3.19303338171264E-2</v>
      </c>
      <c r="T974" s="19">
        <f ca="1">IF('Stock Price'!$I$11="OK",G974/INDEX(G$5:G$1258,'Stock Price'!$I$9)-1,"")</f>
        <v>-0.28828947368421043</v>
      </c>
      <c r="U974" s="19">
        <f ca="1">IF('Stock Price'!$I$11="OK",H974/INDEX(H$5:H$1258,'Stock Price'!$I$9)-1,"")</f>
        <v>-0.2089243776420856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124.01</v>
      </c>
      <c r="C975" s="18">
        <v>160.46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-0.10487945719647751</v>
      </c>
      <c r="P975" s="19">
        <f ca="1">IF('Stock Price'!$I$11="OK",C975/INDEX(C$5:C$1258,'Stock Price'!$I$9)-1,"")</f>
        <v>-0.12160941562884908</v>
      </c>
      <c r="Q975" s="19">
        <f ca="1">IF('Stock Price'!$I$11="OK",D975/INDEX(D$5:D$1258,'Stock Price'!$I$9)-1,"")</f>
        <v>-0.2127745315333468</v>
      </c>
      <c r="R975" s="19">
        <f ca="1">IF('Stock Price'!$I$11="OK",E975/INDEX(E$5:E$1258,'Stock Price'!$I$9)-1,"")</f>
        <v>-0.23012633624878531</v>
      </c>
      <c r="S975" s="19">
        <f ca="1">IF('Stock Price'!$I$11="OK",F975/INDEX(F$5:F$1258,'Stock Price'!$I$9)-1,"")</f>
        <v>3.3381712626995741E-2</v>
      </c>
      <c r="T975" s="19">
        <f ca="1">IF('Stock Price'!$I$11="OK",G975/INDEX(G$5:G$1258,'Stock Price'!$I$9)-1,"")</f>
        <v>-0.27184210526315788</v>
      </c>
      <c r="U975" s="19">
        <f ca="1">IF('Stock Price'!$I$11="OK",H975/INDEX(H$5:H$1258,'Stock Price'!$I$9)-1,"")</f>
        <v>-0.2088304368248004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124.95</v>
      </c>
      <c r="C976" s="18">
        <v>160.46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-9.809441316587264E-2</v>
      </c>
      <c r="P976" s="19">
        <f ca="1">IF('Stock Price'!$I$11="OK",C976/INDEX(C$5:C$1258,'Stock Price'!$I$9)-1,"")</f>
        <v>-0.12160941562884908</v>
      </c>
      <c r="Q976" s="19">
        <f ca="1">IF('Stock Price'!$I$11="OK",D976/INDEX(D$5:D$1258,'Stock Price'!$I$9)-1,"")</f>
        <v>-0.20169252468265175</v>
      </c>
      <c r="R976" s="19">
        <f ca="1">IF('Stock Price'!$I$11="OK",E976/INDEX(E$5:E$1258,'Stock Price'!$I$9)-1,"")</f>
        <v>-0.21671525753158416</v>
      </c>
      <c r="S976" s="19">
        <f ca="1">IF('Stock Price'!$I$11="OK",F976/INDEX(F$5:F$1258,'Stock Price'!$I$9)-1,"")</f>
        <v>4.0638606676342448E-2</v>
      </c>
      <c r="T976" s="19">
        <f ca="1">IF('Stock Price'!$I$11="OK",G976/INDEX(G$5:G$1258,'Stock Price'!$I$9)-1,"")</f>
        <v>-0.26078947368421057</v>
      </c>
      <c r="U976" s="19">
        <f ca="1">IF('Stock Price'!$I$11="OK",H976/INDEX(H$5:H$1258,'Stock Price'!$I$9)-1,"")</f>
        <v>-0.20216063879755752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127.25</v>
      </c>
      <c r="C977" s="18">
        <v>157.80000000000001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-8.1492709686733056E-2</v>
      </c>
      <c r="P977" s="19">
        <f ca="1">IF('Stock Price'!$I$11="OK",C977/INDEX(C$5:C$1258,'Stock Price'!$I$9)-1,"")</f>
        <v>-0.13617079512795949</v>
      </c>
      <c r="Q977" s="19">
        <f ca="1">IF('Stock Price'!$I$11="OK",D977/INDEX(D$5:D$1258,'Stock Price'!$I$9)-1,"")</f>
        <v>-0.19262542816844652</v>
      </c>
      <c r="R977" s="19">
        <f ca="1">IF('Stock Price'!$I$11="OK",E977/INDEX(E$5:E$1258,'Stock Price'!$I$9)-1,"")</f>
        <v>-0.20796890184645289</v>
      </c>
      <c r="S977" s="19">
        <f ca="1">IF('Stock Price'!$I$11="OK",F977/INDEX(F$5:F$1258,'Stock Price'!$I$9)-1,"")</f>
        <v>4.7688160895708265E-2</v>
      </c>
      <c r="T977" s="19">
        <f ca="1">IF('Stock Price'!$I$11="OK",G977/INDEX(G$5:G$1258,'Stock Price'!$I$9)-1,"")</f>
        <v>-0.26434210526315793</v>
      </c>
      <c r="U977" s="19">
        <f ca="1">IF('Stock Price'!$I$11="OK",H977/INDEX(H$5:H$1258,'Stock Price'!$I$9)-1,"")</f>
        <v>-0.20469704086425555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126.82</v>
      </c>
      <c r="C978" s="18">
        <v>157.80000000000001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-8.4596506424137408E-2</v>
      </c>
      <c r="P978" s="19">
        <f ca="1">IF('Stock Price'!$I$11="OK",C978/INDEX(C$5:C$1258,'Stock Price'!$I$9)-1,"")</f>
        <v>-0.13617079512795949</v>
      </c>
      <c r="Q978" s="19">
        <f ca="1">IF('Stock Price'!$I$11="OK",D978/INDEX(D$5:D$1258,'Stock Price'!$I$9)-1,"")</f>
        <v>-0.19242393713479755</v>
      </c>
      <c r="R978" s="19">
        <f ca="1">IF('Stock Price'!$I$11="OK",E978/INDEX(E$5:E$1258,'Stock Price'!$I$9)-1,"")</f>
        <v>-0.21379980563654033</v>
      </c>
      <c r="S978" s="19">
        <f ca="1">IF('Stock Price'!$I$11="OK",F978/INDEX(F$5:F$1258,'Stock Price'!$I$9)-1,"")</f>
        <v>4.9346879535558941E-2</v>
      </c>
      <c r="T978" s="19">
        <f ca="1">IF('Stock Price'!$I$11="OK",G978/INDEX(G$5:G$1258,'Stock Price'!$I$9)-1,"")</f>
        <v>-0.25973684210526315</v>
      </c>
      <c r="U978" s="19">
        <f ca="1">IF('Stock Price'!$I$11="OK",H978/INDEX(H$5:H$1258,'Stock Price'!$I$9)-1,"")</f>
        <v>-0.19135744480976991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126.98</v>
      </c>
      <c r="C979" s="18">
        <v>157.09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-8.3441605312545075E-2</v>
      </c>
      <c r="P979" s="19">
        <f ca="1">IF('Stock Price'!$I$11="OK",C979/INDEX(C$5:C$1258,'Stock Price'!$I$9)-1,"")</f>
        <v>-0.14005747912960176</v>
      </c>
      <c r="Q979" s="19">
        <f ca="1">IF('Stock Price'!$I$11="OK",D979/INDEX(D$5:D$1258,'Stock Price'!$I$9)-1,"")</f>
        <v>-0.19020753576465854</v>
      </c>
      <c r="R979" s="19">
        <f ca="1">IF('Stock Price'!$I$11="OK",E979/INDEX(E$5:E$1258,'Stock Price'!$I$9)-1,"")</f>
        <v>-0.20563654033041801</v>
      </c>
      <c r="S979" s="19">
        <f ca="1">IF('Stock Price'!$I$11="OK",F979/INDEX(F$5:F$1258,'Stock Price'!$I$9)-1,"")</f>
        <v>6.4690026954177915E-2</v>
      </c>
      <c r="T979" s="19">
        <f ca="1">IF('Stock Price'!$I$11="OK",G979/INDEX(G$5:G$1258,'Stock Price'!$I$9)-1,"")</f>
        <v>-0.24855263157894736</v>
      </c>
      <c r="U979" s="19">
        <f ca="1">IF('Stock Price'!$I$11="OK",H979/INDEX(H$5:H$1258,'Stock Price'!$I$9)-1,"")</f>
        <v>-0.17923907937999062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125.04</v>
      </c>
      <c r="C980" s="18">
        <v>162.97999999999999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-9.7444781290601856E-2</v>
      </c>
      <c r="P980" s="19">
        <f ca="1">IF('Stock Price'!$I$11="OK",C980/INDEX(C$5:C$1258,'Stock Price'!$I$9)-1,"")</f>
        <v>-0.10781442452442869</v>
      </c>
      <c r="Q980" s="19">
        <f ca="1">IF('Stock Price'!$I$11="OK",D980/INDEX(D$5:D$1258,'Stock Price'!$I$9)-1,"")</f>
        <v>-0.2012895426153537</v>
      </c>
      <c r="R980" s="19">
        <f ca="1">IF('Stock Price'!$I$11="OK",E980/INDEX(E$5:E$1258,'Stock Price'!$I$9)-1,"")</f>
        <v>-0.2202137998056366</v>
      </c>
      <c r="S980" s="19">
        <f ca="1">IF('Stock Price'!$I$11="OK",F980/INDEX(F$5:F$1258,'Stock Price'!$I$9)-1,"")</f>
        <v>3.9394567696454663E-2</v>
      </c>
      <c r="T980" s="19">
        <f ca="1">IF('Stock Price'!$I$11="OK",G980/INDEX(G$5:G$1258,'Stock Price'!$I$9)-1,"")</f>
        <v>-0.26039473684210523</v>
      </c>
      <c r="U980" s="19">
        <f ca="1">IF('Stock Price'!$I$11="OK",H980/INDEX(H$5:H$1258,'Stock Price'!$I$9)-1,"")</f>
        <v>-0.19859088774072331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126.64</v>
      </c>
      <c r="C981" s="18">
        <v>160.30000000000001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-8.5895770174678754E-2</v>
      </c>
      <c r="P981" s="19">
        <f ca="1">IF('Stock Price'!$I$11="OK",C981/INDEX(C$5:C$1258,'Stock Price'!$I$9)-1,"")</f>
        <v>-0.12248528807992332</v>
      </c>
      <c r="Q981" s="19">
        <f ca="1">IF('Stock Price'!$I$11="OK",D981/INDEX(D$5:D$1258,'Stock Price'!$I$9)-1,"")</f>
        <v>-0.19746121297602259</v>
      </c>
      <c r="R981" s="19">
        <f ca="1">IF('Stock Price'!$I$11="OK",E981/INDEX(E$5:E$1258,'Stock Price'!$I$9)-1,"")</f>
        <v>-0.21554907677356661</v>
      </c>
      <c r="S981" s="19">
        <f ca="1">IF('Stock Price'!$I$11="OK",F981/INDEX(F$5:F$1258,'Stock Price'!$I$9)-1,"")</f>
        <v>4.2919344806137349E-2</v>
      </c>
      <c r="T981" s="19">
        <f ca="1">IF('Stock Price'!$I$11="OK",G981/INDEX(G$5:G$1258,'Stock Price'!$I$9)-1,"")</f>
        <v>-0.24763157894736842</v>
      </c>
      <c r="U981" s="19">
        <f ca="1">IF('Stock Price'!$I$11="OK",H981/INDEX(H$5:H$1258,'Stock Price'!$I$9)-1,"")</f>
        <v>-0.201596993893847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126.89</v>
      </c>
      <c r="C982" s="18">
        <v>160.65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-8.4091237187815748E-2</v>
      </c>
      <c r="P982" s="19">
        <f ca="1">IF('Stock Price'!$I$11="OK",C982/INDEX(C$5:C$1258,'Stock Price'!$I$9)-1,"")</f>
        <v>-0.12056931709319829</v>
      </c>
      <c r="Q982" s="19">
        <f ca="1">IF('Stock Price'!$I$11="OK",D982/INDEX(D$5:D$1258,'Stock Price'!$I$9)-1,"")</f>
        <v>-0.19584928470683061</v>
      </c>
      <c r="R982" s="19">
        <f ca="1">IF('Stock Price'!$I$11="OK",E982/INDEX(E$5:E$1258,'Stock Price'!$I$9)-1,"")</f>
        <v>-0.20485908649173967</v>
      </c>
      <c r="S982" s="19">
        <f ca="1">IF('Stock Price'!$I$11="OK",F982/INDEX(F$5:F$1258,'Stock Price'!$I$9)-1,"")</f>
        <v>3.8979888036491772E-2</v>
      </c>
      <c r="T982" s="19">
        <f ca="1">IF('Stock Price'!$I$11="OK",G982/INDEX(G$5:G$1258,'Stock Price'!$I$9)-1,"")</f>
        <v>-0.2522368421052632</v>
      </c>
      <c r="U982" s="19">
        <f ca="1">IF('Stock Price'!$I$11="OK",H982/INDEX(H$5:H$1258,'Stock Price'!$I$9)-1,"")</f>
        <v>-0.21023954908407716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126.47</v>
      </c>
      <c r="C983" s="18">
        <v>158.19990000000001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-8.7122852605745593E-2</v>
      </c>
      <c r="P983" s="19">
        <f ca="1">IF('Stock Price'!$I$11="OK",C983/INDEX(C$5:C$1258,'Stock Price'!$I$9)-1,"")</f>
        <v>-0.13398166142055556</v>
      </c>
      <c r="Q983" s="19">
        <f ca="1">IF('Stock Price'!$I$11="OK",D983/INDEX(D$5:D$1258,'Stock Price'!$I$9)-1,"")</f>
        <v>-0.20531936328833378</v>
      </c>
      <c r="R983" s="19">
        <f ca="1">IF('Stock Price'!$I$11="OK",E983/INDEX(E$5:E$1258,'Stock Price'!$I$9)-1,"")</f>
        <v>-0.20544217687074828</v>
      </c>
      <c r="S983" s="19">
        <f ca="1">IF('Stock Price'!$I$11="OK",F983/INDEX(F$5:F$1258,'Stock Price'!$I$9)-1,"")</f>
        <v>3.5455110926809086E-2</v>
      </c>
      <c r="T983" s="19">
        <f ca="1">IF('Stock Price'!$I$11="OK",G983/INDEX(G$5:G$1258,'Stock Price'!$I$9)-1,"")</f>
        <v>-0.26513157894736838</v>
      </c>
      <c r="U983" s="19">
        <f ca="1">IF('Stock Price'!$I$11="OK",H983/INDEX(H$5:H$1258,'Stock Price'!$I$9)-1,"")</f>
        <v>-0.21831845937059657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126.55</v>
      </c>
      <c r="C984" s="18">
        <v>161.13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-8.6545402049949427E-2</v>
      </c>
      <c r="P984" s="19">
        <f ca="1">IF('Stock Price'!$I$11="OK",C984/INDEX(C$5:C$1258,'Stock Price'!$I$9)-1,"")</f>
        <v>-0.11794169973997548</v>
      </c>
      <c r="Q984" s="19">
        <f ca="1">IF('Stock Price'!$I$11="OK",D984/INDEX(D$5:D$1258,'Stock Price'!$I$9)-1,"")</f>
        <v>-0.20068506951440657</v>
      </c>
      <c r="R984" s="19">
        <f ca="1">IF('Stock Price'!$I$11="OK",E984/INDEX(E$5:E$1258,'Stock Price'!$I$9)-1,"")</f>
        <v>-0.20758017492711367</v>
      </c>
      <c r="S984" s="19">
        <f ca="1">IF('Stock Price'!$I$11="OK",F984/INDEX(F$5:F$1258,'Stock Price'!$I$9)-1,"")</f>
        <v>2.5917478747667477E-2</v>
      </c>
      <c r="T984" s="19">
        <f ca="1">IF('Stock Price'!$I$11="OK",G984/INDEX(G$5:G$1258,'Stock Price'!$I$9)-1,"")</f>
        <v>-0.26157894736842113</v>
      </c>
      <c r="U984" s="19">
        <f ca="1">IF('Stock Price'!$I$11="OK",H984/INDEX(H$5:H$1258,'Stock Price'!$I$9)-1,"")</f>
        <v>-0.2097698449976515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126.64</v>
      </c>
      <c r="C985" s="18">
        <v>160.66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-8.5895770174678754E-2</v>
      </c>
      <c r="P985" s="19">
        <f ca="1">IF('Stock Price'!$I$11="OK",C985/INDEX(C$5:C$1258,'Stock Price'!$I$9)-1,"")</f>
        <v>-0.12051457506500618</v>
      </c>
      <c r="Q985" s="19">
        <f ca="1">IF('Stock Price'!$I$11="OK",D985/INDEX(D$5:D$1258,'Stock Price'!$I$9)-1,"")</f>
        <v>-0.21499093290348581</v>
      </c>
      <c r="R985" s="19">
        <f ca="1">IF('Stock Price'!$I$11="OK",E985/INDEX(E$5:E$1258,'Stock Price'!$I$9)-1,"")</f>
        <v>-0.20272108843537417</v>
      </c>
      <c r="S985" s="19">
        <f ca="1">IF('Stock Price'!$I$11="OK",F985/INDEX(F$5:F$1258,'Stock Price'!$I$9)-1,"")</f>
        <v>2.7990877047480822E-2</v>
      </c>
      <c r="T985" s="19">
        <f ca="1">IF('Stock Price'!$I$11="OK",G985/INDEX(G$5:G$1258,'Stock Price'!$I$9)-1,"")</f>
        <v>-0.27802631578947368</v>
      </c>
      <c r="U985" s="19">
        <f ca="1">IF('Stock Price'!$I$11="OK",H985/INDEX(H$5:H$1258,'Stock Price'!$I$9)-1,"")</f>
        <v>-0.19699389384687649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128.22999999999999</v>
      </c>
      <c r="C986" s="18">
        <v>162.25989999999999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-7.4418940378230158E-2</v>
      </c>
      <c r="P986" s="19">
        <f ca="1">IF('Stock Price'!$I$11="OK",C986/INDEX(C$5:C$1258,'Stock Price'!$I$9)-1,"")</f>
        <v>-0.11175639797454506</v>
      </c>
      <c r="Q986" s="19">
        <f ca="1">IF('Stock Price'!$I$11="OK",D986/INDEX(D$5:D$1258,'Stock Price'!$I$9)-1,"")</f>
        <v>-0.20693129155752576</v>
      </c>
      <c r="R986" s="19">
        <f ca="1">IF('Stock Price'!$I$11="OK",E986/INDEX(E$5:E$1258,'Stock Price'!$I$9)-1,"")</f>
        <v>-0.18289601554907686</v>
      </c>
      <c r="S986" s="19">
        <f ca="1">IF('Stock Price'!$I$11="OK",F986/INDEX(F$5:F$1258,'Stock Price'!$I$9)-1,"")</f>
        <v>3.4418411776902413E-2</v>
      </c>
      <c r="T986" s="19">
        <f ca="1">IF('Stock Price'!$I$11="OK",G986/INDEX(G$5:G$1258,'Stock Price'!$I$9)-1,"")</f>
        <v>-0.2622368421052631</v>
      </c>
      <c r="U986" s="19">
        <f ca="1">IF('Stock Price'!$I$11="OK",H986/INDEX(H$5:H$1258,'Stock Price'!$I$9)-1,"")</f>
        <v>-0.20920620009394075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128.41999999999999</v>
      </c>
      <c r="C987" s="18">
        <v>162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-7.3047495308214305E-2</v>
      </c>
      <c r="P987" s="19">
        <f ca="1">IF('Stock Price'!$I$11="OK",C987/INDEX(C$5:C$1258,'Stock Price'!$I$9)-1,"")</f>
        <v>-0.11317914328725887</v>
      </c>
      <c r="Q987" s="19">
        <f ca="1">IF('Stock Price'!$I$11="OK",D987/INDEX(D$5:D$1258,'Stock Price'!$I$9)-1,"")</f>
        <v>-0.20189401571630072</v>
      </c>
      <c r="R987" s="19">
        <f ca="1">IF('Stock Price'!$I$11="OK",E987/INDEX(E$5:E$1258,'Stock Price'!$I$9)-1,"")</f>
        <v>-0.16929057337220599</v>
      </c>
      <c r="S987" s="19">
        <f ca="1">IF('Stock Price'!$I$11="OK",F987/INDEX(F$5:F$1258,'Stock Price'!$I$9)-1,"")</f>
        <v>-6.0128550694588445E-2</v>
      </c>
      <c r="T987" s="19">
        <f ca="1">IF('Stock Price'!$I$11="OK",G987/INDEX(G$5:G$1258,'Stock Price'!$I$9)-1,"")</f>
        <v>-0.24802631578947365</v>
      </c>
      <c r="U987" s="19">
        <f ca="1">IF('Stock Price'!$I$11="OK",H987/INDEX(H$5:H$1258,'Stock Price'!$I$9)-1,"")</f>
        <v>-0.21042743071864733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129.72999999999999</v>
      </c>
      <c r="C988" s="18">
        <v>164.5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-6.3591742457052125E-2</v>
      </c>
      <c r="P988" s="19">
        <f ca="1">IF('Stock Price'!$I$11="OK",C988/INDEX(C$5:C$1258,'Stock Price'!$I$9)-1,"")</f>
        <v>-9.9493636239222694E-2</v>
      </c>
      <c r="Q988" s="19">
        <f ca="1">IF('Stock Price'!$I$11="OK",D988/INDEX(D$5:D$1258,'Stock Price'!$I$9)-1,"")</f>
        <v>-0.18396131372153945</v>
      </c>
      <c r="R988" s="19">
        <f ca="1">IF('Stock Price'!$I$11="OK",E988/INDEX(E$5:E$1258,'Stock Price'!$I$9)-1,"")</f>
        <v>-0.16423712342079688</v>
      </c>
      <c r="S988" s="19">
        <f ca="1">IF('Stock Price'!$I$11="OK",F988/INDEX(F$5:F$1258,'Stock Price'!$I$9)-1,"")</f>
        <v>-3.5869790586771644E-2</v>
      </c>
      <c r="T988" s="19">
        <f ca="1">IF('Stock Price'!$I$11="OK",G988/INDEX(G$5:G$1258,'Stock Price'!$I$9)-1,"")</f>
        <v>-0.25907894736842108</v>
      </c>
      <c r="U988" s="19">
        <f ca="1">IF('Stock Price'!$I$11="OK",H988/INDEX(H$5:H$1258,'Stock Price'!$I$9)-1,"")</f>
        <v>-0.20422733677783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128.71</v>
      </c>
      <c r="C989" s="18">
        <v>164.5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-7.095423704345305E-2</v>
      </c>
      <c r="P989" s="19">
        <f ca="1">IF('Stock Price'!$I$11="OK",C989/INDEX(C$5:C$1258,'Stock Price'!$I$9)-1,"")</f>
        <v>-9.9493636239222694E-2</v>
      </c>
      <c r="Q989" s="19">
        <f ca="1">IF('Stock Price'!$I$11="OK",D989/INDEX(D$5:D$1258,'Stock Price'!$I$9)-1,"")</f>
        <v>-0.19302841023574457</v>
      </c>
      <c r="R989" s="19">
        <f ca="1">IF('Stock Price'!$I$11="OK",E989/INDEX(E$5:E$1258,'Stock Price'!$I$9)-1,"")</f>
        <v>-0.17453838678328482</v>
      </c>
      <c r="S989" s="19">
        <f ca="1">IF('Stock Price'!$I$11="OK",F989/INDEX(F$5:F$1258,'Stock Price'!$I$9)-1,"")</f>
        <v>-2.9649595687331498E-2</v>
      </c>
      <c r="T989" s="19">
        <f ca="1">IF('Stock Price'!$I$11="OK",G989/INDEX(G$5:G$1258,'Stock Price'!$I$9)-1,"")</f>
        <v>-0.25657894736842102</v>
      </c>
      <c r="U989" s="19">
        <f ca="1">IF('Stock Price'!$I$11="OK",H989/INDEX(H$5:H$1258,'Stock Price'!$I$9)-1,"")</f>
        <v>-0.21005166744950676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128.05000000000001</v>
      </c>
      <c r="C990" s="18">
        <v>160.53989999999999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-7.5718204128771394E-2</v>
      </c>
      <c r="P990" s="19">
        <f ca="1">IF('Stock Price'!$I$11="OK",C990/INDEX(C$5:C$1258,'Stock Price'!$I$9)-1,"")</f>
        <v>-0.12117202682359396</v>
      </c>
      <c r="Q990" s="19">
        <f ca="1">IF('Stock Price'!$I$11="OK",D990/INDEX(D$5:D$1258,'Stock Price'!$I$9)-1,"")</f>
        <v>-0.17831956477936739</v>
      </c>
      <c r="R990" s="19">
        <f ca="1">IF('Stock Price'!$I$11="OK",E990/INDEX(E$5:E$1258,'Stock Price'!$I$9)-1,"")</f>
        <v>-0.17434402332361532</v>
      </c>
      <c r="S990" s="19">
        <f ca="1">IF('Stock Price'!$I$11="OK",F990/INDEX(F$5:F$1258,'Stock Price'!$I$9)-1,"")</f>
        <v>-1.6172506738544312E-2</v>
      </c>
      <c r="T990" s="19">
        <f ca="1">IF('Stock Price'!$I$11="OK",G990/INDEX(G$5:G$1258,'Stock Price'!$I$9)-1,"")</f>
        <v>-0.25697368421052635</v>
      </c>
      <c r="U990" s="19">
        <f ca="1">IF('Stock Price'!$I$11="OK",H990/INDEX(H$5:H$1258,'Stock Price'!$I$9)-1,"")</f>
        <v>-0.2051667449506811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126.55</v>
      </c>
      <c r="C991" s="18">
        <v>160.13990000000001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-8.6545402049949427E-2</v>
      </c>
      <c r="P991" s="19">
        <f ca="1">IF('Stock Price'!$I$11="OK",C991/INDEX(C$5:C$1258,'Stock Price'!$I$9)-1,"")</f>
        <v>-0.12336170795127954</v>
      </c>
      <c r="Q991" s="19">
        <f ca="1">IF('Stock Price'!$I$11="OK",D991/INDEX(D$5:D$1258,'Stock Price'!$I$9)-1,"")</f>
        <v>-0.18396131372153945</v>
      </c>
      <c r="R991" s="19">
        <f ca="1">IF('Stock Price'!$I$11="OK",E991/INDEX(E$5:E$1258,'Stock Price'!$I$9)-1,"")</f>
        <v>-0.1865889212827988</v>
      </c>
      <c r="S991" s="19">
        <f ca="1">IF('Stock Price'!$I$11="OK",F991/INDEX(F$5:F$1258,'Stock Price'!$I$9)-1,"")</f>
        <v>-2.2185361808003345E-2</v>
      </c>
      <c r="T991" s="19">
        <f ca="1">IF('Stock Price'!$I$11="OK",G991/INDEX(G$5:G$1258,'Stock Price'!$I$9)-1,"")</f>
        <v>-0.26236842105263158</v>
      </c>
      <c r="U991" s="19">
        <f ca="1">IF('Stock Price'!$I$11="OK",H991/INDEX(H$5:H$1258,'Stock Price'!$I$9)-1,"")</f>
        <v>-0.21061531235321751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127.7</v>
      </c>
      <c r="C992" s="18">
        <v>162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-7.8244550310379579E-2</v>
      </c>
      <c r="P992" s="19">
        <f ca="1">IF('Stock Price'!$I$11="OK",C992/INDEX(C$5:C$1258,'Stock Price'!$I$9)-1,"")</f>
        <v>-0.11317914328725887</v>
      </c>
      <c r="Q992" s="19">
        <f ca="1">IF('Stock Price'!$I$11="OK",D992/INDEX(D$5:D$1258,'Stock Price'!$I$9)-1,"")</f>
        <v>-0.16421519242393723</v>
      </c>
      <c r="R992" s="19">
        <f ca="1">IF('Stock Price'!$I$11="OK",E992/INDEX(E$5:E$1258,'Stock Price'!$I$9)-1,"")</f>
        <v>-0.18231292517006803</v>
      </c>
      <c r="S992" s="19">
        <f ca="1">IF('Stock Price'!$I$11="OK",F992/INDEX(F$5:F$1258,'Stock Price'!$I$9)-1,"")</f>
        <v>-1.2025710138917622E-2</v>
      </c>
      <c r="T992" s="19">
        <f ca="1">IF('Stock Price'!$I$11="OK",G992/INDEX(G$5:G$1258,'Stock Price'!$I$9)-1,"")</f>
        <v>-0.24131578947368426</v>
      </c>
      <c r="U992" s="19">
        <f ca="1">IF('Stock Price'!$I$11="OK",H992/INDEX(H$5:H$1258,'Stock Price'!$I$9)-1,"")</f>
        <v>-0.20009394081728504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124.12</v>
      </c>
      <c r="C993" s="18">
        <v>159.56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-0.10408546268225771</v>
      </c>
      <c r="P993" s="19">
        <f ca="1">IF('Stock Price'!$I$11="OK",C993/INDEX(C$5:C$1258,'Stock Price'!$I$9)-1,"")</f>
        <v>-0.12653619816614214</v>
      </c>
      <c r="Q993" s="19">
        <f ca="1">IF('Stock Price'!$I$11="OK",D993/INDEX(D$5:D$1258,'Stock Price'!$I$9)-1,"")</f>
        <v>-0.17731210961112243</v>
      </c>
      <c r="R993" s="19">
        <f ca="1">IF('Stock Price'!$I$11="OK",E993/INDEX(E$5:E$1258,'Stock Price'!$I$9)-1,"")</f>
        <v>-0.1963070942662779</v>
      </c>
      <c r="S993" s="19">
        <f ca="1">IF('Stock Price'!$I$11="OK",F993/INDEX(F$5:F$1258,'Stock Price'!$I$9)-1,"")</f>
        <v>-2.4880779597760694E-2</v>
      </c>
      <c r="T993" s="19">
        <f ca="1">IF('Stock Price'!$I$11="OK",G993/INDEX(G$5:G$1258,'Stock Price'!$I$9)-1,"")</f>
        <v>-0.26131578947368417</v>
      </c>
      <c r="U993" s="19">
        <f ca="1">IF('Stock Price'!$I$11="OK",H993/INDEX(H$5:H$1258,'Stock Price'!$I$9)-1,"")</f>
        <v>-0.22207609206200096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123.31</v>
      </c>
      <c r="C994" s="18">
        <v>154.58000000000001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-0.10993214955969388</v>
      </c>
      <c r="P994" s="19">
        <f ca="1">IF('Stock Price'!$I$11="OK",C994/INDEX(C$5:C$1258,'Stock Price'!$I$9)-1,"")</f>
        <v>-0.15379772820583004</v>
      </c>
      <c r="Q994" s="19">
        <f ca="1">IF('Stock Price'!$I$11="OK",D994/INDEX(D$5:D$1258,'Stock Price'!$I$9)-1,"")</f>
        <v>-0.18799113439451953</v>
      </c>
      <c r="R994" s="19">
        <f ca="1">IF('Stock Price'!$I$11="OK",E994/INDEX(E$5:E$1258,'Stock Price'!$I$9)-1,"")</f>
        <v>-0.20349854227405262</v>
      </c>
      <c r="S994" s="19">
        <f ca="1">IF('Stock Price'!$I$11="OK",F994/INDEX(F$5:F$1258,'Stock Price'!$I$9)-1,"")</f>
        <v>-3.338171262699563E-2</v>
      </c>
      <c r="T994" s="19">
        <f ca="1">IF('Stock Price'!$I$11="OK",G994/INDEX(G$5:G$1258,'Stock Price'!$I$9)-1,"")</f>
        <v>-0.27631578947368418</v>
      </c>
      <c r="U994" s="19">
        <f ca="1">IF('Stock Price'!$I$11="OK",H994/INDEX(H$5:H$1258,'Stock Price'!$I$9)-1,"")</f>
        <v>-0.23889149835603574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122.78</v>
      </c>
      <c r="C995" s="18">
        <v>153.00280000000001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-0.11375775949184341</v>
      </c>
      <c r="P995" s="19">
        <f ca="1">IF('Stock Price'!$I$11="OK",C995/INDEX(C$5:C$1258,'Stock Price'!$I$9)-1,"")</f>
        <v>-0.16243164089229511</v>
      </c>
      <c r="Q995" s="19">
        <f ca="1">IF('Stock Price'!$I$11="OK",D995/INDEX(D$5:D$1258,'Stock Price'!$I$9)-1,"")</f>
        <v>-0.19302841023574457</v>
      </c>
      <c r="R995" s="19">
        <f ca="1">IF('Stock Price'!$I$11="OK",E995/INDEX(E$5:E$1258,'Stock Price'!$I$9)-1,"")</f>
        <v>-0.20019436345966968</v>
      </c>
      <c r="S995" s="19">
        <f ca="1">IF('Stock Price'!$I$11="OK",F995/INDEX(F$5:F$1258,'Stock Price'!$I$9)-1,"")</f>
        <v>-2.8405556707443491E-2</v>
      </c>
      <c r="T995" s="19">
        <f ca="1">IF('Stock Price'!$I$11="OK",G995/INDEX(G$5:G$1258,'Stock Price'!$I$9)-1,"")</f>
        <v>-0.29105263157894734</v>
      </c>
      <c r="U995" s="19">
        <f ca="1">IF('Stock Price'!$I$11="OK",H995/INDEX(H$5:H$1258,'Stock Price'!$I$9)-1,"")</f>
        <v>-0.2382339126350399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122.47</v>
      </c>
      <c r="C996" s="18">
        <v>156.02500000000001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-0.11599538039555357</v>
      </c>
      <c r="P996" s="19">
        <f ca="1">IF('Stock Price'!$I$11="OK",C996/INDEX(C$5:C$1258,'Stock Price'!$I$9)-1,"")</f>
        <v>-0.14588750513206517</v>
      </c>
      <c r="Q996" s="19">
        <f ca="1">IF('Stock Price'!$I$11="OK",D996/INDEX(D$5:D$1258,'Stock Price'!$I$9)-1,"")</f>
        <v>-0.18678218819262549</v>
      </c>
      <c r="R996" s="19">
        <f ca="1">IF('Stock Price'!$I$11="OK",E996/INDEX(E$5:E$1258,'Stock Price'!$I$9)-1,"")</f>
        <v>-0.19980563654033046</v>
      </c>
      <c r="S996" s="19">
        <f ca="1">IF('Stock Price'!$I$11="OK",F996/INDEX(F$5:F$1258,'Stock Price'!$I$9)-1,"")</f>
        <v>-2.6124818577648701E-2</v>
      </c>
      <c r="T996" s="19">
        <f ca="1">IF('Stock Price'!$I$11="OK",G996/INDEX(G$5:G$1258,'Stock Price'!$I$9)-1,"")</f>
        <v>-0.27947368421052632</v>
      </c>
      <c r="U996" s="19">
        <f ca="1">IF('Stock Price'!$I$11="OK",H996/INDEX(H$5:H$1258,'Stock Price'!$I$9)-1,"")</f>
        <v>-0.23776420854861435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122.29</v>
      </c>
      <c r="C997" s="18">
        <v>153.38499999999999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-0.11729464414609492</v>
      </c>
      <c r="P997" s="19">
        <f ca="1">IF('Stock Price'!$I$11="OK",C997/INDEX(C$5:C$1258,'Stock Price'!$I$9)-1,"")</f>
        <v>-0.16033940057479135</v>
      </c>
      <c r="Q997" s="19">
        <f ca="1">IF('Stock Price'!$I$11="OK",D997/INDEX(D$5:D$1258,'Stock Price'!$I$9)-1,"")</f>
        <v>-0.18799113439451953</v>
      </c>
      <c r="R997" s="19">
        <f ca="1">IF('Stock Price'!$I$11="OK",E997/INDEX(E$5:E$1258,'Stock Price'!$I$9)-1,"")</f>
        <v>-0.19941690962099134</v>
      </c>
      <c r="S997" s="19">
        <f ca="1">IF('Stock Price'!$I$11="OK",F997/INDEX(F$5:F$1258,'Stock Price'!$I$9)-1,"")</f>
        <v>-1.1403690648973619E-2</v>
      </c>
      <c r="T997" s="19">
        <f ca="1">IF('Stock Price'!$I$11="OK",G997/INDEX(G$5:G$1258,'Stock Price'!$I$9)-1,"")</f>
        <v>-0.27500000000000002</v>
      </c>
      <c r="U997" s="19">
        <f ca="1">IF('Stock Price'!$I$11="OK",H997/INDEX(H$5:H$1258,'Stock Price'!$I$9)-1,"")</f>
        <v>-0.23410051667449505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122.93</v>
      </c>
      <c r="C998" s="18">
        <v>154.38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-0.11267503969972559</v>
      </c>
      <c r="P998" s="19">
        <f ca="1">IF('Stock Price'!$I$11="OK",C998/INDEX(C$5:C$1258,'Stock Price'!$I$9)-1,"")</f>
        <v>-0.15489256876967294</v>
      </c>
      <c r="Q998" s="19">
        <f ca="1">IF('Stock Price'!$I$11="OK",D998/INDEX(D$5:D$1258,'Stock Price'!$I$9)-1,"")</f>
        <v>-0.1805359661495064</v>
      </c>
      <c r="R998" s="19">
        <f ca="1">IF('Stock Price'!$I$11="OK",E998/INDEX(E$5:E$1258,'Stock Price'!$I$9)-1,"")</f>
        <v>-0.18775510204081636</v>
      </c>
      <c r="S998" s="19">
        <f ca="1">IF('Stock Price'!$I$11="OK",F998/INDEX(F$5:F$1258,'Stock Price'!$I$9)-1,"")</f>
        <v>-1.2233049968898957E-2</v>
      </c>
      <c r="T998" s="19">
        <f ca="1">IF('Stock Price'!$I$11="OK",G998/INDEX(G$5:G$1258,'Stock Price'!$I$9)-1,"")</f>
        <v>-0.27631578947368418</v>
      </c>
      <c r="U998" s="19">
        <f ca="1">IF('Stock Price'!$I$11="OK",H998/INDEX(H$5:H$1258,'Stock Price'!$I$9)-1,"")</f>
        <v>-0.23428839830906523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123.36</v>
      </c>
      <c r="C999" s="18">
        <v>156.82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-0.10957124296232135</v>
      </c>
      <c r="P999" s="19">
        <f ca="1">IF('Stock Price'!$I$11="OK",C999/INDEX(C$5:C$1258,'Stock Price'!$I$9)-1,"")</f>
        <v>-0.14153551389078978</v>
      </c>
      <c r="Q999" s="19">
        <f ca="1">IF('Stock Price'!$I$11="OK",D999/INDEX(D$5:D$1258,'Stock Price'!$I$9)-1,"")</f>
        <v>-0.17570018134193044</v>
      </c>
      <c r="R999" s="19">
        <f ca="1">IF('Stock Price'!$I$11="OK",E999/INDEX(E$5:E$1258,'Stock Price'!$I$9)-1,"")</f>
        <v>-0.17084548104956276</v>
      </c>
      <c r="S999" s="19">
        <f ca="1">IF('Stock Price'!$I$11="OK",F999/INDEX(F$5:F$1258,'Stock Price'!$I$9)-1,"")</f>
        <v>-2.5295459257723363E-2</v>
      </c>
      <c r="T999" s="19">
        <f ca="1">IF('Stock Price'!$I$11="OK",G999/INDEX(G$5:G$1258,'Stock Price'!$I$9)-1,"")</f>
        <v>-0.2773684210526316</v>
      </c>
      <c r="U999" s="19">
        <f ca="1">IF('Stock Price'!$I$11="OK",H999/INDEX(H$5:H$1258,'Stock Price'!$I$9)-1,"")</f>
        <v>-0.24471582902771249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122.82</v>
      </c>
      <c r="C1000" s="18">
        <v>150.74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-0.11346903421394539</v>
      </c>
      <c r="P1000" s="19">
        <f ca="1">IF('Stock Price'!$I$11="OK",C1000/INDEX(C$5:C$1258,'Stock Price'!$I$9)-1,"")</f>
        <v>-0.17481866703161353</v>
      </c>
      <c r="Q1000" s="19">
        <f ca="1">IF('Stock Price'!$I$11="OK",D1000/INDEX(D$5:D$1258,'Stock Price'!$I$9)-1,"")</f>
        <v>-0.1835583316542414</v>
      </c>
      <c r="R1000" s="19">
        <f ca="1">IF('Stock Price'!$I$11="OK",E1000/INDEX(E$5:E$1258,'Stock Price'!$I$9)-1,"")</f>
        <v>-0.18853255587949469</v>
      </c>
      <c r="S1000" s="19">
        <f ca="1">IF('Stock Price'!$I$11="OK",F1000/INDEX(F$5:F$1258,'Stock Price'!$I$9)-1,"")</f>
        <v>-2.7990877047480711E-2</v>
      </c>
      <c r="T1000" s="19">
        <f ca="1">IF('Stock Price'!$I$11="OK",G1000/INDEX(G$5:G$1258,'Stock Price'!$I$9)-1,"")</f>
        <v>-0.27605263157894733</v>
      </c>
      <c r="U1000" s="19">
        <f ca="1">IF('Stock Price'!$I$11="OK",H1000/INDEX(H$5:H$1258,'Stock Price'!$I$9)-1,"")</f>
        <v>-0.24884922498825746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123</v>
      </c>
      <c r="C1001" s="18">
        <v>149.03989999999999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-0.11216977046340404</v>
      </c>
      <c r="P1001" s="19">
        <f ca="1">IF('Stock Price'!$I$11="OK",C1001/INDEX(C$5:C$1258,'Stock Price'!$I$9)-1,"")</f>
        <v>-0.18412535924456008</v>
      </c>
      <c r="Q1001" s="19">
        <f ca="1">IF('Stock Price'!$I$11="OK",D1001/INDEX(D$5:D$1258,'Stock Price'!$I$9)-1,"")</f>
        <v>-0.19040902679830751</v>
      </c>
      <c r="R1001" s="19">
        <f ca="1">IF('Stock Price'!$I$11="OK",E1001/INDEX(E$5:E$1258,'Stock Price'!$I$9)-1,"")</f>
        <v>-0.20194363459669584</v>
      </c>
      <c r="S1001" s="19">
        <f ca="1">IF('Stock Price'!$I$11="OK",F1001/INDEX(F$5:F$1258,'Stock Price'!$I$9)-1,"")</f>
        <v>-3.79431888865851E-2</v>
      </c>
      <c r="T1001" s="19">
        <f ca="1">IF('Stock Price'!$I$11="OK",G1001/INDEX(G$5:G$1258,'Stock Price'!$I$9)-1,"")</f>
        <v>-0.27342105263157901</v>
      </c>
      <c r="U1001" s="19">
        <f ca="1">IF('Stock Price'!$I$11="OK",H1001/INDEX(H$5:H$1258,'Stock Price'!$I$9)-1,"")</f>
        <v>-0.25157350868952555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122.23</v>
      </c>
      <c r="C1002" s="18">
        <v>149.75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-0.11772773206294207</v>
      </c>
      <c r="P1002" s="19">
        <f ca="1">IF('Stock Price'!$I$11="OK",C1002/INDEX(C$5:C$1258,'Stock Price'!$I$9)-1,"")</f>
        <v>-0.18023812782263593</v>
      </c>
      <c r="Q1002" s="19">
        <f ca="1">IF('Stock Price'!$I$11="OK",D1002/INDEX(D$5:D$1258,'Stock Price'!$I$9)-1,"")</f>
        <v>-0.20370743501914168</v>
      </c>
      <c r="R1002" s="19">
        <f ca="1">IF('Stock Price'!$I$11="OK",E1002/INDEX(E$5:E$1258,'Stock Price'!$I$9)-1,"")</f>
        <v>-0.22332361516034993</v>
      </c>
      <c r="S1002" s="19">
        <f ca="1">IF('Stock Price'!$I$11="OK",F1002/INDEX(F$5:F$1258,'Stock Price'!$I$9)-1,"")</f>
        <v>-6.5519386274103142E-2</v>
      </c>
      <c r="T1002" s="19">
        <f ca="1">IF('Stock Price'!$I$11="OK",G1002/INDEX(G$5:G$1258,'Stock Price'!$I$9)-1,"")</f>
        <v>-0.28302631578947368</v>
      </c>
      <c r="U1002" s="19">
        <f ca="1">IF('Stock Price'!$I$11="OK",H1002/INDEX(H$5:H$1258,'Stock Price'!$I$9)-1,"")</f>
        <v>-0.27101925786754355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123.65</v>
      </c>
      <c r="C1003" s="18">
        <v>146.16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-0.1074779846975602</v>
      </c>
      <c r="P1003" s="19">
        <f ca="1">IF('Stock Price'!$I$11="OK",C1003/INDEX(C$5:C$1258,'Stock Price'!$I$9)-1,"")</f>
        <v>-0.19989051594361573</v>
      </c>
      <c r="Q1003" s="19">
        <f ca="1">IF('Stock Price'!$I$11="OK",D1003/INDEX(D$5:D$1258,'Stock Price'!$I$9)-1,"")</f>
        <v>-0.19705823090872454</v>
      </c>
      <c r="R1003" s="19">
        <f ca="1">IF('Stock Price'!$I$11="OK",E1003/INDEX(E$5:E$1258,'Stock Price'!$I$9)-1,"")</f>
        <v>-0.23051506316812442</v>
      </c>
      <c r="S1003" s="19">
        <f ca="1">IF('Stock Price'!$I$11="OK",F1003/INDEX(F$5:F$1258,'Stock Price'!$I$9)-1,"")</f>
        <v>-5.577441426498031E-2</v>
      </c>
      <c r="T1003" s="19">
        <f ca="1">IF('Stock Price'!$I$11="OK",G1003/INDEX(G$5:G$1258,'Stock Price'!$I$9)-1,"")</f>
        <v>-0.28289473684210531</v>
      </c>
      <c r="U1003" s="19">
        <f ca="1">IF('Stock Price'!$I$11="OK",H1003/INDEX(H$5:H$1258,'Stock Price'!$I$9)-1,"")</f>
        <v>-0.26200093940817282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124.1</v>
      </c>
      <c r="C1004" s="18">
        <v>146.09989999999999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-0.10422982532120684</v>
      </c>
      <c r="P1004" s="19">
        <f ca="1">IF('Stock Price'!$I$11="OK",C1004/INDEX(C$5:C$1258,'Stock Price'!$I$9)-1,"")</f>
        <v>-0.20021951553305062</v>
      </c>
      <c r="Q1004" s="19">
        <f ca="1">IF('Stock Price'!$I$11="OK",D1004/INDEX(D$5:D$1258,'Stock Price'!$I$9)-1,"")</f>
        <v>-0.17187185170259922</v>
      </c>
      <c r="R1004" s="19">
        <f ca="1">IF('Stock Price'!$I$11="OK",E1004/INDEX(E$5:E$1258,'Stock Price'!$I$9)-1,"")</f>
        <v>-0.22157434402332377</v>
      </c>
      <c r="S1004" s="19">
        <f ca="1">IF('Stock Price'!$I$11="OK",F1004/INDEX(F$5:F$1258,'Stock Price'!$I$9)-1,"")</f>
        <v>-5.3493676135185519E-2</v>
      </c>
      <c r="T1004" s="19">
        <f ca="1">IF('Stock Price'!$I$11="OK",G1004/INDEX(G$5:G$1258,'Stock Price'!$I$9)-1,"")</f>
        <v>-0.2706578947368421</v>
      </c>
      <c r="U1004" s="19">
        <f ca="1">IF('Stock Price'!$I$11="OK",H1004/INDEX(H$5:H$1258,'Stock Price'!$I$9)-1,"")</f>
        <v>-0.26181305777360264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128.24</v>
      </c>
      <c r="C1005" s="18">
        <v>149.5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-7.4346759058755429E-2</v>
      </c>
      <c r="P1005" s="19">
        <f ca="1">IF('Stock Price'!$I$11="OK",C1005/INDEX(C$5:C$1258,'Stock Price'!$I$9)-1,"")</f>
        <v>-0.1816066785274395</v>
      </c>
      <c r="Q1005" s="19">
        <f ca="1">IF('Stock Price'!$I$11="OK",D1005/INDEX(D$5:D$1258,'Stock Price'!$I$9)-1,"")</f>
        <v>-0.13036469877090484</v>
      </c>
      <c r="R1005" s="19">
        <f ca="1">IF('Stock Price'!$I$11="OK",E1005/INDEX(E$5:E$1258,'Stock Price'!$I$9)-1,"")</f>
        <v>-0.18736637512147714</v>
      </c>
      <c r="S1005" s="19">
        <f ca="1">IF('Stock Price'!$I$11="OK",F1005/INDEX(F$5:F$1258,'Stock Price'!$I$9)-1,"")</f>
        <v>-2.1356002488077785E-2</v>
      </c>
      <c r="T1005" s="19">
        <f ca="1">IF('Stock Price'!$I$11="OK",G1005/INDEX(G$5:G$1258,'Stock Price'!$I$9)-1,"")</f>
        <v>-0.25710526315789473</v>
      </c>
      <c r="U1005" s="19">
        <f ca="1">IF('Stock Price'!$I$11="OK",H1005/INDEX(H$5:H$1258,'Stock Price'!$I$9)-1,"")</f>
        <v>-0.2115547205260685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131.72</v>
      </c>
      <c r="C1006" s="18">
        <v>162.55500000000001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-4.9227659881622587E-2</v>
      </c>
      <c r="P1006" s="19">
        <f ca="1">IF('Stock Price'!$I$11="OK",C1006/INDEX(C$5:C$1258,'Stock Price'!$I$9)-1,"")</f>
        <v>-0.11014096072259483</v>
      </c>
      <c r="Q1006" s="19">
        <f ca="1">IF('Stock Price'!$I$11="OK",D1006/INDEX(D$5:D$1258,'Stock Price'!$I$9)-1,"")</f>
        <v>-8.3014305863389204E-2</v>
      </c>
      <c r="R1006" s="19">
        <f ca="1">IF('Stock Price'!$I$11="OK",E1006/INDEX(E$5:E$1258,'Stock Price'!$I$9)-1,"")</f>
        <v>-0.12866861030126342</v>
      </c>
      <c r="S1006" s="19">
        <f ca="1">IF('Stock Price'!$I$11="OK",F1006/INDEX(F$5:F$1258,'Stock Price'!$I$9)-1,"")</f>
        <v>3.1722993987145065E-2</v>
      </c>
      <c r="T1006" s="19">
        <f ca="1">IF('Stock Price'!$I$11="OK",G1006/INDEX(G$5:G$1258,'Stock Price'!$I$9)-1,"")</f>
        <v>-0.21999999999999997</v>
      </c>
      <c r="U1006" s="19">
        <f ca="1">IF('Stock Price'!$I$11="OK",H1006/INDEX(H$5:H$1258,'Stock Price'!$I$9)-1,"")</f>
        <v>-0.15331141380930025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130.97</v>
      </c>
      <c r="C1007" s="18">
        <v>164.67500000000001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-5.4641258842211604E-2</v>
      </c>
      <c r="P1007" s="19">
        <f ca="1">IF('Stock Price'!$I$11="OK",C1007/INDEX(C$5:C$1258,'Stock Price'!$I$9)-1,"")</f>
        <v>-9.8535650745860126E-2</v>
      </c>
      <c r="Q1007" s="19">
        <f ca="1">IF('Stock Price'!$I$11="OK",D1007/INDEX(D$5:D$1258,'Stock Price'!$I$9)-1,"")</f>
        <v>-0.11968567398750762</v>
      </c>
      <c r="R1007" s="19">
        <f ca="1">IF('Stock Price'!$I$11="OK",E1007/INDEX(E$5:E$1258,'Stock Price'!$I$9)-1,"")</f>
        <v>-0.13119533527696792</v>
      </c>
      <c r="S1007" s="19">
        <f ca="1">IF('Stock Price'!$I$11="OK",F1007/INDEX(F$5:F$1258,'Stock Price'!$I$9)-1,"")</f>
        <v>3.9601907526435998E-2</v>
      </c>
      <c r="T1007" s="19">
        <f ca="1">IF('Stock Price'!$I$11="OK",G1007/INDEX(G$5:G$1258,'Stock Price'!$I$9)-1,"")</f>
        <v>-0.23368421052631572</v>
      </c>
      <c r="U1007" s="19">
        <f ca="1">IF('Stock Price'!$I$11="OK",H1007/INDEX(H$5:H$1258,'Stock Price'!$I$9)-1,"")</f>
        <v>-0.159135744480977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132.38999999999999</v>
      </c>
      <c r="C1008" s="18">
        <v>170.51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-4.4391511476829848E-2</v>
      </c>
      <c r="P1008" s="19">
        <f ca="1">IF('Stock Price'!$I$11="OK",C1008/INDEX(C$5:C$1258,'Stock Price'!$I$9)-1,"")</f>
        <v>-6.6593677295743947E-2</v>
      </c>
      <c r="Q1008" s="19">
        <f ca="1">IF('Stock Price'!$I$11="OK",D1008/INDEX(D$5:D$1258,'Stock Price'!$I$9)-1,"")</f>
        <v>-0.12653636913157362</v>
      </c>
      <c r="R1008" s="19">
        <f ca="1">IF('Stock Price'!$I$11="OK",E1008/INDEX(E$5:E$1258,'Stock Price'!$I$9)-1,"")</f>
        <v>-0.11953352769679315</v>
      </c>
      <c r="S1008" s="19">
        <f ca="1">IF('Stock Price'!$I$11="OK",F1008/INDEX(F$5:F$1258,'Stock Price'!$I$9)-1,"")</f>
        <v>5.5359734605017641E-2</v>
      </c>
      <c r="T1008" s="19">
        <f ca="1">IF('Stock Price'!$I$11="OK",G1008/INDEX(G$5:G$1258,'Stock Price'!$I$9)-1,"")</f>
        <v>-0.24078947368421044</v>
      </c>
      <c r="U1008" s="19">
        <f ca="1">IF('Stock Price'!$I$11="OK",H1008/INDEX(H$5:H$1258,'Stock Price'!$I$9)-1,"")</f>
        <v>-0.16214185063410058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132.25</v>
      </c>
      <c r="C1009" s="18">
        <v>172.3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-4.5402049949473056E-2</v>
      </c>
      <c r="P1009" s="19">
        <f ca="1">IF('Stock Price'!$I$11="OK",C1009/INDEX(C$5:C$1258,'Stock Price'!$I$9)-1,"")</f>
        <v>-5.6794854249349935E-2</v>
      </c>
      <c r="Q1009" s="19">
        <f ca="1">IF('Stock Price'!$I$11="OK",D1009/INDEX(D$5:D$1258,'Stock Price'!$I$9)-1,"")</f>
        <v>-0.12452145879508358</v>
      </c>
      <c r="R1009" s="19">
        <f ca="1">IF('Stock Price'!$I$11="OK",E1009/INDEX(E$5:E$1258,'Stock Price'!$I$9)-1,"")</f>
        <v>-0.1183673469387756</v>
      </c>
      <c r="S1009" s="19">
        <f ca="1">IF('Stock Price'!$I$11="OK",F1009/INDEX(F$5:F$1258,'Stock Price'!$I$9)-1,"")</f>
        <v>3.0686294837238393E-2</v>
      </c>
      <c r="T1009" s="19">
        <f ca="1">IF('Stock Price'!$I$11="OK",G1009/INDEX(G$5:G$1258,'Stock Price'!$I$9)-1,"")</f>
        <v>-0.25394736842105259</v>
      </c>
      <c r="U1009" s="19">
        <f ca="1">IF('Stock Price'!$I$11="OK",H1009/INDEX(H$5:H$1258,'Stock Price'!$I$9)-1,"")</f>
        <v>-0.16580554250821988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131.55000000000001</v>
      </c>
      <c r="C1010" s="18">
        <v>170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-5.0454742312689316E-2</v>
      </c>
      <c r="P1010" s="19">
        <f ca="1">IF('Stock Price'!$I$11="OK",C1010/INDEX(C$5:C$1258,'Stock Price'!$I$9)-1,"")</f>
        <v>-6.9385520733543204E-2</v>
      </c>
      <c r="Q1010" s="19">
        <f ca="1">IF('Stock Price'!$I$11="OK",D1010/INDEX(D$5:D$1258,'Stock Price'!$I$9)-1,"")</f>
        <v>-0.12351400362683862</v>
      </c>
      <c r="R1010" s="19">
        <f ca="1">IF('Stock Price'!$I$11="OK",E1010/INDEX(E$5:E$1258,'Stock Price'!$I$9)-1,"")</f>
        <v>-0.12244897959183676</v>
      </c>
      <c r="S1010" s="19">
        <f ca="1">IF('Stock Price'!$I$11="OK",F1010/INDEX(F$5:F$1258,'Stock Price'!$I$9)-1,"")</f>
        <v>2.0008293593199333E-2</v>
      </c>
      <c r="T1010" s="19">
        <f ca="1">IF('Stock Price'!$I$11="OK",G1010/INDEX(G$5:G$1258,'Stock Price'!$I$9)-1,"")</f>
        <v>-0.2689473684210526</v>
      </c>
      <c r="U1010" s="19">
        <f ca="1">IF('Stock Price'!$I$11="OK",H1010/INDEX(H$5:H$1258,'Stock Price'!$I$9)-1,"")</f>
        <v>-0.17698449976514796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132.31</v>
      </c>
      <c r="C1011" s="18">
        <v>172.1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-4.4968962032625903E-2</v>
      </c>
      <c r="P1011" s="19">
        <f ca="1">IF('Stock Price'!$I$11="OK",C1011/INDEX(C$5:C$1258,'Stock Price'!$I$9)-1,"")</f>
        <v>-5.7889694813192949E-2</v>
      </c>
      <c r="Q1011" s="19">
        <f ca="1">IF('Stock Price'!$I$11="OK",D1011/INDEX(D$5:D$1258,'Stock Price'!$I$9)-1,"")</f>
        <v>-0.12653636913157362</v>
      </c>
      <c r="R1011" s="19">
        <f ca="1">IF('Stock Price'!$I$11="OK",E1011/INDEX(E$5:E$1258,'Stock Price'!$I$9)-1,"")</f>
        <v>-0.11914480077745393</v>
      </c>
      <c r="S1011" s="19">
        <f ca="1">IF('Stock Price'!$I$11="OK",F1011/INDEX(F$5:F$1258,'Stock Price'!$I$9)-1,"")</f>
        <v>1.1818370308936288E-2</v>
      </c>
      <c r="T1011" s="19">
        <f ca="1">IF('Stock Price'!$I$11="OK",G1011/INDEX(G$5:G$1258,'Stock Price'!$I$9)-1,"")</f>
        <v>-0.2784210526315789</v>
      </c>
      <c r="U1011" s="19">
        <f ca="1">IF('Stock Price'!$I$11="OK",H1011/INDEX(H$5:H$1258,'Stock Price'!$I$9)-1,"")</f>
        <v>-0.18835133865664633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131.06</v>
      </c>
      <c r="C1012" s="18">
        <v>169.85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-5.3991626966940931E-2</v>
      </c>
      <c r="P1012" s="19">
        <f ca="1">IF('Stock Price'!$I$11="OK",C1012/INDEX(C$5:C$1258,'Stock Price'!$I$9)-1,"")</f>
        <v>-7.0206651156425437E-2</v>
      </c>
      <c r="Q1012" s="19">
        <f ca="1">IF('Stock Price'!$I$11="OK",D1012/INDEX(D$5:D$1258,'Stock Price'!$I$9)-1,"")</f>
        <v>-0.12472294982873267</v>
      </c>
      <c r="R1012" s="19">
        <f ca="1">IF('Stock Price'!$I$11="OK",E1012/INDEX(E$5:E$1258,'Stock Price'!$I$9)-1,"")</f>
        <v>-0.11486880466472305</v>
      </c>
      <c r="S1012" s="19">
        <f ca="1">IF('Stock Price'!$I$11="OK",F1012/INDEX(F$5:F$1258,'Stock Price'!$I$9)-1,"")</f>
        <v>1.2233049968899179E-2</v>
      </c>
      <c r="T1012" s="19">
        <f ca="1">IF('Stock Price'!$I$11="OK",G1012/INDEX(G$5:G$1258,'Stock Price'!$I$9)-1,"")</f>
        <v>-0.25789473684210529</v>
      </c>
      <c r="U1012" s="19">
        <f ca="1">IF('Stock Price'!$I$11="OK",H1012/INDEX(H$5:H$1258,'Stock Price'!$I$9)-1,"")</f>
        <v>-0.17801784875528415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130.03</v>
      </c>
      <c r="C1013" s="18">
        <v>169.33529999999999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-6.1426302872816474E-2</v>
      </c>
      <c r="P1013" s="19">
        <f ca="1">IF('Stock Price'!$I$11="OK",C1013/INDEX(C$5:C$1258,'Stock Price'!$I$9)-1,"")</f>
        <v>-7.3024223347475159E-2</v>
      </c>
      <c r="Q1013" s="19">
        <f ca="1">IF('Stock Price'!$I$11="OK",D1013/INDEX(D$5:D$1258,'Stock Price'!$I$9)-1,"")</f>
        <v>-0.12270803949224263</v>
      </c>
      <c r="R1013" s="19">
        <f ca="1">IF('Stock Price'!$I$11="OK",E1013/INDEX(E$5:E$1258,'Stock Price'!$I$9)-1,"")</f>
        <v>-0.11253644314868816</v>
      </c>
      <c r="S1013" s="19">
        <f ca="1">IF('Stock Price'!$I$11="OK",F1013/INDEX(F$5:F$1258,'Stock Price'!$I$9)-1,"")</f>
        <v>-2.9027576197385718E-3</v>
      </c>
      <c r="T1013" s="19">
        <f ca="1">IF('Stock Price'!$I$11="OK",G1013/INDEX(G$5:G$1258,'Stock Price'!$I$9)-1,"")</f>
        <v>-0.26368421052631574</v>
      </c>
      <c r="U1013" s="19">
        <f ca="1">IF('Stock Price'!$I$11="OK",H1013/INDEX(H$5:H$1258,'Stock Price'!$I$9)-1,"")</f>
        <v>-0.19220291216533592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129.12</v>
      </c>
      <c r="C1014" s="18">
        <v>169.33529999999999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-6.7994802944997712E-2</v>
      </c>
      <c r="P1014" s="19">
        <f ca="1">IF('Stock Price'!$I$11="OK",C1014/INDEX(C$5:C$1258,'Stock Price'!$I$9)-1,"")</f>
        <v>-7.3024223347475159E-2</v>
      </c>
      <c r="Q1014" s="19">
        <f ca="1">IF('Stock Price'!$I$11="OK",D1014/INDEX(D$5:D$1258,'Stock Price'!$I$9)-1,"")</f>
        <v>-0.11968567398750762</v>
      </c>
      <c r="R1014" s="19">
        <f ca="1">IF('Stock Price'!$I$11="OK",E1014/INDEX(E$5:E$1258,'Stock Price'!$I$9)-1,"")</f>
        <v>-0.11992225461613215</v>
      </c>
      <c r="S1014" s="19">
        <f ca="1">IF('Stock Price'!$I$11="OK",F1014/INDEX(F$5:F$1258,'Stock Price'!$I$9)-1,"")</f>
        <v>1.1818370308936288E-2</v>
      </c>
      <c r="T1014" s="19">
        <f ca="1">IF('Stock Price'!$I$11="OK",G1014/INDEX(G$5:G$1258,'Stock Price'!$I$9)-1,"")</f>
        <v>-0.26960526315789479</v>
      </c>
      <c r="U1014" s="19">
        <f ca="1">IF('Stock Price'!$I$11="OK",H1014/INDEX(H$5:H$1258,'Stock Price'!$I$9)-1,"")</f>
        <v>-0.19492719586660401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130.26</v>
      </c>
      <c r="C1015" s="18">
        <v>169.1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-5.9766132524902593E-2</v>
      </c>
      <c r="P1015" s="19">
        <f ca="1">IF('Stock Price'!$I$11="OK",C1015/INDEX(C$5:C$1258,'Stock Price'!$I$9)-1,"")</f>
        <v>-7.4312303270836266E-2</v>
      </c>
      <c r="Q1015" s="19">
        <f ca="1">IF('Stock Price'!$I$11="OK",D1015/INDEX(D$5:D$1258,'Stock Price'!$I$9)-1,"")</f>
        <v>-0.11041708643965353</v>
      </c>
      <c r="R1015" s="19">
        <f ca="1">IF('Stock Price'!$I$11="OK",E1015/INDEX(E$5:E$1258,'Stock Price'!$I$9)-1,"")</f>
        <v>-0.13002915451895047</v>
      </c>
      <c r="S1015" s="19">
        <f ca="1">IF('Stock Price'!$I$11="OK",F1015/INDEX(F$5:F$1258,'Stock Price'!$I$9)-1,"")</f>
        <v>2.0526643168152559E-2</v>
      </c>
      <c r="T1015" s="19">
        <f ca="1">IF('Stock Price'!$I$11="OK",G1015/INDEX(G$5:G$1258,'Stock Price'!$I$9)-1,"")</f>
        <v>-0.28078947368421059</v>
      </c>
      <c r="U1015" s="19">
        <f ca="1">IF('Stock Price'!$I$11="OK",H1015/INDEX(H$5:H$1258,'Stock Price'!$I$9)-1,"")</f>
        <v>-0.20432127759511509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129.97</v>
      </c>
      <c r="C1016" s="18">
        <v>168.065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-6.1859390789663626E-2</v>
      </c>
      <c r="P1016" s="19">
        <f ca="1">IF('Stock Price'!$I$11="OK",C1016/INDEX(C$5:C$1258,'Stock Price'!$I$9)-1,"")</f>
        <v>-7.9978103188723226E-2</v>
      </c>
      <c r="Q1016" s="19">
        <f ca="1">IF('Stock Price'!$I$11="OK",D1016/INDEX(D$5:D$1258,'Stock Price'!$I$9)-1,"")</f>
        <v>-0.11787225468466656</v>
      </c>
      <c r="R1016" s="19">
        <f ca="1">IF('Stock Price'!$I$11="OK",E1016/INDEX(E$5:E$1258,'Stock Price'!$I$9)-1,"")</f>
        <v>-0.1354713313896988</v>
      </c>
      <c r="S1016" s="19">
        <f ca="1">IF('Stock Price'!$I$11="OK",F1016/INDEX(F$5:F$1258,'Stock Price'!$I$9)-1,"")</f>
        <v>1.5135807588637862E-2</v>
      </c>
      <c r="T1016" s="19">
        <f ca="1">IF('Stock Price'!$I$11="OK",G1016/INDEX(G$5:G$1258,'Stock Price'!$I$9)-1,"")</f>
        <v>-0.28276315789473683</v>
      </c>
      <c r="U1016" s="19">
        <f ca="1">IF('Stock Price'!$I$11="OK",H1016/INDEX(H$5:H$1258,'Stock Price'!$I$9)-1,"")</f>
        <v>-0.20986378581493659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130.77000000000001</v>
      </c>
      <c r="C1017" s="18">
        <v>169.12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-5.6084885231701853E-2</v>
      </c>
      <c r="P1017" s="19">
        <f ca="1">IF('Stock Price'!$I$11="OK",C1017/INDEX(C$5:C$1258,'Stock Price'!$I$9)-1,"")</f>
        <v>-7.4202819214451932E-2</v>
      </c>
      <c r="Q1017" s="19">
        <f ca="1">IF('Stock Price'!$I$11="OK",D1017/INDEX(D$5:D$1258,'Stock Price'!$I$9)-1,"")</f>
        <v>-0.11807374571831553</v>
      </c>
      <c r="R1017" s="19">
        <f ca="1">IF('Stock Price'!$I$11="OK",E1017/INDEX(E$5:E$1258,'Stock Price'!$I$9)-1,"")</f>
        <v>-0.13177842565597664</v>
      </c>
      <c r="S1017" s="19">
        <f ca="1">IF('Stock Price'!$I$11="OK",F1017/INDEX(F$5:F$1258,'Stock Price'!$I$9)-1,"")</f>
        <v>3.7113829566659984E-2</v>
      </c>
      <c r="T1017" s="19">
        <f ca="1">IF('Stock Price'!$I$11="OK",G1017/INDEX(G$5:G$1258,'Stock Price'!$I$9)-1,"")</f>
        <v>-0.28710526315789475</v>
      </c>
      <c r="U1017" s="19">
        <f ca="1">IF('Stock Price'!$I$11="OK",H1017/INDEX(H$5:H$1258,'Stock Price'!$I$9)-1,"")</f>
        <v>-0.21164866134335369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131.43</v>
      </c>
      <c r="C1018" s="18">
        <v>170.88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-5.1320918146383621E-2</v>
      </c>
      <c r="P1018" s="19">
        <f ca="1">IF('Stock Price'!$I$11="OK",C1018/INDEX(C$5:C$1258,'Stock Price'!$I$9)-1,"")</f>
        <v>-6.4568222252634588E-2</v>
      </c>
      <c r="Q1018" s="19">
        <f ca="1">IF('Stock Price'!$I$11="OK",D1018/INDEX(D$5:D$1258,'Stock Price'!$I$9)-1,"")</f>
        <v>-0.1152528712472296</v>
      </c>
      <c r="R1018" s="19">
        <f ca="1">IF('Stock Price'!$I$11="OK",E1018/INDEX(E$5:E$1258,'Stock Price'!$I$9)-1,"")</f>
        <v>-0.12711370262390687</v>
      </c>
      <c r="S1018" s="19">
        <f ca="1">IF('Stock Price'!$I$11="OK",F1018/INDEX(F$5:F$1258,'Stock Price'!$I$9)-1,"")</f>
        <v>4.9554219365540053E-2</v>
      </c>
      <c r="T1018" s="19">
        <f ca="1">IF('Stock Price'!$I$11="OK",G1018/INDEX(G$5:G$1258,'Stock Price'!$I$9)-1,"")</f>
        <v>-0.29434210526315785</v>
      </c>
      <c r="U1018" s="19">
        <f ca="1">IF('Stock Price'!$I$11="OK",H1018/INDEX(H$5:H$1258,'Stock Price'!$I$9)-1,"")</f>
        <v>-0.20347581023954908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131.79</v>
      </c>
      <c r="C1019" s="18">
        <v>166.97989999999999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-4.8722390645301039E-2</v>
      </c>
      <c r="P1019" s="19">
        <f ca="1">IF('Stock Price'!$I$11="OK",C1019/INDEX(C$5:C$1258,'Stock Price'!$I$9)-1,"")</f>
        <v>-8.591816066785285E-2</v>
      </c>
      <c r="Q1019" s="19">
        <f ca="1">IF('Stock Price'!$I$11="OK",D1019/INDEX(D$5:D$1258,'Stock Price'!$I$9)-1,"")</f>
        <v>-0.11102155954060056</v>
      </c>
      <c r="R1019" s="19">
        <f ca="1">IF('Stock Price'!$I$11="OK",E1019/INDEX(E$5:E$1258,'Stock Price'!$I$9)-1,"")</f>
        <v>-0.14363459669582124</v>
      </c>
      <c r="S1019" s="19">
        <f ca="1">IF('Stock Price'!$I$11="OK",F1019/INDEX(F$5:F$1258,'Stock Price'!$I$9)-1,"")</f>
        <v>3.110097449720084E-2</v>
      </c>
      <c r="T1019" s="19">
        <f ca="1">IF('Stock Price'!$I$11="OK",G1019/INDEX(G$5:G$1258,'Stock Price'!$I$9)-1,"")</f>
        <v>-0.27815789473684216</v>
      </c>
      <c r="U1019" s="19">
        <f ca="1">IF('Stock Price'!$I$11="OK",H1019/INDEX(H$5:H$1258,'Stock Price'!$I$9)-1,"")</f>
        <v>-0.18910286519492725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131.34</v>
      </c>
      <c r="C1020" s="18">
        <v>168.28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-5.1970550021654294E-2</v>
      </c>
      <c r="P1020" s="19">
        <f ca="1">IF('Stock Price'!$I$11="OK",C1020/INDEX(C$5:C$1258,'Stock Price'!$I$9)-1,"")</f>
        <v>-7.88011495825921E-2</v>
      </c>
      <c r="Q1020" s="19">
        <f ca="1">IF('Stock Price'!$I$11="OK",D1020/INDEX(D$5:D$1258,'Stock Price'!$I$9)-1,"")</f>
        <v>-0.11464839814628258</v>
      </c>
      <c r="R1020" s="19">
        <f ca="1">IF('Stock Price'!$I$11="OK",E1020/INDEX(E$5:E$1258,'Stock Price'!$I$9)-1,"")</f>
        <v>-0.14441205053449946</v>
      </c>
      <c r="S1020" s="19">
        <f ca="1">IF('Stock Price'!$I$11="OK",F1020/INDEX(F$5:F$1258,'Stock Price'!$I$9)-1,"")</f>
        <v>2.9649595687331498E-2</v>
      </c>
      <c r="T1020" s="19">
        <f ca="1">IF('Stock Price'!$I$11="OK",G1020/INDEX(G$5:G$1258,'Stock Price'!$I$9)-1,"")</f>
        <v>-0.2801315789473684</v>
      </c>
      <c r="U1020" s="19">
        <f ca="1">IF('Stock Price'!$I$11="OK",H1020/INDEX(H$5:H$1258,'Stock Price'!$I$9)-1,"")</f>
        <v>-0.17689055894786287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131.43</v>
      </c>
      <c r="C1021" s="18">
        <v>168.28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-5.1320918146383621E-2</v>
      </c>
      <c r="P1021" s="19">
        <f ca="1">IF('Stock Price'!$I$11="OK",C1021/INDEX(C$5:C$1258,'Stock Price'!$I$9)-1,"")</f>
        <v>-7.88011495825921E-2</v>
      </c>
      <c r="Q1021" s="19">
        <f ca="1">IF('Stock Price'!$I$11="OK",D1021/INDEX(D$5:D$1258,'Stock Price'!$I$9)-1,"")</f>
        <v>-0.10820068506951452</v>
      </c>
      <c r="R1021" s="19">
        <f ca="1">IF('Stock Price'!$I$11="OK",E1021/INDEX(E$5:E$1258,'Stock Price'!$I$9)-1,"")</f>
        <v>-0.14596695821185623</v>
      </c>
      <c r="S1021" s="19">
        <f ca="1">IF('Stock Price'!$I$11="OK",F1021/INDEX(F$5:F$1258,'Stock Price'!$I$9)-1,"")</f>
        <v>3.6491810076715758E-2</v>
      </c>
      <c r="T1021" s="19">
        <f ca="1">IF('Stock Price'!$I$11="OK",G1021/INDEX(G$5:G$1258,'Stock Price'!$I$9)-1,"")</f>
        <v>-0.27578947368421058</v>
      </c>
      <c r="U1021" s="19">
        <f ca="1">IF('Stock Price'!$I$11="OK",H1021/INDEX(H$5:H$1258,'Stock Price'!$I$9)-1,"")</f>
        <v>-0.17698449976514796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131.63999999999999</v>
      </c>
      <c r="C1022" s="18">
        <v>168.24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-4.9805110437418865E-2</v>
      </c>
      <c r="P1022" s="19">
        <f ca="1">IF('Stock Price'!$I$11="OK",C1022/INDEX(C$5:C$1258,'Stock Price'!$I$9)-1,"")</f>
        <v>-7.9020117695360659E-2</v>
      </c>
      <c r="Q1022" s="19">
        <f ca="1">IF('Stock Price'!$I$11="OK",D1022/INDEX(D$5:D$1258,'Stock Price'!$I$9)-1,"")</f>
        <v>-8.2409832762442181E-2</v>
      </c>
      <c r="R1022" s="19">
        <f ca="1">IF('Stock Price'!$I$11="OK",E1022/INDEX(E$5:E$1258,'Stock Price'!$I$9)-1,"")</f>
        <v>-0.17453838678328482</v>
      </c>
      <c r="S1022" s="19">
        <f ca="1">IF('Stock Price'!$I$11="OK",F1022/INDEX(F$5:F$1258,'Stock Price'!$I$9)-1,"")</f>
        <v>2.6746838067592815E-2</v>
      </c>
      <c r="T1022" s="19">
        <f ca="1">IF('Stock Price'!$I$11="OK",G1022/INDEX(G$5:G$1258,'Stock Price'!$I$9)-1,"")</f>
        <v>-0.27421052631578957</v>
      </c>
      <c r="U1022" s="19">
        <f ca="1">IF('Stock Price'!$I$11="OK",H1022/INDEX(H$5:H$1258,'Stock Price'!$I$9)-1,"")</f>
        <v>-0.18102395490840761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130.36000000000001</v>
      </c>
      <c r="C1023" s="18">
        <v>163.75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-5.9044319330157191E-2</v>
      </c>
      <c r="P1023" s="19">
        <f ca="1">IF('Stock Price'!$I$11="OK",C1023/INDEX(C$5:C$1258,'Stock Price'!$I$9)-1,"")</f>
        <v>-0.10359928835363352</v>
      </c>
      <c r="Q1023" s="19">
        <f ca="1">IF('Stock Price'!$I$11="OK",D1023/INDEX(D$5:D$1258,'Stock Price'!$I$9)-1,"")</f>
        <v>-0.12875277050171263</v>
      </c>
      <c r="R1023" s="19">
        <f ca="1">IF('Stock Price'!$I$11="OK",E1023/INDEX(E$5:E$1258,'Stock Price'!$I$9)-1,"")</f>
        <v>-0.17842565597667637</v>
      </c>
      <c r="S1023" s="19">
        <f ca="1">IF('Stock Price'!$I$11="OK",F1023/INDEX(F$5:F$1258,'Stock Price'!$I$9)-1,"")</f>
        <v>7.0702882023636837E-2</v>
      </c>
      <c r="T1023" s="19">
        <f ca="1">IF('Stock Price'!$I$11="OK",G1023/INDEX(G$5:G$1258,'Stock Price'!$I$9)-1,"")</f>
        <v>-0.26907894736842108</v>
      </c>
      <c r="U1023" s="19">
        <f ca="1">IF('Stock Price'!$I$11="OK",H1023/INDEX(H$5:H$1258,'Stock Price'!$I$9)-1,"")</f>
        <v>-0.17811178957256935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129.13999999999999</v>
      </c>
      <c r="C1024" s="18">
        <v>163.99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-6.7850440306048809E-2</v>
      </c>
      <c r="P1024" s="19">
        <f ca="1">IF('Stock Price'!$I$11="OK",C1024/INDEX(C$5:C$1258,'Stock Price'!$I$9)-1,"")</f>
        <v>-0.10228547967702206</v>
      </c>
      <c r="Q1024" s="19">
        <f ca="1">IF('Stock Price'!$I$11="OK",D1024/INDEX(D$5:D$1258,'Stock Price'!$I$9)-1,"")</f>
        <v>-0.11746927261736861</v>
      </c>
      <c r="R1024" s="19">
        <f ca="1">IF('Stock Price'!$I$11="OK",E1024/INDEX(E$5:E$1258,'Stock Price'!$I$9)-1,"")</f>
        <v>-0.18192419825072881</v>
      </c>
      <c r="S1024" s="19">
        <f ca="1">IF('Stock Price'!$I$11="OK",F1024/INDEX(F$5:F$1258,'Stock Price'!$I$9)-1,"")</f>
        <v>6.5934065934065922E-2</v>
      </c>
      <c r="T1024" s="19">
        <f ca="1">IF('Stock Price'!$I$11="OK",G1024/INDEX(G$5:G$1258,'Stock Price'!$I$9)-1,"")</f>
        <v>-0.27342105263157901</v>
      </c>
      <c r="U1024" s="19">
        <f ca="1">IF('Stock Price'!$I$11="OK",H1024/INDEX(H$5:H$1258,'Stock Price'!$I$9)-1,"")</f>
        <v>-0.17332080789102866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123.43</v>
      </c>
      <c r="C1025" s="18">
        <v>165.58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-0.10906597372599958</v>
      </c>
      <c r="P1025" s="19">
        <f ca="1">IF('Stock Price'!$I$11="OK",C1025/INDEX(C$5:C$1258,'Stock Price'!$I$9)-1,"")</f>
        <v>-9.3581497194471064E-2</v>
      </c>
      <c r="Q1025" s="19">
        <f ca="1">IF('Stock Price'!$I$11="OK",D1025/INDEX(D$5:D$1258,'Stock Price'!$I$9)-1,"")</f>
        <v>-0.11948418295385854</v>
      </c>
      <c r="R1025" s="19">
        <f ca="1">IF('Stock Price'!$I$11="OK",E1025/INDEX(E$5:E$1258,'Stock Price'!$I$9)-1,"")</f>
        <v>-0.20602526724975712</v>
      </c>
      <c r="S1025" s="19">
        <f ca="1">IF('Stock Price'!$I$11="OK",F1025/INDEX(F$5:F$1258,'Stock Price'!$I$9)-1,"")</f>
        <v>5.8677171884719215E-2</v>
      </c>
      <c r="T1025" s="19">
        <f ca="1">IF('Stock Price'!$I$11="OK",G1025/INDEX(G$5:G$1258,'Stock Price'!$I$9)-1,"")</f>
        <v>-0.27776315789473682</v>
      </c>
      <c r="U1025" s="19">
        <f ca="1">IF('Stock Price'!$I$11="OK",H1025/INDEX(H$5:H$1258,'Stock Price'!$I$9)-1,"")</f>
        <v>-0.18243306716768437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121.8</v>
      </c>
      <c r="C1026" s="18">
        <v>163.67500000000001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-0.12083152880034642</v>
      </c>
      <c r="P1026" s="19">
        <f ca="1">IF('Stock Price'!$I$11="OK",C1026/INDEX(C$5:C$1258,'Stock Price'!$I$9)-1,"")</f>
        <v>-0.10400985356507453</v>
      </c>
      <c r="Q1026" s="19">
        <f ca="1">IF('Stock Price'!$I$11="OK",D1026/INDEX(D$5:D$1258,'Stock Price'!$I$9)-1,"")</f>
        <v>-7.4551682450130996E-2</v>
      </c>
      <c r="R1026" s="19">
        <f ca="1">IF('Stock Price'!$I$11="OK",E1026/INDEX(E$5:E$1258,'Stock Price'!$I$9)-1,"")</f>
        <v>-0.21166180758017494</v>
      </c>
      <c r="S1026" s="19">
        <f ca="1">IF('Stock Price'!$I$11="OK",F1026/INDEX(F$5:F$1258,'Stock Price'!$I$9)-1,"")</f>
        <v>5.0798258345428282E-2</v>
      </c>
      <c r="T1026" s="19">
        <f ca="1">IF('Stock Price'!$I$11="OK",G1026/INDEX(G$5:G$1258,'Stock Price'!$I$9)-1,"")</f>
        <v>-0.27473684210526317</v>
      </c>
      <c r="U1026" s="19">
        <f ca="1">IF('Stock Price'!$I$11="OK",H1026/INDEX(H$5:H$1258,'Stock Price'!$I$9)-1,"")</f>
        <v>-0.18666040394551431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122.61</v>
      </c>
      <c r="C1027" s="18">
        <v>163.67500000000001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-0.11498484192291025</v>
      </c>
      <c r="P1027" s="19">
        <f ca="1">IF('Stock Price'!$I$11="OK",C1027/INDEX(C$5:C$1258,'Stock Price'!$I$9)-1,"")</f>
        <v>-0.10400985356507453</v>
      </c>
      <c r="Q1027" s="19">
        <f ca="1">IF('Stock Price'!$I$11="OK",D1027/INDEX(D$5:D$1258,'Stock Price'!$I$9)-1,"")</f>
        <v>-5.4201088051581747E-2</v>
      </c>
      <c r="R1027" s="19">
        <f ca="1">IF('Stock Price'!$I$11="OK",E1027/INDEX(E$5:E$1258,'Stock Price'!$I$9)-1,"")</f>
        <v>-0.21068999028182711</v>
      </c>
      <c r="S1027" s="19">
        <f ca="1">IF('Stock Price'!$I$11="OK",F1027/INDEX(F$5:F$1258,'Stock Price'!$I$9)-1,"")</f>
        <v>5.6189093924942979E-2</v>
      </c>
      <c r="T1027" s="19">
        <f ca="1">IF('Stock Price'!$I$11="OK",G1027/INDEX(G$5:G$1258,'Stock Price'!$I$9)-1,"")</f>
        <v>-0.29289473684210521</v>
      </c>
      <c r="U1027" s="19">
        <f ca="1">IF('Stock Price'!$I$11="OK",H1027/INDEX(H$5:H$1258,'Stock Price'!$I$9)-1,"")</f>
        <v>-0.1894786284640676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123.79</v>
      </c>
      <c r="C1028" s="18">
        <v>163.67500000000001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-0.10646744622491688</v>
      </c>
      <c r="P1028" s="19">
        <f ca="1">IF('Stock Price'!$I$11="OK",C1028/INDEX(C$5:C$1258,'Stock Price'!$I$9)-1,"")</f>
        <v>-0.10400985356507453</v>
      </c>
      <c r="Q1028" s="19">
        <f ca="1">IF('Stock Price'!$I$11="OK",D1028/INDEX(D$5:D$1258,'Stock Price'!$I$9)-1,"")</f>
        <v>-5.5813016320773734E-2</v>
      </c>
      <c r="R1028" s="19">
        <f ca="1">IF('Stock Price'!$I$11="OK",E1028/INDEX(E$5:E$1258,'Stock Price'!$I$9)-1,"")</f>
        <v>-0.21477162293488827</v>
      </c>
      <c r="S1028" s="19">
        <f ca="1">IF('Stock Price'!$I$11="OK",F1028/INDEX(F$5:F$1258,'Stock Price'!$I$9)-1,"")</f>
        <v>4.8724860045614715E-2</v>
      </c>
      <c r="T1028" s="19">
        <f ca="1">IF('Stock Price'!$I$11="OK",G1028/INDEX(G$5:G$1258,'Stock Price'!$I$9)-1,"")</f>
        <v>-0.2907894736842106</v>
      </c>
      <c r="U1028" s="19">
        <f ca="1">IF('Stock Price'!$I$11="OK",H1028/INDEX(H$5:H$1258,'Stock Price'!$I$9)-1,"")</f>
        <v>-0.19229685298262089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123.86</v>
      </c>
      <c r="C1029" s="18">
        <v>161.9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-0.10596217698859534</v>
      </c>
      <c r="P1029" s="19">
        <f ca="1">IF('Stock Price'!$I$11="OK",C1029/INDEX(C$5:C$1258,'Stock Price'!$I$9)-1,"")</f>
        <v>-0.11372656356918032</v>
      </c>
      <c r="Q1029" s="19">
        <f ca="1">IF('Stock Price'!$I$11="OK",D1029/INDEX(D$5:D$1258,'Stock Price'!$I$9)-1,"")</f>
        <v>-6.6089059036872899E-2</v>
      </c>
      <c r="R1029" s="19">
        <f ca="1">IF('Stock Price'!$I$11="OK",E1029/INDEX(E$5:E$1258,'Stock Price'!$I$9)-1,"")</f>
        <v>-0.21963070942662788</v>
      </c>
      <c r="S1029" s="19">
        <f ca="1">IF('Stock Price'!$I$11="OK",F1029/INDEX(F$5:F$1258,'Stock Price'!$I$9)-1,"")</f>
        <v>3.7735849056603765E-2</v>
      </c>
      <c r="T1029" s="19">
        <f ca="1">IF('Stock Price'!$I$11="OK",G1029/INDEX(G$5:G$1258,'Stock Price'!$I$9)-1,"")</f>
        <v>-0.30342105263157892</v>
      </c>
      <c r="U1029" s="19">
        <f ca="1">IF('Stock Price'!$I$11="OK",H1029/INDEX(H$5:H$1258,'Stock Price'!$I$9)-1,"")</f>
        <v>-0.22508219821512454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125.01</v>
      </c>
      <c r="C1030" s="18">
        <v>165.26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-9.7661325249025488E-2</v>
      </c>
      <c r="P1030" s="19">
        <f ca="1">IF('Stock Price'!$I$11="OK",C1030/INDEX(C$5:C$1258,'Stock Price'!$I$9)-1,"")</f>
        <v>-9.5333242096619752E-2</v>
      </c>
      <c r="Q1030" s="19">
        <f ca="1">IF('Stock Price'!$I$11="OK",D1030/INDEX(D$5:D$1258,'Stock Price'!$I$9)-1,"")</f>
        <v>-5.6618980455369727E-2</v>
      </c>
      <c r="R1030" s="19">
        <f ca="1">IF('Stock Price'!$I$11="OK",E1030/INDEX(E$5:E$1258,'Stock Price'!$I$9)-1,"")</f>
        <v>-0.2128279883381925</v>
      </c>
      <c r="S1030" s="19">
        <f ca="1">IF('Stock Price'!$I$11="OK",F1030/INDEX(F$5:F$1258,'Stock Price'!$I$9)-1,"")</f>
        <v>1.8245905038357879E-2</v>
      </c>
      <c r="T1030" s="19">
        <f ca="1">IF('Stock Price'!$I$11="OK",G1030/INDEX(G$5:G$1258,'Stock Price'!$I$9)-1,"")</f>
        <v>-0.29592105263157897</v>
      </c>
      <c r="U1030" s="19">
        <f ca="1">IF('Stock Price'!$I$11="OK",H1030/INDEX(H$5:H$1258,'Stock Price'!$I$9)-1,"")</f>
        <v>-0.21221230624706433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125.5</v>
      </c>
      <c r="C1031" s="18">
        <v>165.26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-9.4124440594773984E-2</v>
      </c>
      <c r="P1031" s="19">
        <f ca="1">IF('Stock Price'!$I$11="OK",C1031/INDEX(C$5:C$1258,'Stock Price'!$I$9)-1,"")</f>
        <v>-9.5333242096619752E-2</v>
      </c>
      <c r="Q1031" s="19">
        <f ca="1">IF('Stock Price'!$I$11="OK",D1031/INDEX(D$5:D$1258,'Stock Price'!$I$9)-1,"")</f>
        <v>-5.92383638928069E-2</v>
      </c>
      <c r="R1031" s="19">
        <f ca="1">IF('Stock Price'!$I$11="OK",E1031/INDEX(E$5:E$1258,'Stock Price'!$I$9)-1,"")</f>
        <v>-0.20894071914480072</v>
      </c>
      <c r="S1031" s="19">
        <f ca="1">IF('Stock Price'!$I$11="OK",F1031/INDEX(F$5:F$1258,'Stock Price'!$I$9)-1,"")</f>
        <v>1.59651669085632E-2</v>
      </c>
      <c r="T1031" s="19">
        <f ca="1">IF('Stock Price'!$I$11="OK",G1031/INDEX(G$5:G$1258,'Stock Price'!$I$9)-1,"")</f>
        <v>-0.30460526315789471</v>
      </c>
      <c r="U1031" s="19">
        <f ca="1">IF('Stock Price'!$I$11="OK",H1031/INDEX(H$5:H$1258,'Stock Price'!$I$9)-1,"")</f>
        <v>-0.20723344293095347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126.57</v>
      </c>
      <c r="C1032" s="18">
        <v>169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-8.6401039411000413E-2</v>
      </c>
      <c r="P1032" s="19">
        <f ca="1">IF('Stock Price'!$I$11="OK",C1032/INDEX(C$5:C$1258,'Stock Price'!$I$9)-1,"")</f>
        <v>-7.4859723552757718E-2</v>
      </c>
      <c r="Q1032" s="19">
        <f ca="1">IF('Stock Price'!$I$11="OK",D1032/INDEX(D$5:D$1258,'Stock Price'!$I$9)-1,"")</f>
        <v>-5.0977231513197663E-2</v>
      </c>
      <c r="R1032" s="19">
        <f ca="1">IF('Stock Price'!$I$11="OK",E1032/INDEX(E$5:E$1258,'Stock Price'!$I$9)-1,"")</f>
        <v>-0.19883381924198262</v>
      </c>
      <c r="S1032" s="19">
        <f ca="1">IF('Stock Price'!$I$11="OK",F1032/INDEX(F$5:F$1258,'Stock Price'!$I$9)-1,"")</f>
        <v>2.6124818577648812E-2</v>
      </c>
      <c r="T1032" s="19">
        <f ca="1">IF('Stock Price'!$I$11="OK",G1032/INDEX(G$5:G$1258,'Stock Price'!$I$9)-1,"")</f>
        <v>-0.30236842105263151</v>
      </c>
      <c r="U1032" s="19">
        <f ca="1">IF('Stock Price'!$I$11="OK",H1032/INDEX(H$5:H$1258,'Stock Price'!$I$9)-1,"")</f>
        <v>-0.1941756693283232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126.35</v>
      </c>
      <c r="C1033" s="18">
        <v>166.17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-8.7989028439439898E-2</v>
      </c>
      <c r="P1033" s="19">
        <f ca="1">IF('Stock Price'!$I$11="OK",C1033/INDEX(C$5:C$1258,'Stock Price'!$I$9)-1,"")</f>
        <v>-9.035171753113469E-2</v>
      </c>
      <c r="Q1033" s="19">
        <f ca="1">IF('Stock Price'!$I$11="OK",D1033/INDEX(D$5:D$1258,'Stock Price'!$I$9)-1,"")</f>
        <v>-6.0447310094700835E-2</v>
      </c>
      <c r="R1033" s="19">
        <f ca="1">IF('Stock Price'!$I$11="OK",E1033/INDEX(E$5:E$1258,'Stock Price'!$I$9)-1,"")</f>
        <v>-0.18445092322643342</v>
      </c>
      <c r="S1033" s="19">
        <f ca="1">IF('Stock Price'!$I$11="OK",F1033/INDEX(F$5:F$1258,'Stock Price'!$I$9)-1,"")</f>
        <v>2.9649595687331498E-2</v>
      </c>
      <c r="T1033" s="19">
        <f ca="1">IF('Stock Price'!$I$11="OK",G1033/INDEX(G$5:G$1258,'Stock Price'!$I$9)-1,"")</f>
        <v>-0.31434210526315787</v>
      </c>
      <c r="U1033" s="19">
        <f ca="1">IF('Stock Price'!$I$11="OK",H1033/INDEX(H$5:H$1258,'Stock Price'!$I$9)-1,"")</f>
        <v>-0.1894786284640676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127.2</v>
      </c>
      <c r="C1034" s="18">
        <v>174.9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-8.185361628410559E-2</v>
      </c>
      <c r="P1034" s="19">
        <f ca="1">IF('Stock Price'!$I$11="OK",C1034/INDEX(C$5:C$1258,'Stock Price'!$I$9)-1,"")</f>
        <v>-4.2561926919392423E-2</v>
      </c>
      <c r="Q1034" s="19">
        <f ca="1">IF('Stock Price'!$I$11="OK",D1034/INDEX(D$5:D$1258,'Stock Price'!$I$9)-1,"")</f>
        <v>-4.573846463832365E-2</v>
      </c>
      <c r="R1034" s="19">
        <f ca="1">IF('Stock Price'!$I$11="OK",E1034/INDEX(E$5:E$1258,'Stock Price'!$I$9)-1,"")</f>
        <v>-0.1477162293488824</v>
      </c>
      <c r="S1034" s="19">
        <f ca="1">IF('Stock Price'!$I$11="OK",F1034/INDEX(F$5:F$1258,'Stock Price'!$I$9)-1,"")</f>
        <v>5.0383578685465391E-2</v>
      </c>
      <c r="T1034" s="19">
        <f ca="1">IF('Stock Price'!$I$11="OK",G1034/INDEX(G$5:G$1258,'Stock Price'!$I$9)-1,"")</f>
        <v>-0.30263157894736847</v>
      </c>
      <c r="U1034" s="19">
        <f ca="1">IF('Stock Price'!$I$11="OK",H1034/INDEX(H$5:H$1258,'Stock Price'!$I$9)-1,"")</f>
        <v>-0.18506341005166749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130.5</v>
      </c>
      <c r="C1035" s="18">
        <v>175.2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-5.8033780857513984E-2</v>
      </c>
      <c r="P1035" s="19">
        <f ca="1">IF('Stock Price'!$I$11="OK",C1035/INDEX(C$5:C$1258,'Stock Price'!$I$9)-1,"")</f>
        <v>-4.091966607362818E-2</v>
      </c>
      <c r="Q1035" s="19">
        <f ca="1">IF('Stock Price'!$I$11="OK",D1035/INDEX(D$5:D$1258,'Stock Price'!$I$9)-1,"")</f>
        <v>-2.4581906105178408E-2</v>
      </c>
      <c r="R1035" s="19">
        <f ca="1">IF('Stock Price'!$I$11="OK",E1035/INDEX(E$5:E$1258,'Stock Price'!$I$9)-1,"")</f>
        <v>-0.11700680272108854</v>
      </c>
      <c r="S1035" s="19">
        <f ca="1">IF('Stock Price'!$I$11="OK",F1035/INDEX(F$5:F$1258,'Stock Price'!$I$9)-1,"")</f>
        <v>7.173958117354351E-2</v>
      </c>
      <c r="T1035" s="19">
        <f ca="1">IF('Stock Price'!$I$11="OK",G1035/INDEX(G$5:G$1258,'Stock Price'!$I$9)-1,"")</f>
        <v>-0.27815789473684216</v>
      </c>
      <c r="U1035" s="19">
        <f ca="1">IF('Stock Price'!$I$11="OK",H1035/INDEX(H$5:H$1258,'Stock Price'!$I$9)-1,"")</f>
        <v>-0.14560826679192107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132.29</v>
      </c>
      <c r="C1036" s="18">
        <v>175.66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-4.5113324671575028E-2</v>
      </c>
      <c r="P1036" s="19">
        <f ca="1">IF('Stock Price'!$I$11="OK",C1036/INDEX(C$5:C$1258,'Stock Price'!$I$9)-1,"")</f>
        <v>-3.8401532776789482E-2</v>
      </c>
      <c r="Q1036" s="19">
        <f ca="1">IF('Stock Price'!$I$11="OK",D1036/INDEX(D$5:D$1258,'Stock Price'!$I$9)-1,"")</f>
        <v>-3.1432601249244407E-2</v>
      </c>
      <c r="R1036" s="19">
        <f ca="1">IF('Stock Price'!$I$11="OK",E1036/INDEX(E$5:E$1258,'Stock Price'!$I$9)-1,"")</f>
        <v>-0.11700680272108854</v>
      </c>
      <c r="S1036" s="19">
        <f ca="1">IF('Stock Price'!$I$11="OK",F1036/INDEX(F$5:F$1258,'Stock Price'!$I$9)-1,"")</f>
        <v>7.6508397263114425E-2</v>
      </c>
      <c r="T1036" s="19">
        <f ca="1">IF('Stock Price'!$I$11="OK",G1036/INDEX(G$5:G$1258,'Stock Price'!$I$9)-1,"")</f>
        <v>-0.23526315789473684</v>
      </c>
      <c r="U1036" s="19">
        <f ca="1">IF('Stock Price'!$I$11="OK",H1036/INDEX(H$5:H$1258,'Stock Price'!$I$9)-1,"")</f>
        <v>-0.14091122592766558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131.91</v>
      </c>
      <c r="C1037" s="18">
        <v>177.5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-4.7856214811606734E-2</v>
      </c>
      <c r="P1037" s="19">
        <f ca="1">IF('Stock Price'!$I$11="OK",C1037/INDEX(C$5:C$1258,'Stock Price'!$I$9)-1,"")</f>
        <v>-2.83289995894348E-2</v>
      </c>
      <c r="Q1037" s="19">
        <f ca="1">IF('Stock Price'!$I$11="OK",D1037/INDEX(D$5:D$1258,'Stock Price'!$I$9)-1,"")</f>
        <v>-3.0022164013701391E-2</v>
      </c>
      <c r="R1037" s="19">
        <f ca="1">IF('Stock Price'!$I$11="OK",E1037/INDEX(E$5:E$1258,'Stock Price'!$I$9)-1,"")</f>
        <v>-0.11525753158406216</v>
      </c>
      <c r="S1037" s="19">
        <f ca="1">IF('Stock Price'!$I$11="OK",F1037/INDEX(F$5:F$1258,'Stock Price'!$I$9)-1,"")</f>
        <v>8.5216670122330695E-2</v>
      </c>
      <c r="T1037" s="19">
        <f ca="1">IF('Stock Price'!$I$11="OK",G1037/INDEX(G$5:G$1258,'Stock Price'!$I$9)-1,"")</f>
        <v>-0.21223684210526317</v>
      </c>
      <c r="U1037" s="19">
        <f ca="1">IF('Stock Price'!$I$11="OK",H1037/INDEX(H$5:H$1258,'Stock Price'!$I$9)-1,"")</f>
        <v>-0.12700798496946919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131.26</v>
      </c>
      <c r="C1038" s="18">
        <v>174.82490000000001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-5.2548000577450571E-2</v>
      </c>
      <c r="P1038" s="19">
        <f ca="1">IF('Stock Price'!$I$11="OK",C1038/INDEX(C$5:C$1258,'Stock Price'!$I$9)-1,"")</f>
        <v>-4.2973039551115311E-2</v>
      </c>
      <c r="Q1038" s="19">
        <f ca="1">IF('Stock Price'!$I$11="OK",D1038/INDEX(D$5:D$1258,'Stock Price'!$I$9)-1,"")</f>
        <v>-4.9365303244005676E-2</v>
      </c>
      <c r="R1038" s="19">
        <f ca="1">IF('Stock Price'!$I$11="OK",E1038/INDEX(E$5:E$1258,'Stock Price'!$I$9)-1,"")</f>
        <v>-0.12633624878522842</v>
      </c>
      <c r="S1038" s="19">
        <f ca="1">IF('Stock Price'!$I$11="OK",F1038/INDEX(F$5:F$1258,'Stock Price'!$I$9)-1,"")</f>
        <v>8.1069873522703784E-2</v>
      </c>
      <c r="T1038" s="19">
        <f ca="1">IF('Stock Price'!$I$11="OK",G1038/INDEX(G$5:G$1258,'Stock Price'!$I$9)-1,"")</f>
        <v>-0.25249999999999995</v>
      </c>
      <c r="U1038" s="19">
        <f ca="1">IF('Stock Price'!$I$11="OK",H1038/INDEX(H$5:H$1258,'Stock Price'!$I$9)-1,"")</f>
        <v>-0.12710192578675439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131.55000000000001</v>
      </c>
      <c r="C1039" s="18">
        <v>175.245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-5.0454742312689316E-2</v>
      </c>
      <c r="P1039" s="19">
        <f ca="1">IF('Stock Price'!$I$11="OK",C1039/INDEX(C$5:C$1258,'Stock Price'!$I$9)-1,"")</f>
        <v>-4.06733269467634E-2</v>
      </c>
      <c r="Q1039" s="19">
        <f ca="1">IF('Stock Price'!$I$11="OK",D1039/INDEX(D$5:D$1258,'Stock Price'!$I$9)-1,"")</f>
        <v>-4.2313117066290595E-2</v>
      </c>
      <c r="R1039" s="19">
        <f ca="1">IF('Stock Price'!$I$11="OK",E1039/INDEX(E$5:E$1258,'Stock Price'!$I$9)-1,"")</f>
        <v>-0.13352769679300303</v>
      </c>
      <c r="S1039" s="19">
        <f ca="1">IF('Stock Price'!$I$11="OK",F1039/INDEX(F$5:F$1258,'Stock Price'!$I$9)-1,"")</f>
        <v>7.360563964337552E-2</v>
      </c>
      <c r="T1039" s="19">
        <f ca="1">IF('Stock Price'!$I$11="OK",G1039/INDEX(G$5:G$1258,'Stock Price'!$I$9)-1,"")</f>
        <v>-0.26460526315789468</v>
      </c>
      <c r="U1039" s="19">
        <f ca="1">IF('Stock Price'!$I$11="OK",H1039/INDEX(H$5:H$1258,'Stock Price'!$I$9)-1,"")</f>
        <v>-0.12766557069046502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128.01</v>
      </c>
      <c r="C1040" s="18">
        <v>175.20490000000001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-7.6006929406669532E-2</v>
      </c>
      <c r="P1040" s="19">
        <f ca="1">IF('Stock Price'!$I$11="OK",C1040/INDEX(C$5:C$1258,'Stock Price'!$I$9)-1,"")</f>
        <v>-4.089284247981384E-2</v>
      </c>
      <c r="Q1040" s="19">
        <f ca="1">IF('Stock Price'!$I$11="OK",D1040/INDEX(D$5:D$1258,'Stock Price'!$I$9)-1,"")</f>
        <v>-4.553697360467468E-2</v>
      </c>
      <c r="R1040" s="19">
        <f ca="1">IF('Stock Price'!$I$11="OK",E1040/INDEX(E$5:E$1258,'Stock Price'!$I$9)-1,"")</f>
        <v>-5.014577259475228E-2</v>
      </c>
      <c r="S1040" s="19">
        <f ca="1">IF('Stock Price'!$I$11="OK",F1040/INDEX(F$5:F$1258,'Stock Price'!$I$9)-1,"")</f>
        <v>5.0383578685465391E-2</v>
      </c>
      <c r="T1040" s="19">
        <f ca="1">IF('Stock Price'!$I$11="OK",G1040/INDEX(G$5:G$1258,'Stock Price'!$I$9)-1,"")</f>
        <v>-0.27973684210526317</v>
      </c>
      <c r="U1040" s="19">
        <f ca="1">IF('Stock Price'!$I$11="OK",H1040/INDEX(H$5:H$1258,'Stock Price'!$I$9)-1,"")</f>
        <v>-9.4128698919680565E-2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127.31</v>
      </c>
      <c r="C1041" s="18">
        <v>179.82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-8.1059621769885903E-2</v>
      </c>
      <c r="P1041" s="19">
        <f ca="1">IF('Stock Price'!$I$11="OK",C1041/INDEX(C$5:C$1258,'Stock Price'!$I$9)-1,"")</f>
        <v>-1.5628849048857307E-2</v>
      </c>
      <c r="Q1041" s="19">
        <f ca="1">IF('Stock Price'!$I$11="OK",D1041/INDEX(D$5:D$1258,'Stock Price'!$I$9)-1,"")</f>
        <v>-6.629055007052187E-2</v>
      </c>
      <c r="R1041" s="19">
        <f ca="1">IF('Stock Price'!$I$11="OK",E1041/INDEX(E$5:E$1258,'Stock Price'!$I$9)-1,"")</f>
        <v>-5.655976676384844E-2</v>
      </c>
      <c r="S1041" s="19">
        <f ca="1">IF('Stock Price'!$I$11="OK",F1041/INDEX(F$5:F$1258,'Stock Price'!$I$9)-1,"")</f>
        <v>2.7368857557536819E-2</v>
      </c>
      <c r="T1041" s="19">
        <f ca="1">IF('Stock Price'!$I$11="OK",G1041/INDEX(G$5:G$1258,'Stock Price'!$I$9)-1,"")</f>
        <v>-0.28894736842105262</v>
      </c>
      <c r="U1041" s="19">
        <f ca="1">IF('Stock Price'!$I$11="OK",H1041/INDEX(H$5:H$1258,'Stock Price'!$I$9)-1,"")</f>
        <v>-0.10709253170502586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124.36</v>
      </c>
      <c r="C1042" s="18">
        <v>177.85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-0.10235311101486932</v>
      </c>
      <c r="P1042" s="19">
        <f ca="1">IF('Stock Price'!$I$11="OK",C1042/INDEX(C$5:C$1258,'Stock Price'!$I$9)-1,"")</f>
        <v>-2.6413028602709776E-2</v>
      </c>
      <c r="Q1042" s="19">
        <f ca="1">IF('Stock Price'!$I$11="OK",D1042/INDEX(D$5:D$1258,'Stock Price'!$I$9)-1,"")</f>
        <v>-7.092484384444897E-2</v>
      </c>
      <c r="R1042" s="19">
        <f ca="1">IF('Stock Price'!$I$11="OK",E1042/INDEX(E$5:E$1258,'Stock Price'!$I$9)-1,"")</f>
        <v>-6.8610301263362539E-2</v>
      </c>
      <c r="S1042" s="19">
        <f ca="1">IF('Stock Price'!$I$11="OK",F1042/INDEX(F$5:F$1258,'Stock Price'!$I$9)-1,"")</f>
        <v>1.368442877876852E-2</v>
      </c>
      <c r="T1042" s="19">
        <f ca="1">IF('Stock Price'!$I$11="OK",G1042/INDEX(G$5:G$1258,'Stock Price'!$I$9)-1,"")</f>
        <v>-0.28986842105263155</v>
      </c>
      <c r="U1042" s="19">
        <f ca="1">IF('Stock Price'!$I$11="OK",H1042/INDEX(H$5:H$1258,'Stock Price'!$I$9)-1,"")</f>
        <v>-0.10784405824330678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127.31</v>
      </c>
      <c r="C1043" s="18">
        <v>182.58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-8.1059621769885903E-2</v>
      </c>
      <c r="P1043" s="19">
        <f ca="1">IF('Stock Price'!$I$11="OK",C1043/INDEX(C$5:C$1258,'Stock Price'!$I$9)-1,"")</f>
        <v>-5.2004926782533989E-4</v>
      </c>
      <c r="Q1043" s="19">
        <f ca="1">IF('Stock Price'!$I$11="OK",D1043/INDEX(D$5:D$1258,'Stock Price'!$I$9)-1,"")</f>
        <v>-4.9163812210356705E-2</v>
      </c>
      <c r="R1043" s="19">
        <f ca="1">IF('Stock Price'!$I$11="OK",E1043/INDEX(E$5:E$1258,'Stock Price'!$I$9)-1,"")</f>
        <v>-4.7424684159378172E-2</v>
      </c>
      <c r="S1043" s="19">
        <f ca="1">IF('Stock Price'!$I$11="OK",F1043/INDEX(F$5:F$1258,'Stock Price'!$I$9)-1,"")</f>
        <v>2.9027576197387717E-2</v>
      </c>
      <c r="T1043" s="19">
        <f ca="1">IF('Stock Price'!$I$11="OK",G1043/INDEX(G$5:G$1258,'Stock Price'!$I$9)-1,"")</f>
        <v>-0.27407894736842098</v>
      </c>
      <c r="U1043" s="19">
        <f ca="1">IF('Stock Price'!$I$11="OK",H1043/INDEX(H$5:H$1258,'Stock Price'!$I$9)-1,"")</f>
        <v>-8.1634570220760927E-2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126.54</v>
      </c>
      <c r="C1044" s="18">
        <v>182.7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-8.6617583369423934E-2</v>
      </c>
      <c r="P1044" s="19">
        <f ca="1">IF('Stock Price'!$I$11="OK",C1044/INDEX(C$5:C$1258,'Stock Price'!$I$9)-1,"")</f>
        <v>1.3685507048033507E-4</v>
      </c>
      <c r="Q1044" s="19">
        <f ca="1">IF('Stock Price'!$I$11="OK",D1044/INDEX(D$5:D$1258,'Stock Price'!$I$9)-1,"")</f>
        <v>-5.3193632883336672E-2</v>
      </c>
      <c r="R1044" s="19">
        <f ca="1">IF('Stock Price'!$I$11="OK",E1044/INDEX(E$5:E$1258,'Stock Price'!$I$9)-1,"")</f>
        <v>-7.5024295432458699E-2</v>
      </c>
      <c r="S1044" s="19">
        <f ca="1">IF('Stock Price'!$I$11="OK",F1044/INDEX(F$5:F$1258,'Stock Price'!$I$9)-1,"")</f>
        <v>1.9075264358283217E-2</v>
      </c>
      <c r="T1044" s="19">
        <f ca="1">IF('Stock Price'!$I$11="OK",G1044/INDEX(G$5:G$1258,'Stock Price'!$I$9)-1,"")</f>
        <v>-0.19486842105263158</v>
      </c>
      <c r="U1044" s="19">
        <f ca="1">IF('Stock Price'!$I$11="OK",H1044/INDEX(H$5:H$1258,'Stock Price'!$I$9)-1,"")</f>
        <v>-5.6834194457491716E-2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130.26</v>
      </c>
      <c r="C1045" s="18">
        <v>187.72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-5.9766132524902593E-2</v>
      </c>
      <c r="P1045" s="19">
        <f ca="1">IF('Stock Price'!$I$11="OK",C1045/INDEX(C$5:C$1258,'Stock Price'!$I$9)-1,"")</f>
        <v>2.7617353222936902E-2</v>
      </c>
      <c r="Q1045" s="19">
        <f ca="1">IF('Stock Price'!$I$11="OK",D1045/INDEX(D$5:D$1258,'Stock Price'!$I$9)-1,"")</f>
        <v>-4.1910134998992654E-2</v>
      </c>
      <c r="R1045" s="19">
        <f ca="1">IF('Stock Price'!$I$11="OK",E1045/INDEX(E$5:E$1258,'Stock Price'!$I$9)-1,"")</f>
        <v>-5.4810495626822164E-2</v>
      </c>
      <c r="S1045" s="19">
        <f ca="1">IF('Stock Price'!$I$11="OK",F1045/INDEX(F$5:F$1258,'Stock Price'!$I$9)-1,"")</f>
        <v>4.2504665146174681E-2</v>
      </c>
      <c r="T1045" s="19">
        <f ca="1">IF('Stock Price'!$I$11="OK",G1045/INDEX(G$5:G$1258,'Stock Price'!$I$9)-1,"")</f>
        <v>-0.18868421052631579</v>
      </c>
      <c r="U1045" s="19">
        <f ca="1">IF('Stock Price'!$I$11="OK",H1045/INDEX(H$5:H$1258,'Stock Price'!$I$9)-1,"")</f>
        <v>-7.4213245655238014E-3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130.44</v>
      </c>
      <c r="C1046" s="18">
        <v>188.5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-5.8466868774361136E-2</v>
      </c>
      <c r="P1046" s="19">
        <f ca="1">IF('Stock Price'!$I$11="OK",C1046/INDEX(C$5:C$1258,'Stock Price'!$I$9)-1,"")</f>
        <v>3.1887231421924067E-2</v>
      </c>
      <c r="Q1046" s="19">
        <f ca="1">IF('Stock Price'!$I$11="OK",D1046/INDEX(D$5:D$1258,'Stock Price'!$I$9)-1,"")</f>
        <v>-3.2440056417489371E-2</v>
      </c>
      <c r="R1046" s="19">
        <f ca="1">IF('Stock Price'!$I$11="OK",E1046/INDEX(E$5:E$1258,'Stock Price'!$I$9)-1,"")</f>
        <v>-5.7920310981535494E-2</v>
      </c>
      <c r="S1046" s="19">
        <f ca="1">IF('Stock Price'!$I$11="OK",F1046/INDEX(F$5:F$1258,'Stock Price'!$I$9)-1,"")</f>
        <v>3.7321169396641096E-2</v>
      </c>
      <c r="T1046" s="19">
        <f ca="1">IF('Stock Price'!$I$11="OK",G1046/INDEX(G$5:G$1258,'Stock Price'!$I$9)-1,"")</f>
        <v>-0.20105263157894737</v>
      </c>
      <c r="U1046" s="19">
        <f ca="1">IF('Stock Price'!$I$11="OK",H1046/INDEX(H$5:H$1258,'Stock Price'!$I$9)-1,"")</f>
        <v>-1.7097228745890147E-2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130.4</v>
      </c>
      <c r="C1047" s="18">
        <v>183.74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-5.8755594052259164E-2</v>
      </c>
      <c r="P1047" s="19">
        <f ca="1">IF('Stock Price'!$I$11="OK",C1047/INDEX(C$5:C$1258,'Stock Price'!$I$9)-1,"")</f>
        <v>5.8300260024632955E-3</v>
      </c>
      <c r="Q1047" s="19">
        <f ca="1">IF('Stock Price'!$I$11="OK",D1047/INDEX(D$5:D$1258,'Stock Price'!$I$9)-1,"")</f>
        <v>-3.5663912955873567E-2</v>
      </c>
      <c r="R1047" s="19">
        <f ca="1">IF('Stock Price'!$I$11="OK",E1047/INDEX(E$5:E$1258,'Stock Price'!$I$9)-1,"")</f>
        <v>-7.0359572400388815E-2</v>
      </c>
      <c r="S1047" s="19">
        <f ca="1">IF('Stock Price'!$I$11="OK",F1047/INDEX(F$5:F$1258,'Stock Price'!$I$9)-1,"")</f>
        <v>3.4211071946921079E-2</v>
      </c>
      <c r="T1047" s="19">
        <f ca="1">IF('Stock Price'!$I$11="OK",G1047/INDEX(G$5:G$1258,'Stock Price'!$I$9)-1,"")</f>
        <v>-0.19776315789473686</v>
      </c>
      <c r="U1047" s="19">
        <f ca="1">IF('Stock Price'!$I$11="OK",H1047/INDEX(H$5:H$1258,'Stock Price'!$I$9)-1,"")</f>
        <v>-1.5218412400187953E-2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128.97</v>
      </c>
      <c r="C1048" s="18">
        <v>180.35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-6.9077522737115538E-2</v>
      </c>
      <c r="P1048" s="19">
        <f ca="1">IF('Stock Price'!$I$11="OK",C1048/INDEX(C$5:C$1258,'Stock Price'!$I$9)-1,"")</f>
        <v>-1.2727521554673715E-2</v>
      </c>
      <c r="Q1048" s="19">
        <f ca="1">IF('Stock Price'!$I$11="OK",D1048/INDEX(D$5:D$1258,'Stock Price'!$I$9)-1,"")</f>
        <v>-4.9163812210356705E-2</v>
      </c>
      <c r="R1048" s="19">
        <f ca="1">IF('Stock Price'!$I$11="OK",E1048/INDEX(E$5:E$1258,'Stock Price'!$I$9)-1,"")</f>
        <v>-7.6579203109815475E-2</v>
      </c>
      <c r="S1048" s="19">
        <f ca="1">IF('Stock Price'!$I$11="OK",F1048/INDEX(F$5:F$1258,'Stock Price'!$I$9)-1,"")</f>
        <v>3.566245075679042E-2</v>
      </c>
      <c r="T1048" s="19">
        <f ca="1">IF('Stock Price'!$I$11="OK",G1048/INDEX(G$5:G$1258,'Stock Price'!$I$9)-1,"")</f>
        <v>-0.19815789473684209</v>
      </c>
      <c r="U1048" s="19">
        <f ca="1">IF('Stock Price'!$I$11="OK",H1048/INDEX(H$5:H$1258,'Stock Price'!$I$9)-1,"")</f>
        <v>-4.3400657585721092E-2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132.28</v>
      </c>
      <c r="C1049" s="18">
        <v>179.09989999999999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-4.5185505991049424E-2</v>
      </c>
      <c r="P1049" s="19">
        <f ca="1">IF('Stock Price'!$I$11="OK",C1049/INDEX(C$5:C$1258,'Stock Price'!$I$9)-1,"")</f>
        <v>-1.9570822498973683E-2</v>
      </c>
      <c r="Q1049" s="19">
        <f ca="1">IF('Stock Price'!$I$11="OK",D1049/INDEX(D$5:D$1258,'Stock Price'!$I$9)-1,"")</f>
        <v>-2.740278057626433E-2</v>
      </c>
      <c r="R1049" s="19">
        <f ca="1">IF('Stock Price'!$I$11="OK",E1049/INDEX(E$5:E$1258,'Stock Price'!$I$9)-1,"")</f>
        <v>-5.344995140913511E-2</v>
      </c>
      <c r="S1049" s="19">
        <f ca="1">IF('Stock Price'!$I$11="OK",F1049/INDEX(F$5:F$1258,'Stock Price'!$I$9)-1,"")</f>
        <v>3.3589052456977075E-2</v>
      </c>
      <c r="T1049" s="19">
        <f ca="1">IF('Stock Price'!$I$11="OK",G1049/INDEX(G$5:G$1258,'Stock Price'!$I$9)-1,"")</f>
        <v>-0.10131578947368425</v>
      </c>
      <c r="U1049" s="19">
        <f ca="1">IF('Stock Price'!$I$11="OK",H1049/INDEX(H$5:H$1258,'Stock Price'!$I$9)-1,"")</f>
        <v>-5.091592296852987E-2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133.72</v>
      </c>
      <c r="C1050" s="18">
        <v>183.27500000000001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-3.4791395986718543E-2</v>
      </c>
      <c r="P1050" s="19">
        <f ca="1">IF('Stock Price'!$I$11="OK",C1050/INDEX(C$5:C$1258,'Stock Price'!$I$9)-1,"")</f>
        <v>3.2845216915287079E-3</v>
      </c>
      <c r="Q1050" s="19">
        <f ca="1">IF('Stock Price'!$I$11="OK",D1050/INDEX(D$5:D$1258,'Stock Price'!$I$9)-1,"")</f>
        <v>-1.3298408220834279E-2</v>
      </c>
      <c r="R1050" s="19">
        <f ca="1">IF('Stock Price'!$I$11="OK",E1050/INDEX(E$5:E$1258,'Stock Price'!$I$9)-1,"")</f>
        <v>-4.9173955296404337E-2</v>
      </c>
      <c r="S1050" s="19">
        <f ca="1">IF('Stock Price'!$I$11="OK",F1050/INDEX(F$5:F$1258,'Stock Price'!$I$9)-1,"")</f>
        <v>3.0271615177275502E-2</v>
      </c>
      <c r="T1050" s="19">
        <f ca="1">IF('Stock Price'!$I$11="OK",G1050/INDEX(G$5:G$1258,'Stock Price'!$I$9)-1,"")</f>
        <v>-9.8684210526315819E-2</v>
      </c>
      <c r="U1050" s="19">
        <f ca="1">IF('Stock Price'!$I$11="OK",H1050/INDEX(H$5:H$1258,'Stock Price'!$I$9)-1,"")</f>
        <v>-3.9267261625176242E-2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132.43</v>
      </c>
      <c r="C1051" s="18">
        <v>183.27500000000001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-4.4102786198931598E-2</v>
      </c>
      <c r="P1051" s="19">
        <f ca="1">IF('Stock Price'!$I$11="OK",C1051/INDEX(C$5:C$1258,'Stock Price'!$I$9)-1,"")</f>
        <v>3.2845216915287079E-3</v>
      </c>
      <c r="Q1051" s="19">
        <f ca="1">IF('Stock Price'!$I$11="OK",D1051/INDEX(D$5:D$1258,'Stock Price'!$I$9)-1,"")</f>
        <v>-2.1358049566794324E-2</v>
      </c>
      <c r="R1051" s="19">
        <f ca="1">IF('Stock Price'!$I$11="OK",E1051/INDEX(E$5:E$1258,'Stock Price'!$I$9)-1,"")</f>
        <v>-6.3168124392614211E-2</v>
      </c>
      <c r="S1051" s="19">
        <f ca="1">IF('Stock Price'!$I$11="OK",F1051/INDEX(F$5:F$1258,'Stock Price'!$I$9)-1,"")</f>
        <v>1.3891768608749855E-2</v>
      </c>
      <c r="T1051" s="19">
        <f ca="1">IF('Stock Price'!$I$11="OK",G1051/INDEX(G$5:G$1258,'Stock Price'!$I$9)-1,"")</f>
        <v>-0.11644736842105252</v>
      </c>
      <c r="U1051" s="19">
        <f ca="1">IF('Stock Price'!$I$11="OK",H1051/INDEX(H$5:H$1258,'Stock Price'!$I$9)-1,"")</f>
        <v>-5.2231094410521428E-2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132.16</v>
      </c>
      <c r="C1052" s="18">
        <v>179.48750000000001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-4.6051681824743729E-2</v>
      </c>
      <c r="P1052" s="19">
        <f ca="1">IF('Stock Price'!$I$11="OK",C1052/INDEX(C$5:C$1258,'Stock Price'!$I$9)-1,"")</f>
        <v>-1.7449021486246052E-2</v>
      </c>
      <c r="Q1052" s="19">
        <f ca="1">IF('Stock Price'!$I$11="OK",D1052/INDEX(D$5:D$1258,'Stock Price'!$I$9)-1,"")</f>
        <v>-2.4581906105178408E-2</v>
      </c>
      <c r="R1052" s="19">
        <f ca="1">IF('Stock Price'!$I$11="OK",E1052/INDEX(E$5:E$1258,'Stock Price'!$I$9)-1,"")</f>
        <v>-5.6948493683187551E-2</v>
      </c>
      <c r="S1052" s="19">
        <f ca="1">IF('Stock Price'!$I$11="OK",F1052/INDEX(F$5:F$1258,'Stock Price'!$I$9)-1,"")</f>
        <v>2.695417789757415E-2</v>
      </c>
      <c r="T1052" s="19">
        <f ca="1">IF('Stock Price'!$I$11="OK",G1052/INDEX(G$5:G$1258,'Stock Price'!$I$9)-1,"")</f>
        <v>-0.12355263157894736</v>
      </c>
      <c r="U1052" s="19">
        <f ca="1">IF('Stock Price'!$I$11="OK",H1052/INDEX(H$5:H$1258,'Stock Price'!$I$9)-1,"")</f>
        <v>-6.3222170032879332E-2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130.16999999999999</v>
      </c>
      <c r="C1053" s="18">
        <v>180.94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-6.0415764400173266E-2</v>
      </c>
      <c r="P1053" s="19">
        <f ca="1">IF('Stock Price'!$I$11="OK",C1053/INDEX(C$5:C$1258,'Stock Price'!$I$9)-1,"")</f>
        <v>-9.4977418913371192E-3</v>
      </c>
      <c r="Q1053" s="19">
        <f ca="1">IF('Stock Price'!$I$11="OK",D1053/INDEX(D$5:D$1258,'Stock Price'!$I$9)-1,"")</f>
        <v>-2.3372959903284363E-2</v>
      </c>
      <c r="R1053" s="19">
        <f ca="1">IF('Stock Price'!$I$11="OK",E1053/INDEX(E$5:E$1258,'Stock Price'!$I$9)-1,"")</f>
        <v>-4.9562682215743559E-2</v>
      </c>
      <c r="S1053" s="19">
        <f ca="1">IF('Stock Price'!$I$11="OK",F1053/INDEX(F$5:F$1258,'Stock Price'!$I$9)-1,"")</f>
        <v>4.3541364296082463E-3</v>
      </c>
      <c r="T1053" s="19">
        <f ca="1">IF('Stock Price'!$I$11="OK",G1053/INDEX(G$5:G$1258,'Stock Price'!$I$9)-1,"")</f>
        <v>-8.2368421052631646E-2</v>
      </c>
      <c r="U1053" s="19">
        <f ca="1">IF('Stock Price'!$I$11="OK",H1053/INDEX(H$5:H$1258,'Stock Price'!$I$9)-1,"")</f>
        <v>-7.0643494598402912E-2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131.01</v>
      </c>
      <c r="C1054" s="18">
        <v>179.09989999999999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-5.4352533564313577E-2</v>
      </c>
      <c r="P1054" s="19">
        <f ca="1">IF('Stock Price'!$I$11="OK",C1054/INDEX(C$5:C$1258,'Stock Price'!$I$9)-1,"")</f>
        <v>-1.9570822498973683E-2</v>
      </c>
      <c r="Q1054" s="19">
        <f ca="1">IF('Stock Price'!$I$11="OK",D1054/INDEX(D$5:D$1258,'Stock Price'!$I$9)-1,"")</f>
        <v>-4.7551883941164608E-2</v>
      </c>
      <c r="R1054" s="19">
        <f ca="1">IF('Stock Price'!$I$11="OK",E1054/INDEX(E$5:E$1258,'Stock Price'!$I$9)-1,"")</f>
        <v>-5.344995140913511E-2</v>
      </c>
      <c r="S1054" s="19">
        <f ca="1">IF('Stock Price'!$I$11="OK",F1054/INDEX(F$5:F$1258,'Stock Price'!$I$9)-1,"")</f>
        <v>-8.2935931992536016E-3</v>
      </c>
      <c r="T1054" s="19">
        <f ca="1">IF('Stock Price'!$I$11="OK",G1054/INDEX(G$5:G$1258,'Stock Price'!$I$9)-1,"")</f>
        <v>-4.4473684210526221E-2</v>
      </c>
      <c r="U1054" s="19">
        <f ca="1">IF('Stock Price'!$I$11="OK",H1054/INDEX(H$5:H$1258,'Stock Price'!$I$9)-1,"")</f>
        <v>-8.9807421324565539E-2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131.19</v>
      </c>
      <c r="C1055" s="18">
        <v>181.92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-5.3053269813772119E-2</v>
      </c>
      <c r="P1055" s="19">
        <f ca="1">IF('Stock Price'!$I$11="OK",C1055/INDEX(C$5:C$1258,'Stock Price'!$I$9)-1,"")</f>
        <v>-4.1330231285070518E-3</v>
      </c>
      <c r="Q1055" s="19">
        <f ca="1">IF('Stock Price'!$I$11="OK",D1055/INDEX(D$5:D$1258,'Stock Price'!$I$9)-1,"")</f>
        <v>-2.4581906105178408E-2</v>
      </c>
      <c r="R1055" s="19">
        <f ca="1">IF('Stock Price'!$I$11="OK",E1055/INDEX(E$5:E$1258,'Stock Price'!$I$9)-1,"")</f>
        <v>-1.9825072886297423E-2</v>
      </c>
      <c r="S1055" s="19">
        <f ca="1">IF('Stock Price'!$I$11="OK",F1055/INDEX(F$5:F$1258,'Stock Price'!$I$9)-1,"")</f>
        <v>6.2201948994400347E-4</v>
      </c>
      <c r="T1055" s="19">
        <f ca="1">IF('Stock Price'!$I$11="OK",G1055/INDEX(G$5:G$1258,'Stock Price'!$I$9)-1,"")</f>
        <v>-3.6447368421052562E-2</v>
      </c>
      <c r="U1055" s="19">
        <f ca="1">IF('Stock Price'!$I$11="OK",H1055/INDEX(H$5:H$1258,'Stock Price'!$I$9)-1,"")</f>
        <v>-8.2949741662752485E-2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132.36000000000001</v>
      </c>
      <c r="C1056" s="18">
        <v>181.92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-4.4608055435253258E-2</v>
      </c>
      <c r="P1056" s="19">
        <f ca="1">IF('Stock Price'!$I$11="OK",C1056/INDEX(C$5:C$1258,'Stock Price'!$I$9)-1,"")</f>
        <v>-4.1330231285070518E-3</v>
      </c>
      <c r="Q1056" s="19">
        <f ca="1">IF('Stock Price'!$I$11="OK",D1056/INDEX(D$5:D$1258,'Stock Price'!$I$9)-1,"")</f>
        <v>-1.5111827523675236E-2</v>
      </c>
      <c r="R1056" s="19">
        <f ca="1">IF('Stock Price'!$I$11="OK",E1056/INDEX(E$5:E$1258,'Stock Price'!$I$9)-1,"")</f>
        <v>-2.7793974732750248E-2</v>
      </c>
      <c r="S1056" s="19">
        <f ca="1">IF('Stock Price'!$I$11="OK",F1056/INDEX(F$5:F$1258,'Stock Price'!$I$9)-1,"")</f>
        <v>1.3062409288824517E-2</v>
      </c>
      <c r="T1056" s="19">
        <f ca="1">IF('Stock Price'!$I$11="OK",G1056/INDEX(G$5:G$1258,'Stock Price'!$I$9)-1,"")</f>
        <v>-4.3947368421052624E-2</v>
      </c>
      <c r="U1056" s="19">
        <f ca="1">IF('Stock Price'!$I$11="OK",H1056/INDEX(H$5:H$1258,'Stock Price'!$I$9)-1,"")</f>
        <v>-6.9891968060122101E-2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132.57</v>
      </c>
      <c r="C1057" s="18">
        <v>181.92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-4.3092247726288391E-2</v>
      </c>
      <c r="P1057" s="19">
        <f ca="1">IF('Stock Price'!$I$11="OK",C1057/INDEX(C$5:C$1258,'Stock Price'!$I$9)-1,"")</f>
        <v>-4.1330231285070518E-3</v>
      </c>
      <c r="Q1057" s="19">
        <f ca="1">IF('Stock Price'!$I$11="OK",D1057/INDEX(D$5:D$1258,'Stock Price'!$I$9)-1,"")</f>
        <v>-1.6522264759218253E-2</v>
      </c>
      <c r="R1057" s="19">
        <f ca="1">IF('Stock Price'!$I$11="OK",E1057/INDEX(E$5:E$1258,'Stock Price'!$I$9)-1,"")</f>
        <v>-2.7405247813411138E-2</v>
      </c>
      <c r="S1057" s="19">
        <f ca="1">IF('Stock Price'!$I$11="OK",F1057/INDEX(F$5:F$1258,'Stock Price'!$I$9)-1,"")</f>
        <v>9.3302923491602741E-3</v>
      </c>
      <c r="T1057" s="19">
        <f ca="1">IF('Stock Price'!$I$11="OK",G1057/INDEX(G$5:G$1258,'Stock Price'!$I$9)-1,"")</f>
        <v>-3.9473684210526327E-2</v>
      </c>
      <c r="U1057" s="19">
        <f ca="1">IF('Stock Price'!$I$11="OK",H1057/INDEX(H$5:H$1258,'Stock Price'!$I$9)-1,"")</f>
        <v>-5.7773602630342924E-2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135.19</v>
      </c>
      <c r="C1058" s="18">
        <v>183.86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-2.4180742023964141E-2</v>
      </c>
      <c r="P1058" s="19">
        <f ca="1">IF('Stock Price'!$I$11="OK",C1058/INDEX(C$5:C$1258,'Stock Price'!$I$9)-1,"")</f>
        <v>6.4869303407690815E-3</v>
      </c>
      <c r="Q1058" s="19">
        <f ca="1">IF('Stock Price'!$I$11="OK",D1058/INDEX(D$5:D$1258,'Stock Price'!$I$9)-1,"")</f>
        <v>-7.8581503123110741E-3</v>
      </c>
      <c r="R1058" s="19">
        <f ca="1">IF('Stock Price'!$I$11="OK",E1058/INDEX(E$5:E$1258,'Stock Price'!$I$9)-1,"")</f>
        <v>-4.4703595724004952E-3</v>
      </c>
      <c r="S1058" s="19">
        <f ca="1">IF('Stock Price'!$I$11="OK",F1058/INDEX(F$5:F$1258,'Stock Price'!$I$9)-1,"")</f>
        <v>-8.5009330292348251E-3</v>
      </c>
      <c r="T1058" s="19">
        <f ca="1">IF('Stock Price'!$I$11="OK",G1058/INDEX(G$5:G$1258,'Stock Price'!$I$9)-1,"")</f>
        <v>-5.2631578947368474E-2</v>
      </c>
      <c r="U1058" s="19">
        <f ca="1">IF('Stock Price'!$I$11="OK",H1058/INDEX(H$5:H$1258,'Stock Price'!$I$9)-1,"")</f>
        <v>-5.8149365899483274E-2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135.03</v>
      </c>
      <c r="C1059" s="18">
        <v>183.86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-2.5335643135556474E-2</v>
      </c>
      <c r="P1059" s="19">
        <f ca="1">IF('Stock Price'!$I$11="OK",C1059/INDEX(C$5:C$1258,'Stock Price'!$I$9)-1,"")</f>
        <v>6.4869303407690815E-3</v>
      </c>
      <c r="Q1059" s="19">
        <f ca="1">IF('Stock Price'!$I$11="OK",D1059/INDEX(D$5:D$1258,'Stock Price'!$I$9)-1,"")</f>
        <v>-1.7126737860165275E-2</v>
      </c>
      <c r="R1059" s="19">
        <f ca="1">IF('Stock Price'!$I$11="OK",E1059/INDEX(E$5:E$1258,'Stock Price'!$I$9)-1,"")</f>
        <v>-2.3712342079689086E-2</v>
      </c>
      <c r="S1059" s="19">
        <f ca="1">IF('Stock Price'!$I$11="OK",F1059/INDEX(F$5:F$1258,'Stock Price'!$I$9)-1,"")</f>
        <v>-1.6379846568525758E-2</v>
      </c>
      <c r="T1059" s="19">
        <f ca="1">IF('Stock Price'!$I$11="OK",G1059/INDEX(G$5:G$1258,'Stock Price'!$I$9)-1,"")</f>
        <v>-7.7500000000000013E-2</v>
      </c>
      <c r="U1059" s="19">
        <f ca="1">IF('Stock Price'!$I$11="OK",H1059/INDEX(H$5:H$1258,'Stock Price'!$I$9)-1,"")</f>
        <v>-7.6843588539220353E-2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135.03</v>
      </c>
      <c r="C1060" s="18">
        <v>184.75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-2.5335643135556474E-2</v>
      </c>
      <c r="P1060" s="19">
        <f ca="1">IF('Stock Price'!$I$11="OK",C1060/INDEX(C$5:C$1258,'Stock Price'!$I$9)-1,"")</f>
        <v>1.1358970849870031E-2</v>
      </c>
      <c r="Q1060" s="19">
        <f ca="1">IF('Stock Price'!$I$11="OK",D1060/INDEX(D$5:D$1258,'Stock Price'!$I$9)-1,"")</f>
        <v>-1.8537175095708291E-2</v>
      </c>
      <c r="R1060" s="19">
        <f ca="1">IF('Stock Price'!$I$11="OK",E1060/INDEX(E$5:E$1258,'Stock Price'!$I$9)-1,"")</f>
        <v>-3.5957240038872684E-2</v>
      </c>
      <c r="S1060" s="19">
        <f ca="1">IF('Stock Price'!$I$11="OK",F1060/INDEX(F$5:F$1258,'Stock Price'!$I$9)-1,"")</f>
        <v>-1.8660584698320104E-3</v>
      </c>
      <c r="T1060" s="19">
        <f ca="1">IF('Stock Price'!$I$11="OK",G1060/INDEX(G$5:G$1258,'Stock Price'!$I$9)-1,"")</f>
        <v>-7.6184210526315854E-2</v>
      </c>
      <c r="U1060" s="19">
        <f ca="1">IF('Stock Price'!$I$11="OK",H1060/INDEX(H$5:H$1258,'Stock Price'!$I$9)-1,"")</f>
        <v>-6.8294974166275169E-2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135.27000000000001</v>
      </c>
      <c r="C1061" s="18">
        <v>180.53989999999999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-2.3603291468167864E-2</v>
      </c>
      <c r="P1061" s="19">
        <f ca="1">IF('Stock Price'!$I$11="OK",C1061/INDEX(C$5:C$1258,'Stock Price'!$I$9)-1,"")</f>
        <v>-1.1687970439304918E-2</v>
      </c>
      <c r="Q1061" s="19">
        <f ca="1">IF('Stock Price'!$I$11="OK",D1061/INDEX(D$5:D$1258,'Stock Price'!$I$9)-1,"")</f>
        <v>-2.6999798508966388E-2</v>
      </c>
      <c r="R1061" s="19">
        <f ca="1">IF('Stock Price'!$I$11="OK",E1061/INDEX(E$5:E$1258,'Stock Price'!$I$9)-1,"")</f>
        <v>-2.2934888241010642E-2</v>
      </c>
      <c r="S1061" s="19">
        <f ca="1">IF('Stock Price'!$I$11="OK",F1061/INDEX(F$5:F$1258,'Stock Price'!$I$9)-1,"")</f>
        <v>-4.9761559195520277E-3</v>
      </c>
      <c r="T1061" s="19">
        <f ca="1">IF('Stock Price'!$I$11="OK",G1061/INDEX(G$5:G$1258,'Stock Price'!$I$9)-1,"")</f>
        <v>-7.1052631578947478E-2</v>
      </c>
      <c r="U1061" s="19">
        <f ca="1">IF('Stock Price'!$I$11="OK",H1061/INDEX(H$5:H$1258,'Stock Price'!$I$9)-1,"")</f>
        <v>-5.4109910756223623E-2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136.06</v>
      </c>
      <c r="C1062" s="18">
        <v>181.23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-1.7900967229680931E-2</v>
      </c>
      <c r="P1062" s="19">
        <f ca="1">IF('Stock Price'!$I$11="OK",C1062/INDEX(C$5:C$1258,'Stock Price'!$I$9)-1,"")</f>
        <v>-7.9102230737649881E-3</v>
      </c>
      <c r="Q1062" s="19">
        <f ca="1">IF('Stock Price'!$I$11="OK",D1062/INDEX(D$5:D$1258,'Stock Price'!$I$9)-1,"")</f>
        <v>-2.055208543219833E-2</v>
      </c>
      <c r="R1062" s="19">
        <f ca="1">IF('Stock Price'!$I$11="OK",E1062/INDEX(E$5:E$1258,'Stock Price'!$I$9)-1,"")</f>
        <v>-4.8590864917396059E-3</v>
      </c>
      <c r="S1062" s="19">
        <f ca="1">IF('Stock Price'!$I$11="OK",F1062/INDEX(F$5:F$1258,'Stock Price'!$I$9)-1,"")</f>
        <v>-1.0366991499066724E-3</v>
      </c>
      <c r="T1062" s="19">
        <f ca="1">IF('Stock Price'!$I$11="OK",G1062/INDEX(G$5:G$1258,'Stock Price'!$I$9)-1,"")</f>
        <v>-5.57894736842105E-2</v>
      </c>
      <c r="U1062" s="19">
        <f ca="1">IF('Stock Price'!$I$11="OK",H1062/INDEX(H$5:H$1258,'Stock Price'!$I$9)-1,"")</f>
        <v>-5.0352278064819123E-2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136.87</v>
      </c>
      <c r="C1063" s="18">
        <v>180.75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-1.2054280352244762E-2</v>
      </c>
      <c r="P1063" s="19">
        <f ca="1">IF('Stock Price'!$I$11="OK",C1063/INDEX(C$5:C$1258,'Stock Price'!$I$9)-1,"")</f>
        <v>-1.053784042698791E-2</v>
      </c>
      <c r="Q1063" s="19">
        <f ca="1">IF('Stock Price'!$I$11="OK",D1063/INDEX(D$5:D$1258,'Stock Price'!$I$9)-1,"")</f>
        <v>-2.0955067499496272E-2</v>
      </c>
      <c r="R1063" s="19">
        <f ca="1">IF('Stock Price'!$I$11="OK",E1063/INDEX(E$5:E$1258,'Stock Price'!$I$9)-1,"")</f>
        <v>-1.1661807580175543E-3</v>
      </c>
      <c r="S1063" s="19">
        <f ca="1">IF('Stock Price'!$I$11="OK",F1063/INDEX(F$5:F$1258,'Stock Price'!$I$9)-1,"")</f>
        <v>-4.1467965996266898E-3</v>
      </c>
      <c r="T1063" s="19">
        <f ca="1">IF('Stock Price'!$I$11="OK",G1063/INDEX(G$5:G$1258,'Stock Price'!$I$9)-1,"")</f>
        <v>-6.6973684210526407E-2</v>
      </c>
      <c r="U1063" s="19">
        <f ca="1">IF('Stock Price'!$I$11="OK",H1063/INDEX(H$5:H$1258,'Stock Price'!$I$9)-1,"")</f>
        <v>-1.6251761390324138E-2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139.13</v>
      </c>
      <c r="C1064" s="18">
        <v>183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4.2586978489966842E-3</v>
      </c>
      <c r="P1064" s="19">
        <f ca="1">IF('Stock Price'!$I$11="OK",C1064/INDEX(C$5:C$1258,'Stock Price'!$I$9)-1,"")</f>
        <v>1.779115916244578E-3</v>
      </c>
      <c r="Q1064" s="19">
        <f ca="1">IF('Stock Price'!$I$11="OK",D1064/INDEX(D$5:D$1258,'Stock Price'!$I$9)-1,"")</f>
        <v>-1.5716300624622259E-2</v>
      </c>
      <c r="R1064" s="19">
        <f ca="1">IF('Stock Price'!$I$11="OK",E1064/INDEX(E$5:E$1258,'Stock Price'!$I$9)-1,"")</f>
        <v>2.215743440233231E-2</v>
      </c>
      <c r="S1064" s="19">
        <f ca="1">IF('Stock Price'!$I$11="OK",F1064/INDEX(F$5:F$1258,'Stock Price'!$I$9)-1,"")</f>
        <v>1.8660584698322324E-3</v>
      </c>
      <c r="T1064" s="19">
        <f ca="1">IF('Stock Price'!$I$11="OK",G1064/INDEX(G$5:G$1258,'Stock Price'!$I$9)-1,"")</f>
        <v>-5.4210526315789487E-2</v>
      </c>
      <c r="U1064" s="19">
        <f ca="1">IF('Stock Price'!$I$11="OK",H1064/INDEX(H$5:H$1258,'Stock Price'!$I$9)-1,"")</f>
        <v>-1.324565523720056E-2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138.88</v>
      </c>
      <c r="C1065" s="18">
        <v>186.4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2.4541648621336787E-3</v>
      </c>
      <c r="P1065" s="19">
        <f ca="1">IF('Stock Price'!$I$11="OK",C1065/INDEX(C$5:C$1258,'Stock Price'!$I$9)-1,"")</f>
        <v>2.0391405501573701E-2</v>
      </c>
      <c r="Q1065" s="19">
        <f ca="1">IF('Stock Price'!$I$11="OK",D1065/INDEX(D$5:D$1258,'Stock Price'!$I$9)-1,"")</f>
        <v>-1.349989925448325E-2</v>
      </c>
      <c r="R1065" s="19">
        <f ca="1">IF('Stock Price'!$I$11="OK",E1065/INDEX(E$5:E$1258,'Stock Price'!$I$9)-1,"")</f>
        <v>2.0991253644314867E-2</v>
      </c>
      <c r="S1065" s="19">
        <f ca="1">IF('Stock Price'!$I$11="OK",F1065/INDEX(F$5:F$1258,'Stock Price'!$I$9)-1,"")</f>
        <v>2.6954177897575704E-3</v>
      </c>
      <c r="T1065" s="19">
        <f ca="1">IF('Stock Price'!$I$11="OK",G1065/INDEX(G$5:G$1258,'Stock Price'!$I$9)-1,"")</f>
        <v>-5.4210526315789487E-2</v>
      </c>
      <c r="U1065" s="19">
        <f ca="1">IF('Stock Price'!$I$11="OK",H1065/INDEX(H$5:H$1258,'Stock Price'!$I$9)-1,"")</f>
        <v>0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139.18</v>
      </c>
      <c r="C1066" s="18">
        <v>181.27500000000001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4.6196044463693298E-3</v>
      </c>
      <c r="P1066" s="19">
        <f ca="1">IF('Stock Price'!$I$11="OK",C1066/INDEX(C$5:C$1258,'Stock Price'!$I$9)-1,"")</f>
        <v>-7.6638839469003184E-3</v>
      </c>
      <c r="Q1066" s="19">
        <f ca="1">IF('Stock Price'!$I$11="OK",D1066/INDEX(D$5:D$1258,'Stock Price'!$I$9)-1,"")</f>
        <v>-1.108200685069527E-2</v>
      </c>
      <c r="R1066" s="19">
        <f ca="1">IF('Stock Price'!$I$11="OK",E1066/INDEX(E$5:E$1258,'Stock Price'!$I$9)-1,"")</f>
        <v>2.0408163265306145E-2</v>
      </c>
      <c r="S1066" s="19">
        <f ca="1">IF('Stock Price'!$I$11="OK",F1066/INDEX(F$5:F$1258,'Stock Price'!$I$9)-1,"")</f>
        <v>4.9761559195522498E-3</v>
      </c>
      <c r="T1066" s="19">
        <f ca="1">IF('Stock Price'!$I$11="OK",G1066/INDEX(G$5:G$1258,'Stock Price'!$I$9)-1,"")</f>
        <v>-5.4210526315789487E-2</v>
      </c>
      <c r="U1066" s="19">
        <f ca="1">IF('Stock Price'!$I$11="OK",H1066/INDEX(H$5:H$1258,'Stock Price'!$I$9)-1,"")</f>
        <v>3.1000469704085543E-3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139.19999999999999</v>
      </c>
      <c r="C1067" s="18">
        <v>187.06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4.7639670853183436E-3</v>
      </c>
      <c r="P1067" s="19">
        <f ca="1">IF('Stock Price'!$I$11="OK",C1067/INDEX(C$5:C$1258,'Stock Price'!$I$9)-1,"")</f>
        <v>2.4004379362255301E-2</v>
      </c>
      <c r="Q1067" s="19">
        <f ca="1">IF('Stock Price'!$I$11="OK",D1067/INDEX(D$5:D$1258,'Stock Price'!$I$9)-1,"")</f>
        <v>-1.0477533749748247E-2</v>
      </c>
      <c r="R1067" s="19">
        <f ca="1">IF('Stock Price'!$I$11="OK",E1067/INDEX(E$5:E$1258,'Stock Price'!$I$9)-1,"")</f>
        <v>6.8027210884351597E-3</v>
      </c>
      <c r="S1067" s="19">
        <f ca="1">IF('Stock Price'!$I$11="OK",F1067/INDEX(F$5:F$1258,'Stock Price'!$I$9)-1,"")</f>
        <v>2.4880779597762359E-3</v>
      </c>
      <c r="T1067" s="19">
        <f ca="1">IF('Stock Price'!$I$11="OK",G1067/INDEX(G$5:G$1258,'Stock Price'!$I$9)-1,"")</f>
        <v>-4.1710526315789531E-2</v>
      </c>
      <c r="U1067" s="19">
        <f ca="1">IF('Stock Price'!$I$11="OK",H1067/INDEX(H$5:H$1258,'Stock Price'!$I$9)-1,"")</f>
        <v>1.5969938938469319E-3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138.72</v>
      </c>
      <c r="C1068" s="18">
        <v>180.85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1.2992637505413462E-3</v>
      </c>
      <c r="P1068" s="19">
        <f ca="1">IF('Stock Price'!$I$11="OK",C1068/INDEX(C$5:C$1258,'Stock Price'!$I$9)-1,"")</f>
        <v>-9.9904201450664587E-3</v>
      </c>
      <c r="Q1068" s="19">
        <f ca="1">IF('Stock Price'!$I$11="OK",D1068/INDEX(D$5:D$1258,'Stock Price'!$I$9)-1,"")</f>
        <v>-6.6492041104171395E-3</v>
      </c>
      <c r="R1068" s="19">
        <f ca="1">IF('Stock Price'!$I$11="OK",E1068/INDEX(E$5:E$1258,'Stock Price'!$I$9)-1,"")</f>
        <v>4.2759961127307733E-3</v>
      </c>
      <c r="S1068" s="19">
        <f ca="1">IF('Stock Price'!$I$11="OK",F1068/INDEX(F$5:F$1258,'Stock Price'!$I$9)-1,"")</f>
        <v>1.0574331329048503E-2</v>
      </c>
      <c r="T1068" s="19">
        <f ca="1">IF('Stock Price'!$I$11="OK",G1068/INDEX(G$5:G$1258,'Stock Price'!$I$9)-1,"")</f>
        <v>-2.6052631578947438E-2</v>
      </c>
      <c r="U1068" s="19">
        <f ca="1">IF('Stock Price'!$I$11="OK",H1068/INDEX(H$5:H$1258,'Stock Price'!$I$9)-1,"")</f>
        <v>-3.6636918741193014E-3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137.87</v>
      </c>
      <c r="C1069" s="18">
        <v>175.5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-4.8361484047927394E-3</v>
      </c>
      <c r="P1069" s="19">
        <f ca="1">IF('Stock Price'!$I$11="OK",C1069/INDEX(C$5:C$1258,'Stock Price'!$I$9)-1,"")</f>
        <v>-3.9277405227863715E-2</v>
      </c>
      <c r="Q1069" s="19">
        <f ca="1">IF('Stock Price'!$I$11="OK",D1069/INDEX(D$5:D$1258,'Stock Price'!$I$9)-1,"")</f>
        <v>-1.1887970985291263E-2</v>
      </c>
      <c r="R1069" s="19">
        <f ca="1">IF('Stock Price'!$I$11="OK",E1069/INDEX(E$5:E$1258,'Stock Price'!$I$9)-1,"")</f>
        <v>2.3323615160348865E-3</v>
      </c>
      <c r="S1069" s="19">
        <f ca="1">IF('Stock Price'!$I$11="OK",F1069/INDEX(F$5:F$1258,'Stock Price'!$I$9)-1,"")</f>
        <v>4.7688160895709153E-3</v>
      </c>
      <c r="T1069" s="19">
        <f ca="1">IF('Stock Price'!$I$11="OK",G1069/INDEX(G$5:G$1258,'Stock Price'!$I$9)-1,"")</f>
        <v>-2.6052631578947438E-2</v>
      </c>
      <c r="U1069" s="19">
        <f ca="1">IF('Stock Price'!$I$11="OK",H1069/INDEX(H$5:H$1258,'Stock Price'!$I$9)-1,"")</f>
        <v>-1.1178957256928079E-2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138.54</v>
      </c>
      <c r="C1070" s="18">
        <v>182.67500000000001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137.91</v>
      </c>
      <c r="C1071" s="18">
        <v>179.05699999999999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-4.5474231268947118E-3</v>
      </c>
      <c r="P1071" s="19">
        <f ca="1">IF('Stock Price'!$I$11="OK",C1071/INDEX(C$5:C$1258,'Stock Price'!$I$9)-1,"")</f>
        <v>-1.9805665799918049E-2</v>
      </c>
      <c r="Q1071" s="19">
        <f ca="1">IF('Stock Price'!$I$11="OK",D1071/INDEX(D$5:D$1258,'Stock Price'!$I$9)-1,"")</f>
        <v>-1.2290953052589093E-2</v>
      </c>
      <c r="R1071" s="19">
        <f ca="1">IF('Stock Price'!$I$11="OK",E1071/INDEX(E$5:E$1258,'Stock Price'!$I$9)-1,"")</f>
        <v>-1.554907677356776E-3</v>
      </c>
      <c r="S1071" s="19">
        <f ca="1">IF('Stock Price'!$I$11="OK",F1071/INDEX(F$5:F$1258,'Stock Price'!$I$9)-1,"")</f>
        <v>-1.4928467758656416E-2</v>
      </c>
      <c r="T1071" s="19">
        <f ca="1">IF('Stock Price'!$I$11="OK",G1071/INDEX(G$5:G$1258,'Stock Price'!$I$9)-1,"")</f>
        <v>5.2631578947368585E-3</v>
      </c>
      <c r="U1071" s="19">
        <f ca="1">IF('Stock Price'!$I$11="OK",H1071/INDEX(H$5:H$1258,'Stock Price'!$I$9)-1,"")</f>
        <v>9.3001409112258848E-3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142.27000000000001</v>
      </c>
      <c r="C1072" s="18">
        <v>190.49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2.692363216399607E-2</v>
      </c>
      <c r="P1072" s="19">
        <f ca="1">IF('Stock Price'!$I$11="OK",C1072/INDEX(C$5:C$1258,'Stock Price'!$I$9)-1,"")</f>
        <v>4.2780895032160871E-2</v>
      </c>
      <c r="Q1072" s="19">
        <f ca="1">IF('Stock Price'!$I$11="OK",D1072/INDEX(D$5:D$1258,'Stock Price'!$I$9)-1,"")</f>
        <v>1.8738666129357151E-2</v>
      </c>
      <c r="R1072" s="19">
        <f ca="1">IF('Stock Price'!$I$11="OK",E1072/INDEX(E$5:E$1258,'Stock Price'!$I$9)-1,"")</f>
        <v>3.10981535471333E-3</v>
      </c>
      <c r="S1072" s="19">
        <f ca="1">IF('Stock Price'!$I$11="OK",F1072/INDEX(F$5:F$1258,'Stock Price'!$I$9)-1,"")</f>
        <v>-1.2440389798878959E-3</v>
      </c>
      <c r="T1072" s="19">
        <f ca="1">IF('Stock Price'!$I$11="OK",G1072/INDEX(G$5:G$1258,'Stock Price'!$I$9)-1,"")</f>
        <v>1.0526315789474161E-3</v>
      </c>
      <c r="U1072" s="19">
        <f ca="1">IF('Stock Price'!$I$11="OK",H1072/INDEX(H$5:H$1258,'Stock Price'!$I$9)-1,"")</f>
        <v>2.2733677782996731E-2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141.97999999999999</v>
      </c>
      <c r="C1073" s="18">
        <v>190.77500000000001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2.4830373899234814E-2</v>
      </c>
      <c r="P1073" s="19">
        <f ca="1">IF('Stock Price'!$I$11="OK",C1073/INDEX(C$5:C$1258,'Stock Price'!$I$9)-1,"")</f>
        <v>4.4341042835637001E-2</v>
      </c>
      <c r="Q1073" s="19">
        <f ca="1">IF('Stock Price'!$I$11="OK",D1073/INDEX(D$5:D$1258,'Stock Price'!$I$9)-1,"")</f>
        <v>1.9947612331251197E-2</v>
      </c>
      <c r="R1073" s="19">
        <f ca="1">IF('Stock Price'!$I$11="OK",E1073/INDEX(E$5:E$1258,'Stock Price'!$I$9)-1,"")</f>
        <v>3.16812439261418E-2</v>
      </c>
      <c r="S1073" s="19">
        <f ca="1">IF('Stock Price'!$I$11="OK",F1073/INDEX(F$5:F$1258,'Stock Price'!$I$9)-1,"")</f>
        <v>2.9027576197386828E-3</v>
      </c>
      <c r="T1073" s="19">
        <f ca="1">IF('Stock Price'!$I$11="OK",G1073/INDEX(G$5:G$1258,'Stock Price'!$I$9)-1,"")</f>
        <v>8.9473684210528148E-3</v>
      </c>
      <c r="U1073" s="19">
        <f ca="1">IF('Stock Price'!$I$11="OK",H1073/INDEX(H$5:H$1258,'Stock Price'!$I$9)-1,"")</f>
        <v>2.0197275716298702E-2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141.46</v>
      </c>
      <c r="C1074" s="18">
        <v>188.5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2.1076945286560012E-2</v>
      </c>
      <c r="P1074" s="19">
        <f ca="1">IF('Stock Price'!$I$11="OK",C1074/INDEX(C$5:C$1258,'Stock Price'!$I$9)-1,"")</f>
        <v>3.1887231421924067E-2</v>
      </c>
      <c r="Q1074" s="19">
        <f ca="1">IF('Stock Price'!$I$11="OK",D1074/INDEX(D$5:D$1258,'Stock Price'!$I$9)-1,"")</f>
        <v>1.1887970985291041E-2</v>
      </c>
      <c r="R1074" s="19">
        <f ca="1">IF('Stock Price'!$I$11="OK",E1074/INDEX(E$5:E$1258,'Stock Price'!$I$9)-1,"")</f>
        <v>2.5655976676384862E-2</v>
      </c>
      <c r="S1074" s="19">
        <f ca="1">IF('Stock Price'!$I$11="OK",F1074/INDEX(F$5:F$1258,'Stock Price'!$I$9)-1,"")</f>
        <v>-2.0733982998132339E-3</v>
      </c>
      <c r="T1074" s="19">
        <f ca="1">IF('Stock Price'!$I$11="OK",G1074/INDEX(G$5:G$1258,'Stock Price'!$I$9)-1,"")</f>
        <v>4.039473684210515E-2</v>
      </c>
      <c r="U1074" s="19">
        <f ca="1">IF('Stock Price'!$I$11="OK",H1074/INDEX(H$5:H$1258,'Stock Price'!$I$9)-1,"")</f>
        <v>4.2649131047439948E-2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141.54</v>
      </c>
      <c r="C1075" s="18">
        <v>190.98500000000001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2.1654395842356067E-2</v>
      </c>
      <c r="P1075" s="19">
        <f ca="1">IF('Stock Price'!$I$11="OK",C1075/INDEX(C$5:C$1258,'Stock Price'!$I$9)-1,"")</f>
        <v>4.5490625427672127E-2</v>
      </c>
      <c r="Q1075" s="19">
        <f ca="1">IF('Stock Price'!$I$11="OK",D1075/INDEX(D$5:D$1258,'Stock Price'!$I$9)-1,"")</f>
        <v>1.5313318557324207E-2</v>
      </c>
      <c r="R1075" s="19">
        <f ca="1">IF('Stock Price'!$I$11="OK",E1075/INDEX(E$5:E$1258,'Stock Price'!$I$9)-1,"")</f>
        <v>3.790087463556846E-2</v>
      </c>
      <c r="S1075" s="19">
        <f ca="1">IF('Stock Price'!$I$11="OK",F1075/INDEX(F$5:F$1258,'Stock Price'!$I$9)-1,"")</f>
        <v>1.6587186398507203E-2</v>
      </c>
      <c r="T1075" s="19">
        <f ca="1">IF('Stock Price'!$I$11="OK",G1075/INDEX(G$5:G$1258,'Stock Price'!$I$9)-1,"")</f>
        <v>2.3157894736842266E-2</v>
      </c>
      <c r="U1075" s="19">
        <f ca="1">IF('Stock Price'!$I$11="OK",H1075/INDEX(H$5:H$1258,'Stock Price'!$I$9)-1,"")</f>
        <v>3.8327853452325034E-2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141.82</v>
      </c>
      <c r="C1076" s="18">
        <v>185.47989999999999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2.3675472787642482E-2</v>
      </c>
      <c r="P1076" s="19">
        <f ca="1">IF('Stock Price'!$I$11="OK",C1076/INDEX(C$5:C$1258,'Stock Price'!$I$9)-1,"")</f>
        <v>1.5354591487614533E-2</v>
      </c>
      <c r="Q1076" s="19">
        <f ca="1">IF('Stock Price'!$I$11="OK",D1076/INDEX(D$5:D$1258,'Stock Price'!$I$9)-1,"")</f>
        <v>1.5313318557324207E-2</v>
      </c>
      <c r="R1076" s="19">
        <f ca="1">IF('Stock Price'!$I$11="OK",E1076/INDEX(E$5:E$1258,'Stock Price'!$I$9)-1,"")</f>
        <v>3.4013605442176909E-2</v>
      </c>
      <c r="S1076" s="19">
        <f ca="1">IF('Stock Price'!$I$11="OK",F1076/INDEX(F$5:F$1258,'Stock Price'!$I$9)-1,"")</f>
        <v>-1.3062409288824295E-2</v>
      </c>
      <c r="T1076" s="19">
        <f ca="1">IF('Stock Price'!$I$11="OK",G1076/INDEX(G$5:G$1258,'Stock Price'!$I$9)-1,"")</f>
        <v>4.4999999999999929E-2</v>
      </c>
      <c r="U1076" s="19">
        <f ca="1">IF('Stock Price'!$I$11="OK",H1076/INDEX(H$5:H$1258,'Stock Price'!$I$9)-1,"")</f>
        <v>2.5739783936120197E-2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141.61000000000001</v>
      </c>
      <c r="C1077" s="18">
        <v>188.66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2.2159665078677726E-2</v>
      </c>
      <c r="P1077" s="19">
        <f ca="1">IF('Stock Price'!$I$11="OK",C1077/INDEX(C$5:C$1258,'Stock Price'!$I$9)-1,"")</f>
        <v>3.2763103872998522E-2</v>
      </c>
      <c r="Q1077" s="19">
        <f ca="1">IF('Stock Price'!$I$11="OK",D1077/INDEX(D$5:D$1258,'Stock Price'!$I$9)-1,"")</f>
        <v>5.440257908523094E-3</v>
      </c>
      <c r="R1077" s="19">
        <f ca="1">IF('Stock Price'!$I$11="OK",E1077/INDEX(E$5:E$1258,'Stock Price'!$I$9)-1,"")</f>
        <v>3.6734693877551017E-2</v>
      </c>
      <c r="S1077" s="19">
        <f ca="1">IF('Stock Price'!$I$11="OK",F1077/INDEX(F$5:F$1258,'Stock Price'!$I$9)-1,"")</f>
        <v>-2.1356002488077785E-2</v>
      </c>
      <c r="T1077" s="19">
        <f ca="1">IF('Stock Price'!$I$11="OK",G1077/INDEX(G$5:G$1258,'Stock Price'!$I$9)-1,"")</f>
        <v>2.486842105263154E-2</v>
      </c>
      <c r="U1077" s="19">
        <f ca="1">IF('Stock Price'!$I$11="OK",H1077/INDEX(H$5:H$1258,'Stock Price'!$I$9)-1,"")</f>
        <v>1.700328792860506E-2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146.16</v>
      </c>
      <c r="C1078" s="18">
        <v>190.23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5.500216543958425E-2</v>
      </c>
      <c r="P1078" s="19">
        <f ca="1">IF('Stock Price'!$I$11="OK",C1078/INDEX(C$5:C$1258,'Stock Price'!$I$9)-1,"")</f>
        <v>4.1357602299165075E-2</v>
      </c>
      <c r="Q1078" s="19">
        <f ca="1">IF('Stock Price'!$I$11="OK",D1078/INDEX(D$5:D$1258,'Stock Price'!$I$9)-1,"")</f>
        <v>2.3372959903284141E-2</v>
      </c>
      <c r="R1078" s="19">
        <f ca="1">IF('Stock Price'!$I$11="OK",E1078/INDEX(E$5:E$1258,'Stock Price'!$I$9)-1,"")</f>
        <v>4.8785228377065115E-2</v>
      </c>
      <c r="S1078" s="19">
        <f ca="1">IF('Stock Price'!$I$11="OK",F1078/INDEX(F$5:F$1258,'Stock Price'!$I$9)-1,"")</f>
        <v>-7.0495542193654837E-3</v>
      </c>
      <c r="T1078" s="19">
        <f ca="1">IF('Stock Price'!$I$11="OK",G1078/INDEX(G$5:G$1258,'Stock Price'!$I$9)-1,"")</f>
        <v>9.6578947368421098E-2</v>
      </c>
      <c r="U1078" s="19">
        <f ca="1">IF('Stock Price'!$I$11="OK",H1078/INDEX(H$5:H$1258,'Stock Price'!$I$9)-1,"")</f>
        <v>4.2837012682010345E-2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143.15</v>
      </c>
      <c r="C1079" s="18">
        <v>188.83500000000001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3.3275588277753787E-2</v>
      </c>
      <c r="P1079" s="19">
        <f ca="1">IF('Stock Price'!$I$11="OK",C1079/INDEX(C$5:C$1258,'Stock Price'!$I$9)-1,"")</f>
        <v>3.372108936636109E-2</v>
      </c>
      <c r="Q1079" s="19">
        <f ca="1">IF('Stock Price'!$I$11="OK",D1079/INDEX(D$5:D$1258,'Stock Price'!$I$9)-1,"")</f>
        <v>-1.0276042716099276E-2</v>
      </c>
      <c r="R1079" s="19">
        <f ca="1">IF('Stock Price'!$I$11="OK",E1079/INDEX(E$5:E$1258,'Stock Price'!$I$9)-1,"")</f>
        <v>5.1895043731778223E-2</v>
      </c>
      <c r="S1079" s="19">
        <f ca="1">IF('Stock Price'!$I$11="OK",F1079/INDEX(F$5:F$1258,'Stock Price'!$I$9)-1,"")</f>
        <v>-1.5757827078581754E-2</v>
      </c>
      <c r="T1079" s="19">
        <f ca="1">IF('Stock Price'!$I$11="OK",G1079/INDEX(G$5:G$1258,'Stock Price'!$I$9)-1,"")</f>
        <v>0.10776315789473689</v>
      </c>
      <c r="U1079" s="19">
        <f ca="1">IF('Stock Price'!$I$11="OK",H1079/INDEX(H$5:H$1258,'Stock Price'!$I$9)-1,"")</f>
        <v>4.2461249412869773E-2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144.34</v>
      </c>
      <c r="C1080" s="18">
        <v>191.125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4.1865165295221773E-2</v>
      </c>
      <c r="P1080" s="19">
        <f ca="1">IF('Stock Price'!$I$11="OK",C1080/INDEX(C$5:C$1258,'Stock Price'!$I$9)-1,"")</f>
        <v>4.6257013822362136E-2</v>
      </c>
      <c r="Q1080" s="19">
        <f ca="1">IF('Stock Price'!$I$11="OK",D1080/INDEX(D$5:D$1258,'Stock Price'!$I$9)-1,"")</f>
        <v>-2.8410235744509404E-2</v>
      </c>
      <c r="R1080" s="19">
        <f ca="1">IF('Stock Price'!$I$11="OK",E1080/INDEX(E$5:E$1258,'Stock Price'!$I$9)-1,"")</f>
        <v>5.4421768707482832E-2</v>
      </c>
      <c r="S1080" s="19">
        <f ca="1">IF('Stock Price'!$I$11="OK",F1080/INDEX(F$5:F$1258,'Stock Price'!$I$9)-1,"")</f>
        <v>-3.4003732116939522E-2</v>
      </c>
      <c r="T1080" s="19">
        <f ca="1">IF('Stock Price'!$I$11="OK",G1080/INDEX(G$5:G$1258,'Stock Price'!$I$9)-1,"")</f>
        <v>9.2500000000000027E-2</v>
      </c>
      <c r="U1080" s="19">
        <f ca="1">IF('Stock Price'!$I$11="OK",H1080/INDEX(H$5:H$1258,'Stock Price'!$I$9)-1,"")</f>
        <v>2.2357914513856159E-2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143.58000000000001</v>
      </c>
      <c r="C1081" s="18">
        <v>183.2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3.6379385015158139E-2</v>
      </c>
      <c r="P1081" s="19">
        <f ca="1">IF('Stock Price'!$I$11="OK",C1081/INDEX(C$5:C$1258,'Stock Price'!$I$9)-1,"")</f>
        <v>2.8739564800874806E-3</v>
      </c>
      <c r="Q1081" s="19">
        <f ca="1">IF('Stock Price'!$I$11="OK",D1081/INDEX(D$5:D$1258,'Stock Price'!$I$9)-1,"")</f>
        <v>-3.9895224662502615E-2</v>
      </c>
      <c r="R1081" s="19">
        <f ca="1">IF('Stock Price'!$I$11="OK",E1081/INDEX(E$5:E$1258,'Stock Price'!$I$9)-1,"")</f>
        <v>5.7920310981535383E-2</v>
      </c>
      <c r="S1081" s="19">
        <f ca="1">IF('Stock Price'!$I$11="OK",F1081/INDEX(F$5:F$1258,'Stock Price'!$I$9)-1,"")</f>
        <v>-5.1627617665353398E-2</v>
      </c>
      <c r="T1081" s="19">
        <f ca="1">IF('Stock Price'!$I$11="OK",G1081/INDEX(G$5:G$1258,'Stock Price'!$I$9)-1,"")</f>
        <v>0.12934210526315781</v>
      </c>
      <c r="U1081" s="19">
        <f ca="1">IF('Stock Price'!$I$11="OK",H1081/INDEX(H$5:H$1258,'Stock Price'!$I$9)-1,"")</f>
        <v>2.8182245185533139E-2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145.11000000000001</v>
      </c>
      <c r="C1082" s="18">
        <v>175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4.7423126894759804E-2</v>
      </c>
      <c r="P1082" s="19">
        <f ca="1">IF('Stock Price'!$I$11="OK",C1082/INDEX(C$5:C$1258,'Stock Price'!$I$9)-1,"")</f>
        <v>-4.2014506637470972E-2</v>
      </c>
      <c r="Q1082" s="19">
        <f ca="1">IF('Stock Price'!$I$11="OK",D1082/INDEX(D$5:D$1258,'Stock Price'!$I$9)-1,"")</f>
        <v>-3.1432601249244407E-2</v>
      </c>
      <c r="R1082" s="19">
        <f ca="1">IF('Stock Price'!$I$11="OK",E1082/INDEX(E$5:E$1258,'Stock Price'!$I$9)-1,"")</f>
        <v>5.5004859086491775E-2</v>
      </c>
      <c r="S1082" s="19">
        <f ca="1">IF('Stock Price'!$I$11="OK",F1082/INDEX(F$5:F$1258,'Stock Price'!$I$9)-1,"")</f>
        <v>-4.2504665146174569E-2</v>
      </c>
      <c r="T1082" s="19">
        <f ca="1">IF('Stock Price'!$I$11="OK",G1082/INDEX(G$5:G$1258,'Stock Price'!$I$9)-1,"")</f>
        <v>0.1232894736842105</v>
      </c>
      <c r="U1082" s="19">
        <f ca="1">IF('Stock Price'!$I$11="OK",H1082/INDEX(H$5:H$1258,'Stock Price'!$I$9)-1,"")</f>
        <v>4.3776420854861442E-2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145</v>
      </c>
      <c r="C1083" s="18">
        <v>179.5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4.6629132380539895E-2</v>
      </c>
      <c r="P1083" s="19">
        <f ca="1">IF('Stock Price'!$I$11="OK",C1083/INDEX(C$5:C$1258,'Stock Price'!$I$9)-1,"")</f>
        <v>-1.7380593951005996E-2</v>
      </c>
      <c r="Q1083" s="19">
        <f ca="1">IF('Stock Price'!$I$11="OK",D1083/INDEX(D$5:D$1258,'Stock Price'!$I$9)-1,"")</f>
        <v>-1.9746121297602337E-2</v>
      </c>
      <c r="R1083" s="19">
        <f ca="1">IF('Stock Price'!$I$11="OK",E1083/INDEX(E$5:E$1258,'Stock Price'!$I$9)-1,"")</f>
        <v>6.4917395529640265E-2</v>
      </c>
      <c r="S1083" s="19">
        <f ca="1">IF('Stock Price'!$I$11="OK",F1083/INDEX(F$5:F$1258,'Stock Price'!$I$9)-1,"")</f>
        <v>-3.5869790586771644E-2</v>
      </c>
      <c r="T1083" s="19">
        <f ca="1">IF('Stock Price'!$I$11="OK",G1083/INDEX(G$5:G$1258,'Stock Price'!$I$9)-1,"")</f>
        <v>0.16223684210526312</v>
      </c>
      <c r="U1083" s="19">
        <f ca="1">IF('Stock Price'!$I$11="OK",H1083/INDEX(H$5:H$1258,'Stock Price'!$I$9)-1,"")</f>
        <v>2.564584311883511E-2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147.13999999999999</v>
      </c>
      <c r="C1084" s="18">
        <v>177.5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6.2075934748087258E-2</v>
      </c>
      <c r="P1084" s="19">
        <f ca="1">IF('Stock Price'!$I$11="OK",C1084/INDEX(C$5:C$1258,'Stock Price'!$I$9)-1,"")</f>
        <v>-2.83289995894348E-2</v>
      </c>
      <c r="Q1084" s="19">
        <f ca="1">IF('Stock Price'!$I$11="OK",D1084/INDEX(D$5:D$1258,'Stock Price'!$I$9)-1,"")</f>
        <v>-9.6715696151522534E-3</v>
      </c>
      <c r="R1084" s="19">
        <f ca="1">IF('Stock Price'!$I$11="OK",E1084/INDEX(E$5:E$1258,'Stock Price'!$I$9)-1,"")</f>
        <v>7.3469387755101812E-2</v>
      </c>
      <c r="S1084" s="19">
        <f ca="1">IF('Stock Price'!$I$11="OK",F1084/INDEX(F$5:F$1258,'Stock Price'!$I$9)-1,"")</f>
        <v>-2.1356002488077785E-2</v>
      </c>
      <c r="T1084" s="19">
        <f ca="1">IF('Stock Price'!$I$11="OK",G1084/INDEX(G$5:G$1258,'Stock Price'!$I$9)-1,"")</f>
        <v>0.1725000000000001</v>
      </c>
      <c r="U1084" s="19">
        <f ca="1">IF('Stock Price'!$I$11="OK",H1084/INDEX(H$5:H$1258,'Stock Price'!$I$9)-1,"")</f>
        <v>1.6251761390324138E-2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149.12</v>
      </c>
      <c r="C1085" s="18">
        <v>179.05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7.6367836004042289E-2</v>
      </c>
      <c r="P1085" s="19">
        <f ca="1">IF('Stock Price'!$I$11="OK",C1085/INDEX(C$5:C$1258,'Stock Price'!$I$9)-1,"")</f>
        <v>-1.984398521965236E-2</v>
      </c>
      <c r="Q1085" s="19">
        <f ca="1">IF('Stock Price'!$I$11="OK",D1085/INDEX(D$5:D$1258,'Stock Price'!$I$9)-1,"")</f>
        <v>1.3902881321781191E-2</v>
      </c>
      <c r="R1085" s="19">
        <f ca="1">IF('Stock Price'!$I$11="OK",E1085/INDEX(E$5:E$1258,'Stock Price'!$I$9)-1,"")</f>
        <v>9.0767735665694849E-2</v>
      </c>
      <c r="S1085" s="19">
        <f ca="1">IF('Stock Price'!$I$11="OK",F1085/INDEX(F$5:F$1258,'Stock Price'!$I$9)-1,"")</f>
        <v>-1.8660584698320548E-2</v>
      </c>
      <c r="T1085" s="19">
        <f ca="1">IF('Stock Price'!$I$11="OK",G1085/INDEX(G$5:G$1258,'Stock Price'!$I$9)-1,"")</f>
        <v>0.22013157894736857</v>
      </c>
      <c r="U1085" s="19">
        <f ca="1">IF('Stock Price'!$I$11="OK",H1085/INDEX(H$5:H$1258,'Stock Price'!$I$9)-1,"")</f>
        <v>8.9243776420855347E-3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152.22</v>
      </c>
      <c r="C1086" s="18">
        <v>188.065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9.8744045041143425E-2</v>
      </c>
      <c r="P1086" s="19">
        <f ca="1">IF('Stock Price'!$I$11="OK",C1086/INDEX(C$5:C$1258,'Stock Price'!$I$9)-1,"")</f>
        <v>2.9505953195565926E-2</v>
      </c>
      <c r="Q1086" s="19">
        <f ca="1">IF('Stock Price'!$I$11="OK",D1086/INDEX(D$5:D$1258,'Stock Price'!$I$9)-1,"")</f>
        <v>2.3574450936933111E-2</v>
      </c>
      <c r="R1086" s="19">
        <f ca="1">IF('Stock Price'!$I$11="OK",E1086/INDEX(E$5:E$1258,'Stock Price'!$I$9)-1,"")</f>
        <v>0.101846452866861</v>
      </c>
      <c r="S1086" s="19">
        <f ca="1">IF('Stock Price'!$I$11="OK",F1086/INDEX(F$5:F$1258,'Stock Price'!$I$9)-1,"")</f>
        <v>-1.5343147418618974E-2</v>
      </c>
      <c r="T1086" s="19">
        <f ca="1">IF('Stock Price'!$I$11="OK",G1086/INDEX(G$5:G$1258,'Stock Price'!$I$9)-1,"")</f>
        <v>0.22986842105263161</v>
      </c>
      <c r="U1086" s="19">
        <f ca="1">IF('Stock Price'!$I$11="OK",H1086/INDEX(H$5:H$1258,'Stock Price'!$I$9)-1,"")</f>
        <v>1.3809300140911196E-2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147.87</v>
      </c>
      <c r="C1087" s="18">
        <v>187.8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6.7345171069727261E-2</v>
      </c>
      <c r="P1087" s="19">
        <f ca="1">IF('Stock Price'!$I$11="OK",C1087/INDEX(C$5:C$1258,'Stock Price'!$I$9)-1,"")</f>
        <v>2.8055289448474019E-2</v>
      </c>
      <c r="Q1087" s="19">
        <f ca="1">IF('Stock Price'!$I$11="OK",D1087/INDEX(D$5:D$1258,'Stock Price'!$I$9)-1,"")</f>
        <v>9.4700785815031718E-3</v>
      </c>
      <c r="R1087" s="19">
        <f ca="1">IF('Stock Price'!$I$11="OK",E1087/INDEX(E$5:E$1258,'Stock Price'!$I$9)-1,"")</f>
        <v>5.7142857142857162E-2</v>
      </c>
      <c r="S1087" s="19">
        <f ca="1">IF('Stock Price'!$I$11="OK",F1087/INDEX(F$5:F$1258,'Stock Price'!$I$9)-1,"")</f>
        <v>-5.1005598175409395E-2</v>
      </c>
      <c r="T1087" s="19">
        <f ca="1">IF('Stock Price'!$I$11="OK",G1087/INDEX(G$5:G$1258,'Stock Price'!$I$9)-1,"")</f>
        <v>0.1892105263157895</v>
      </c>
      <c r="U1087" s="19">
        <f ca="1">IF('Stock Price'!$I$11="OK",H1087/INDEX(H$5:H$1258,'Stock Price'!$I$9)-1,"")</f>
        <v>4.2273367778300486E-3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148.91</v>
      </c>
      <c r="C1088" s="18">
        <v>183.17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7.4852028295077311E-2</v>
      </c>
      <c r="P1088" s="19">
        <f ca="1">IF('Stock Price'!$I$11="OK",C1088/INDEX(C$5:C$1258,'Stock Price'!$I$9)-1,"")</f>
        <v>2.7097303955110341E-3</v>
      </c>
      <c r="Q1088" s="19">
        <f ca="1">IF('Stock Price'!$I$11="OK",D1088/INDEX(D$5:D$1258,'Stock Price'!$I$9)-1,"")</f>
        <v>2.0753576465847079E-2</v>
      </c>
      <c r="R1088" s="19">
        <f ca="1">IF('Stock Price'!$I$11="OK",E1088/INDEX(E$5:E$1258,'Stock Price'!$I$9)-1,"")</f>
        <v>0.10826044703595716</v>
      </c>
      <c r="S1088" s="19">
        <f ca="1">IF('Stock Price'!$I$11="OK",F1088/INDEX(F$5:F$1258,'Stock Price'!$I$9)-1,"")</f>
        <v>-4.2089985486211789E-2</v>
      </c>
      <c r="T1088" s="19">
        <f ca="1">IF('Stock Price'!$I$11="OK",G1088/INDEX(G$5:G$1258,'Stock Price'!$I$9)-1,"")</f>
        <v>0.15828947368421065</v>
      </c>
      <c r="U1088" s="19">
        <f ca="1">IF('Stock Price'!$I$11="OK",H1088/INDEX(H$5:H$1258,'Stock Price'!$I$9)-1,"")</f>
        <v>1.775481446688576E-2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148.68</v>
      </c>
      <c r="C1089" s="18">
        <v>187.1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7.3191857947163319E-2</v>
      </c>
      <c r="P1089" s="19">
        <f ca="1">IF('Stock Price'!$I$11="OK",C1089/INDEX(C$5:C$1258,'Stock Price'!$I$9)-1,"")</f>
        <v>2.4223347475023749E-2</v>
      </c>
      <c r="Q1089" s="19">
        <f ca="1">IF('Stock Price'!$I$11="OK",D1089/INDEX(D$5:D$1258,'Stock Price'!$I$9)-1,"")</f>
        <v>3.9693733628853423E-2</v>
      </c>
      <c r="R1089" s="19">
        <f ca="1">IF('Stock Price'!$I$11="OK",E1089/INDEX(E$5:E$1258,'Stock Price'!$I$9)-1,"")</f>
        <v>0.10301263362487845</v>
      </c>
      <c r="S1089" s="19">
        <f ca="1">IF('Stock Price'!$I$11="OK",F1089/INDEX(F$5:F$1258,'Stock Price'!$I$9)-1,"")</f>
        <v>-2.4673439767779359E-2</v>
      </c>
      <c r="T1089" s="19">
        <f ca="1">IF('Stock Price'!$I$11="OK",G1089/INDEX(G$5:G$1258,'Stock Price'!$I$9)-1,"")</f>
        <v>0.17263157894736847</v>
      </c>
      <c r="U1089" s="19">
        <f ca="1">IF('Stock Price'!$I$11="OK",H1089/INDEX(H$5:H$1258,'Stock Price'!$I$9)-1,"")</f>
        <v>3.5885392202912092E-2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151.04</v>
      </c>
      <c r="C1090" s="18">
        <v>188.41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9.0226649343150056E-2</v>
      </c>
      <c r="P1090" s="19">
        <f ca="1">IF('Stock Price'!$I$11="OK",C1090/INDEX(C$5:C$1258,'Stock Price'!$I$9)-1,"")</f>
        <v>3.1394553168194728E-2</v>
      </c>
      <c r="Q1090" s="19">
        <f ca="1">IF('Stock Price'!$I$11="OK",D1090/INDEX(D$5:D$1258,'Stock Price'!$I$9)-1,"")</f>
        <v>5.722345355631675E-2</v>
      </c>
      <c r="R1090" s="19">
        <f ca="1">IF('Stock Price'!$I$11="OK",E1090/INDEX(E$5:E$1258,'Stock Price'!$I$9)-1,"")</f>
        <v>0.11020408163265305</v>
      </c>
      <c r="S1090" s="19">
        <f ca="1">IF('Stock Price'!$I$11="OK",F1090/INDEX(F$5:F$1258,'Stock Price'!$I$9)-1,"")</f>
        <v>-1.9904623678208444E-2</v>
      </c>
      <c r="T1090" s="19">
        <f ca="1">IF('Stock Price'!$I$11="OK",G1090/INDEX(G$5:G$1258,'Stock Price'!$I$9)-1,"")</f>
        <v>0.18434210526315797</v>
      </c>
      <c r="U1090" s="19">
        <f ca="1">IF('Stock Price'!$I$11="OK",H1090/INDEX(H$5:H$1258,'Stock Price'!$I$9)-1,"")</f>
        <v>6.5007045561296328E-2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149.86000000000001</v>
      </c>
      <c r="C1091" s="18">
        <v>184.32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8.1709253645156688E-2</v>
      </c>
      <c r="P1091" s="19">
        <f ca="1">IF('Stock Price'!$I$11="OK",C1091/INDEX(C$5:C$1258,'Stock Price'!$I$9)-1,"")</f>
        <v>9.0050636376077797E-3</v>
      </c>
      <c r="Q1091" s="19">
        <f ca="1">IF('Stock Price'!$I$11="OK",D1091/INDEX(D$5:D$1258,'Stock Price'!$I$9)-1,"")</f>
        <v>7.4753173483780078E-2</v>
      </c>
      <c r="R1091" s="19">
        <f ca="1">IF('Stock Price'!$I$11="OK",E1091/INDEX(E$5:E$1258,'Stock Price'!$I$9)-1,"")</f>
        <v>9.9708454810495617E-2</v>
      </c>
      <c r="S1091" s="19">
        <f ca="1">IF('Stock Price'!$I$11="OK",F1091/INDEX(F$5:F$1258,'Stock Price'!$I$9)-1,"")</f>
        <v>-1.5343147418618974E-2</v>
      </c>
      <c r="T1091" s="19">
        <f ca="1">IF('Stock Price'!$I$11="OK",G1091/INDEX(G$5:G$1258,'Stock Price'!$I$9)-1,"")</f>
        <v>0.19131578947368433</v>
      </c>
      <c r="U1091" s="19">
        <f ca="1">IF('Stock Price'!$I$11="OK",H1091/INDEX(H$5:H$1258,'Stock Price'!$I$9)-1,"")</f>
        <v>8.8210427430718719E-2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152.91</v>
      </c>
      <c r="C1092" s="18">
        <v>187.45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0.10372455608488518</v>
      </c>
      <c r="P1092" s="19">
        <f ca="1">IF('Stock Price'!$I$11="OK",C1092/INDEX(C$5:C$1258,'Stock Price'!$I$9)-1,"")</f>
        <v>2.6139318461748884E-2</v>
      </c>
      <c r="Q1092" s="19">
        <f ca="1">IF('Stock Price'!$I$11="OK",D1092/INDEX(D$5:D$1258,'Stock Price'!$I$9)-1,"")</f>
        <v>0.15313318557324185</v>
      </c>
      <c r="R1092" s="19">
        <f ca="1">IF('Stock Price'!$I$11="OK",E1092/INDEX(E$5:E$1258,'Stock Price'!$I$9)-1,"")</f>
        <v>0.11292517006802716</v>
      </c>
      <c r="S1092" s="19">
        <f ca="1">IF('Stock Price'!$I$11="OK",F1092/INDEX(F$5:F$1258,'Stock Price'!$I$9)-1,"")</f>
        <v>-3.1100974497200173E-3</v>
      </c>
      <c r="T1092" s="19">
        <f ca="1">IF('Stock Price'!$I$11="OK",G1092/INDEX(G$5:G$1258,'Stock Price'!$I$9)-1,"")</f>
        <v>0.18815789473684208</v>
      </c>
      <c r="U1092" s="19">
        <f ca="1">IF('Stock Price'!$I$11="OK",H1092/INDEX(H$5:H$1258,'Stock Price'!$I$9)-1,"")</f>
        <v>0.11160169093471106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153.94999999999999</v>
      </c>
      <c r="C1093" s="18">
        <v>187.16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0.11123141331023523</v>
      </c>
      <c r="P1093" s="19">
        <f ca="1">IF('Stock Price'!$I$11="OK",C1093/INDEX(C$5:C$1258,'Stock Price'!$I$9)-1,"")</f>
        <v>2.4551799644176642E-2</v>
      </c>
      <c r="Q1093" s="19">
        <f ca="1">IF('Stock Price'!$I$11="OK",D1093/INDEX(D$5:D$1258,'Stock Price'!$I$9)-1,"")</f>
        <v>0.19222244610114858</v>
      </c>
      <c r="R1093" s="19">
        <f ca="1">IF('Stock Price'!$I$11="OK",E1093/INDEX(E$5:E$1258,'Stock Price'!$I$9)-1,"")</f>
        <v>0.11020408163265305</v>
      </c>
      <c r="S1093" s="19">
        <f ca="1">IF('Stock Price'!$I$11="OK",F1093/INDEX(F$5:F$1258,'Stock Price'!$I$9)-1,"")</f>
        <v>-1.5343147418618974E-2</v>
      </c>
      <c r="T1093" s="19">
        <f ca="1">IF('Stock Price'!$I$11="OK",G1093/INDEX(G$5:G$1258,'Stock Price'!$I$9)-1,"")</f>
        <v>0.17934210526315786</v>
      </c>
      <c r="U1093" s="19">
        <f ca="1">IF('Stock Price'!$I$11="OK",H1093/INDEX(H$5:H$1258,'Stock Price'!$I$9)-1,"")</f>
        <v>0.12494128698919682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156.41999999999999</v>
      </c>
      <c r="C1094" s="18">
        <v>193.03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0.12906019922044165</v>
      </c>
      <c r="P1094" s="19">
        <f ca="1">IF('Stock Price'!$I$11="OK",C1094/INDEX(C$5:C$1258,'Stock Price'!$I$9)-1,"")</f>
        <v>5.668537019296549E-2</v>
      </c>
      <c r="Q1094" s="19">
        <f ca="1">IF('Stock Price'!$I$11="OK",D1094/INDEX(D$5:D$1258,'Stock Price'!$I$9)-1,"")</f>
        <v>0.21358049566794257</v>
      </c>
      <c r="R1094" s="19">
        <f ca="1">IF('Stock Price'!$I$11="OK",E1094/INDEX(E$5:E$1258,'Stock Price'!$I$9)-1,"")</f>
        <v>0.12147716229348893</v>
      </c>
      <c r="S1094" s="19">
        <f ca="1">IF('Stock Price'!$I$11="OK",F1094/INDEX(F$5:F$1258,'Stock Price'!$I$9)-1,"")</f>
        <v>-8.2935931992536016E-3</v>
      </c>
      <c r="T1094" s="19">
        <f ca="1">IF('Stock Price'!$I$11="OK",G1094/INDEX(G$5:G$1258,'Stock Price'!$I$9)-1,"")</f>
        <v>0.20526315789473681</v>
      </c>
      <c r="U1094" s="19">
        <f ca="1">IF('Stock Price'!$I$11="OK",H1094/INDEX(H$5:H$1258,'Stock Price'!$I$9)-1,"")</f>
        <v>0.14542038515735101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157.05000000000001</v>
      </c>
      <c r="C1095" s="18">
        <v>188.01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0.13360762234733659</v>
      </c>
      <c r="P1095" s="19">
        <f ca="1">IF('Stock Price'!$I$11="OK",C1095/INDEX(C$5:C$1258,'Stock Price'!$I$9)-1,"")</f>
        <v>2.9204872040508922E-2</v>
      </c>
      <c r="Q1095" s="19">
        <f ca="1">IF('Stock Price'!$I$11="OK",D1095/INDEX(D$5:D$1258,'Stock Price'!$I$9)-1,"")</f>
        <v>0.18899858956276439</v>
      </c>
      <c r="R1095" s="19">
        <f ca="1">IF('Stock Price'!$I$11="OK",E1095/INDEX(E$5:E$1258,'Stock Price'!$I$9)-1,"")</f>
        <v>0.11000971817298333</v>
      </c>
      <c r="S1095" s="19">
        <f ca="1">IF('Stock Price'!$I$11="OK",F1095/INDEX(F$5:F$1258,'Stock Price'!$I$9)-1,"")</f>
        <v>8.2935931992556E-4</v>
      </c>
      <c r="T1095" s="19">
        <f ca="1">IF('Stock Price'!$I$11="OK",G1095/INDEX(G$5:G$1258,'Stock Price'!$I$9)-1,"")</f>
        <v>0.21789473684210536</v>
      </c>
      <c r="U1095" s="19">
        <f ca="1">IF('Stock Price'!$I$11="OK",H1095/INDEX(H$5:H$1258,'Stock Price'!$I$9)-1,"")</f>
        <v>0.10521371535932356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158.19999999999999</v>
      </c>
      <c r="C1096" s="18">
        <v>193.4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0.14190847408690632</v>
      </c>
      <c r="P1096" s="19">
        <f ca="1">IF('Stock Price'!$I$11="OK",C1096/INDEX(C$5:C$1258,'Stock Price'!$I$9)-1,"")</f>
        <v>5.871082523607507E-2</v>
      </c>
      <c r="Q1096" s="19">
        <f ca="1">IF('Stock Price'!$I$11="OK",D1096/INDEX(D$5:D$1258,'Stock Price'!$I$9)-1,"")</f>
        <v>0.18517025992343328</v>
      </c>
      <c r="R1096" s="19">
        <f ca="1">IF('Stock Price'!$I$11="OK",E1096/INDEX(E$5:E$1258,'Stock Price'!$I$9)-1,"")</f>
        <v>0.10456754130223511</v>
      </c>
      <c r="S1096" s="19">
        <f ca="1">IF('Stock Price'!$I$11="OK",F1096/INDEX(F$5:F$1258,'Stock Price'!$I$9)-1,"")</f>
        <v>8.2935931992536016E-3</v>
      </c>
      <c r="T1096" s="19">
        <f ca="1">IF('Stock Price'!$I$11="OK",G1096/INDEX(G$5:G$1258,'Stock Price'!$I$9)-1,"")</f>
        <v>0.21500000000000008</v>
      </c>
      <c r="U1096" s="19">
        <f ca="1">IF('Stock Price'!$I$11="OK",H1096/INDEX(H$5:H$1258,'Stock Price'!$I$9)-1,"")</f>
        <v>0.10051667449506807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160.06</v>
      </c>
      <c r="C1097" s="18">
        <v>204.76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0.15533419950916705</v>
      </c>
      <c r="P1097" s="19">
        <f ca="1">IF('Stock Price'!$I$11="OK",C1097/INDEX(C$5:C$1258,'Stock Price'!$I$9)-1,"")</f>
        <v>0.12089776926235096</v>
      </c>
      <c r="Q1097" s="19">
        <f ca="1">IF('Stock Price'!$I$11="OK",D1097/INDEX(D$5:D$1258,'Stock Price'!$I$9)-1,"")</f>
        <v>0.17852105581301636</v>
      </c>
      <c r="R1097" s="19">
        <f ca="1">IF('Stock Price'!$I$11="OK",E1097/INDEX(E$5:E$1258,'Stock Price'!$I$9)-1,"")</f>
        <v>0.12322643343051509</v>
      </c>
      <c r="S1097" s="19">
        <f ca="1">IF('Stock Price'!$I$11="OK",F1097/INDEX(F$5:F$1258,'Stock Price'!$I$9)-1,"")</f>
        <v>2.1148662658096784E-2</v>
      </c>
      <c r="T1097" s="19">
        <f ca="1">IF('Stock Price'!$I$11="OK",G1097/INDEX(G$5:G$1258,'Stock Price'!$I$9)-1,"")</f>
        <v>0.21381578947368429</v>
      </c>
      <c r="U1097" s="19">
        <f ca="1">IF('Stock Price'!$I$11="OK",H1097/INDEX(H$5:H$1258,'Stock Price'!$I$9)-1,"")</f>
        <v>0.12080789102865186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161.18</v>
      </c>
      <c r="C1098" s="18">
        <v>204.52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0.16341850729031338</v>
      </c>
      <c r="P1098" s="19">
        <f ca="1">IF('Stock Price'!$I$11="OK",C1098/INDEX(C$5:C$1258,'Stock Price'!$I$9)-1,"")</f>
        <v>0.11958396058573961</v>
      </c>
      <c r="Q1098" s="19">
        <f ca="1">IF('Stock Price'!$I$11="OK",D1098/INDEX(D$5:D$1258,'Stock Price'!$I$9)-1,"")</f>
        <v>0.17952851098126121</v>
      </c>
      <c r="R1098" s="19">
        <f ca="1">IF('Stock Price'!$I$11="OK",E1098/INDEX(E$5:E$1258,'Stock Price'!$I$9)-1,"")</f>
        <v>0.13916423712342074</v>
      </c>
      <c r="S1098" s="19">
        <f ca="1">IF('Stock Price'!$I$11="OK",F1098/INDEX(F$5:F$1258,'Stock Price'!$I$9)-1,"")</f>
        <v>-2.4880779597760694E-2</v>
      </c>
      <c r="T1098" s="19">
        <f ca="1">IF('Stock Price'!$I$11="OK",G1098/INDEX(G$5:G$1258,'Stock Price'!$I$9)-1,"")</f>
        <v>0.20236842105263153</v>
      </c>
      <c r="U1098" s="19">
        <f ca="1">IF('Stock Price'!$I$11="OK",H1098/INDEX(H$5:H$1258,'Stock Price'!$I$9)-1,"")</f>
        <v>0.12015030530765602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163.1</v>
      </c>
      <c r="C1099" s="18">
        <v>205.55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0.17727732062942114</v>
      </c>
      <c r="P1099" s="19">
        <f ca="1">IF('Stock Price'!$I$11="OK",C1099/INDEX(C$5:C$1258,'Stock Price'!$I$9)-1,"")</f>
        <v>0.12522238948953057</v>
      </c>
      <c r="Q1099" s="19">
        <f ca="1">IF('Stock Price'!$I$11="OK",D1099/INDEX(D$5:D$1258,'Stock Price'!$I$9)-1,"")</f>
        <v>0.1873866612935724</v>
      </c>
      <c r="R1099" s="19">
        <f ca="1">IF('Stock Price'!$I$11="OK",E1099/INDEX(E$5:E$1258,'Stock Price'!$I$9)-1,"")</f>
        <v>0.13722060252672486</v>
      </c>
      <c r="S1099" s="19">
        <f ca="1">IF('Stock Price'!$I$11="OK",F1099/INDEX(F$5:F$1258,'Stock Price'!$I$9)-1,"")</f>
        <v>-4.6029442255857367E-2</v>
      </c>
      <c r="T1099" s="19">
        <f ca="1">IF('Stock Price'!$I$11="OK",G1099/INDEX(G$5:G$1258,'Stock Price'!$I$9)-1,"")</f>
        <v>0.21013157894736834</v>
      </c>
      <c r="U1099" s="19">
        <f ca="1">IF('Stock Price'!$I$11="OK",H1099/INDEX(H$5:H$1258,'Stock Price'!$I$9)-1,"")</f>
        <v>0.14053546265852512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166.17</v>
      </c>
      <c r="C1100" s="18">
        <v>209.48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0.19943698570809865</v>
      </c>
      <c r="P1100" s="19">
        <f ca="1">IF('Stock Price'!$I$11="OK",C1100/INDEX(C$5:C$1258,'Stock Price'!$I$9)-1,"")</f>
        <v>0.14673600656904329</v>
      </c>
      <c r="Q1100" s="19">
        <f ca="1">IF('Stock Price'!$I$11="OK",D1100/INDEX(D$5:D$1258,'Stock Price'!$I$9)-1,"")</f>
        <v>0.22647592182147891</v>
      </c>
      <c r="R1100" s="19">
        <f ca="1">IF('Stock Price'!$I$11="OK",E1100/INDEX(E$5:E$1258,'Stock Price'!$I$9)-1,"")</f>
        <v>0.16812439261418843</v>
      </c>
      <c r="S1100" s="19">
        <f ca="1">IF('Stock Price'!$I$11="OK",F1100/INDEX(F$5:F$1258,'Stock Price'!$I$9)-1,"")</f>
        <v>-3.7321169396640985E-2</v>
      </c>
      <c r="T1100" s="19">
        <f ca="1">IF('Stock Price'!$I$11="OK",G1100/INDEX(G$5:G$1258,'Stock Price'!$I$9)-1,"")</f>
        <v>0.29776315789473684</v>
      </c>
      <c r="U1100" s="19">
        <f ca="1">IF('Stock Price'!$I$11="OK",H1100/INDEX(H$5:H$1258,'Stock Price'!$I$9)-1,"")</f>
        <v>0.14203851573508675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165.38</v>
      </c>
      <c r="C1101" s="18">
        <v>208.67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0.1937346614696116</v>
      </c>
      <c r="P1101" s="19">
        <f ca="1">IF('Stock Price'!$I$11="OK",C1101/INDEX(C$5:C$1258,'Stock Price'!$I$9)-1,"")</f>
        <v>0.14230190228547945</v>
      </c>
      <c r="Q1101" s="19">
        <f ca="1">IF('Stock Price'!$I$11="OK",D1101/INDEX(D$5:D$1258,'Stock Price'!$I$9)-1,"")</f>
        <v>0.23272214386459789</v>
      </c>
      <c r="R1101" s="19">
        <f ca="1">IF('Stock Price'!$I$11="OK",E1101/INDEX(E$5:E$1258,'Stock Price'!$I$9)-1,"")</f>
        <v>0.16015549076773561</v>
      </c>
      <c r="S1101" s="19">
        <f ca="1">IF('Stock Price'!$I$11="OK",F1101/INDEX(F$5:F$1258,'Stock Price'!$I$9)-1,"")</f>
        <v>-4.3334024466099907E-2</v>
      </c>
      <c r="T1101" s="19">
        <f ca="1">IF('Stock Price'!$I$11="OK",G1101/INDEX(G$5:G$1258,'Stock Price'!$I$9)-1,"")</f>
        <v>0.20552631578947378</v>
      </c>
      <c r="U1101" s="19">
        <f ca="1">IF('Stock Price'!$I$11="OK",H1101/INDEX(H$5:H$1258,'Stock Price'!$I$9)-1,"")</f>
        <v>0.14288398309065276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163.92</v>
      </c>
      <c r="C1102" s="18">
        <v>208.62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0.18319618882633182</v>
      </c>
      <c r="P1102" s="19">
        <f ca="1">IF('Stock Price'!$I$11="OK",C1102/INDEX(C$5:C$1258,'Stock Price'!$I$9)-1,"")</f>
        <v>0.14202819214451901</v>
      </c>
      <c r="Q1102" s="19">
        <f ca="1">IF('Stock Price'!$I$11="OK",D1102/INDEX(D$5:D$1258,'Stock Price'!$I$9)-1,"")</f>
        <v>0.22607293975418097</v>
      </c>
      <c r="R1102" s="19">
        <f ca="1">IF('Stock Price'!$I$11="OK",E1102/INDEX(E$5:E$1258,'Stock Price'!$I$9)-1,"")</f>
        <v>0.1502429543245869</v>
      </c>
      <c r="S1102" s="19">
        <f ca="1">IF('Stock Price'!$I$11="OK",F1102/INDEX(F$5:F$1258,'Stock Price'!$I$9)-1,"")</f>
        <v>-1.7623885548413765E-2</v>
      </c>
      <c r="T1102" s="19">
        <f ca="1">IF('Stock Price'!$I$11="OK",G1102/INDEX(G$5:G$1258,'Stock Price'!$I$9)-1,"")</f>
        <v>0.19934210526315788</v>
      </c>
      <c r="U1102" s="19">
        <f ca="1">IF('Stock Price'!$I$11="OK",H1102/INDEX(H$5:H$1258,'Stock Price'!$I$9)-1,"")</f>
        <v>0.14476279943635495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162.66999999999999</v>
      </c>
      <c r="C1103" s="18">
        <v>204.2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0.17417352389201679</v>
      </c>
      <c r="P1103" s="19">
        <f ca="1">IF('Stock Price'!$I$11="OK",C1103/INDEX(C$5:C$1258,'Stock Price'!$I$9)-1,"")</f>
        <v>0.11783221568359092</v>
      </c>
      <c r="Q1103" s="19">
        <f ca="1">IF('Stock Price'!$I$11="OK",D1103/INDEX(D$5:D$1258,'Stock Price'!$I$9)-1,"")</f>
        <v>0.19927463227886366</v>
      </c>
      <c r="R1103" s="19">
        <f ca="1">IF('Stock Price'!$I$11="OK",E1103/INDEX(E$5:E$1258,'Stock Price'!$I$9)-1,"")</f>
        <v>0.15354713313896973</v>
      </c>
      <c r="S1103" s="19">
        <f ca="1">IF('Stock Price'!$I$11="OK",F1103/INDEX(F$5:F$1258,'Stock Price'!$I$9)-1,"")</f>
        <v>-3.0478955007256836E-2</v>
      </c>
      <c r="T1103" s="19">
        <f ca="1">IF('Stock Price'!$I$11="OK",G1103/INDEX(G$5:G$1258,'Stock Price'!$I$9)-1,"")</f>
        <v>0.1494736842105262</v>
      </c>
      <c r="U1103" s="19">
        <f ca="1">IF('Stock Price'!$I$11="OK",H1103/INDEX(H$5:H$1258,'Stock Price'!$I$9)-1,"")</f>
        <v>0.14852043212775956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164.7</v>
      </c>
      <c r="C1104" s="18">
        <v>204.94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0.18882633174534424</v>
      </c>
      <c r="P1104" s="19">
        <f ca="1">IF('Stock Price'!$I$11="OK",C1104/INDEX(C$5:C$1258,'Stock Price'!$I$9)-1,"")</f>
        <v>0.12188312576980964</v>
      </c>
      <c r="Q1104" s="19">
        <f ca="1">IF('Stock Price'!$I$11="OK",D1104/INDEX(D$5:D$1258,'Stock Price'!$I$9)-1,"")</f>
        <v>0.19403586540398932</v>
      </c>
      <c r="R1104" s="19">
        <f ca="1">IF('Stock Price'!$I$11="OK",E1104/INDEX(E$5:E$1258,'Stock Price'!$I$9)-1,"")</f>
        <v>0.16559766763848383</v>
      </c>
      <c r="S1104" s="19">
        <f ca="1">IF('Stock Price'!$I$11="OK",F1104/INDEX(F$5:F$1258,'Stock Price'!$I$9)-1,"")</f>
        <v>-2.0941322828115227E-2</v>
      </c>
      <c r="T1104" s="19">
        <f ca="1">IF('Stock Price'!$I$11="OK",G1104/INDEX(G$5:G$1258,'Stock Price'!$I$9)-1,"")</f>
        <v>0.12631578947368416</v>
      </c>
      <c r="U1104" s="19">
        <f ca="1">IF('Stock Price'!$I$11="OK",H1104/INDEX(H$5:H$1258,'Stock Price'!$I$9)-1,"")</f>
        <v>0.16317519962423654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167.11</v>
      </c>
      <c r="C1105" s="18">
        <v>206.61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0.20622202973870385</v>
      </c>
      <c r="P1105" s="19">
        <f ca="1">IF('Stock Price'!$I$11="OK",C1105/INDEX(C$5:C$1258,'Stock Price'!$I$9)-1,"")</f>
        <v>0.13102504447789798</v>
      </c>
      <c r="Q1105" s="19">
        <f ca="1">IF('Stock Price'!$I$11="OK",D1105/INDEX(D$5:D$1258,'Stock Price'!$I$9)-1,"")</f>
        <v>0.19121499093290328</v>
      </c>
      <c r="R1105" s="19">
        <f ca="1">IF('Stock Price'!$I$11="OK",E1105/INDEX(E$5:E$1258,'Stock Price'!$I$9)-1,"")</f>
        <v>0.17745383867832842</v>
      </c>
      <c r="S1105" s="19">
        <f ca="1">IF('Stock Price'!$I$11="OK",F1105/INDEX(F$5:F$1258,'Stock Price'!$I$9)-1,"")</f>
        <v>-1.9075264358283106E-2</v>
      </c>
      <c r="T1105" s="19">
        <f ca="1">IF('Stock Price'!$I$11="OK",G1105/INDEX(G$5:G$1258,'Stock Price'!$I$9)-1,"")</f>
        <v>0.11421052631578954</v>
      </c>
      <c r="U1105" s="19">
        <f ca="1">IF('Stock Price'!$I$11="OK",H1105/INDEX(H$5:H$1258,'Stock Price'!$I$9)-1,"")</f>
        <v>0.16420854861437295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166.85</v>
      </c>
      <c r="C1106" s="18">
        <v>205.79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0.20434531543236623</v>
      </c>
      <c r="P1106" s="19">
        <f ca="1">IF('Stock Price'!$I$11="OK",C1106/INDEX(C$5:C$1258,'Stock Price'!$I$9)-1,"")</f>
        <v>0.12653619816614192</v>
      </c>
      <c r="Q1106" s="19">
        <f ca="1">IF('Stock Price'!$I$11="OK",D1106/INDEX(D$5:D$1258,'Stock Price'!$I$9)-1,"")</f>
        <v>0.1996776143461616</v>
      </c>
      <c r="R1106" s="19">
        <f ca="1">IF('Stock Price'!$I$11="OK",E1106/INDEX(E$5:E$1258,'Stock Price'!$I$9)-1,"")</f>
        <v>0.15607385811467434</v>
      </c>
      <c r="S1106" s="19">
        <f ca="1">IF('Stock Price'!$I$11="OK",F1106/INDEX(F$5:F$1258,'Stock Price'!$I$9)-1,"")</f>
        <v>-1.3269749118805629E-2</v>
      </c>
      <c r="T1106" s="19">
        <f ca="1">IF('Stock Price'!$I$11="OK",G1106/INDEX(G$5:G$1258,'Stock Price'!$I$9)-1,"")</f>
        <v>0.12065789473684219</v>
      </c>
      <c r="U1106" s="19">
        <f ca="1">IF('Stock Price'!$I$11="OK",H1106/INDEX(H$5:H$1258,'Stock Price'!$I$9)-1,"")</f>
        <v>0.15039924847346153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165.51</v>
      </c>
      <c r="C1107" s="18">
        <v>203.98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0.19467301862278052</v>
      </c>
      <c r="P1107" s="19">
        <f ca="1">IF('Stock Price'!$I$11="OK",C1107/INDEX(C$5:C$1258,'Stock Price'!$I$9)-1,"")</f>
        <v>0.1166278910633638</v>
      </c>
      <c r="Q1107" s="19">
        <f ca="1">IF('Stock Price'!$I$11="OK",D1107/INDEX(D$5:D$1258,'Stock Price'!$I$9)-1,"")</f>
        <v>0.17005843239975826</v>
      </c>
      <c r="R1107" s="19">
        <f ca="1">IF('Stock Price'!$I$11="OK",E1107/INDEX(E$5:E$1258,'Stock Price'!$I$9)-1,"")</f>
        <v>0.14732750242954329</v>
      </c>
      <c r="S1107" s="19">
        <f ca="1">IF('Stock Price'!$I$11="OK",F1107/INDEX(F$5:F$1258,'Stock Price'!$I$9)-1,"")</f>
        <v>2.4880779597762359E-3</v>
      </c>
      <c r="T1107" s="19">
        <f ca="1">IF('Stock Price'!$I$11="OK",G1107/INDEX(G$5:G$1258,'Stock Price'!$I$9)-1,"")</f>
        <v>0.10118421052631565</v>
      </c>
      <c r="U1107" s="19">
        <f ca="1">IF('Stock Price'!$I$11="OK",H1107/INDEX(H$5:H$1258,'Stock Price'!$I$9)-1,"")</f>
        <v>0.12071395021136677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168.62</v>
      </c>
      <c r="C1108" s="18">
        <v>208.45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0.21712140897935628</v>
      </c>
      <c r="P1108" s="19">
        <f ca="1">IF('Stock Price'!$I$11="OK",C1108/INDEX(C$5:C$1258,'Stock Price'!$I$9)-1,"")</f>
        <v>0.14109757766525233</v>
      </c>
      <c r="Q1108" s="19">
        <f ca="1">IF('Stock Price'!$I$11="OK",D1108/INDEX(D$5:D$1258,'Stock Price'!$I$9)-1,"")</f>
        <v>0.19141648196655248</v>
      </c>
      <c r="R1108" s="19">
        <f ca="1">IF('Stock Price'!$I$11="OK",E1108/INDEX(E$5:E$1258,'Stock Price'!$I$9)-1,"")</f>
        <v>0.1574344023323615</v>
      </c>
      <c r="S1108" s="19">
        <f ca="1">IF('Stock Price'!$I$11="OK",F1108/INDEX(F$5:F$1258,'Stock Price'!$I$9)-1,"")</f>
        <v>8.9156126891976051E-3</v>
      </c>
      <c r="T1108" s="19">
        <f ca="1">IF('Stock Price'!$I$11="OK",G1108/INDEX(G$5:G$1258,'Stock Price'!$I$9)-1,"")</f>
        <v>0.10552631578947369</v>
      </c>
      <c r="U1108" s="19">
        <f ca="1">IF('Stock Price'!$I$11="OK",H1108/INDEX(H$5:H$1258,'Stock Price'!$I$9)-1,"")</f>
        <v>0.16317519962423654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166.87</v>
      </c>
      <c r="C1109" s="18">
        <v>203.73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0.20448967807131524</v>
      </c>
      <c r="P1109" s="19">
        <f ca="1">IF('Stock Price'!$I$11="OK",C1109/INDEX(C$5:C$1258,'Stock Price'!$I$9)-1,"")</f>
        <v>0.11525934035856022</v>
      </c>
      <c r="Q1109" s="19">
        <f ca="1">IF('Stock Price'!$I$11="OK",D1109/INDEX(D$5:D$1258,'Stock Price'!$I$9)-1,"")</f>
        <v>0.17449123514003628</v>
      </c>
      <c r="R1109" s="19">
        <f ca="1">IF('Stock Price'!$I$11="OK",E1109/INDEX(E$5:E$1258,'Stock Price'!$I$9)-1,"")</f>
        <v>0.12478134110787154</v>
      </c>
      <c r="S1109" s="19">
        <f ca="1">IF('Stock Price'!$I$11="OK",F1109/INDEX(F$5:F$1258,'Stock Price'!$I$9)-1,"")</f>
        <v>-1.1818370308936399E-2</v>
      </c>
      <c r="T1109" s="19">
        <f ca="1">IF('Stock Price'!$I$11="OK",G1109/INDEX(G$5:G$1258,'Stock Price'!$I$9)-1,"")</f>
        <v>6.8684210526315681E-2</v>
      </c>
      <c r="U1109" s="19">
        <f ca="1">IF('Stock Price'!$I$11="OK",H1109/INDEX(H$5:H$1258,'Stock Price'!$I$9)-1,"")</f>
        <v>0.14053546265852512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164.18</v>
      </c>
      <c r="C1110" s="18">
        <v>201.76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0.18507290313266944</v>
      </c>
      <c r="P1110" s="19">
        <f ca="1">IF('Stock Price'!$I$11="OK",C1110/INDEX(C$5:C$1258,'Stock Price'!$I$9)-1,"")</f>
        <v>0.10447516080470765</v>
      </c>
      <c r="Q1110" s="19">
        <f ca="1">IF('Stock Price'!$I$11="OK",D1110/INDEX(D$5:D$1258,'Stock Price'!$I$9)-1,"")</f>
        <v>0.14990932903485787</v>
      </c>
      <c r="R1110" s="19">
        <f ca="1">IF('Stock Price'!$I$11="OK",E1110/INDEX(E$5:E$1258,'Stock Price'!$I$9)-1,"")</f>
        <v>0.12244897959183665</v>
      </c>
      <c r="S1110" s="19">
        <f ca="1">IF('Stock Price'!$I$11="OK",F1110/INDEX(F$5:F$1258,'Stock Price'!$I$9)-1,"")</f>
        <v>-3.6491810076715647E-2</v>
      </c>
      <c r="T1110" s="19">
        <f ca="1">IF('Stock Price'!$I$11="OK",G1110/INDEX(G$5:G$1258,'Stock Price'!$I$9)-1,"")</f>
        <v>8.1578947368421417E-3</v>
      </c>
      <c r="U1110" s="19">
        <f ca="1">IF('Stock Price'!$I$11="OK",H1110/INDEX(H$5:H$1258,'Stock Price'!$I$9)-1,"")</f>
        <v>0.12569281352747774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165.15</v>
      </c>
      <c r="C1111" s="18">
        <v>201.53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0.19207449112169783</v>
      </c>
      <c r="P1111" s="19">
        <f ca="1">IF('Stock Price'!$I$11="OK",C1111/INDEX(C$5:C$1258,'Stock Price'!$I$9)-1,"")</f>
        <v>0.10321609415628852</v>
      </c>
      <c r="Q1111" s="19">
        <f ca="1">IF('Stock Price'!$I$11="OK",D1111/INDEX(D$5:D$1258,'Stock Price'!$I$9)-1,"")</f>
        <v>0.14507354422728169</v>
      </c>
      <c r="R1111" s="19">
        <f ca="1">IF('Stock Price'!$I$11="OK",E1111/INDEX(E$5:E$1258,'Stock Price'!$I$9)-1,"")</f>
        <v>0.12458697764820204</v>
      </c>
      <c r="S1111" s="19">
        <f ca="1">IF('Stock Price'!$I$11="OK",F1111/INDEX(F$5:F$1258,'Stock Price'!$I$9)-1,"")</f>
        <v>-4.1675305826249232E-2</v>
      </c>
      <c r="T1111" s="19">
        <f ca="1">IF('Stock Price'!$I$11="OK",G1111/INDEX(G$5:G$1258,'Stock Price'!$I$9)-1,"")</f>
        <v>-1.5789473684210575E-2</v>
      </c>
      <c r="U1111" s="19">
        <f ca="1">IF('Stock Price'!$I$11="OK",H1111/INDEX(H$5:H$1258,'Stock Price'!$I$9)-1,"")</f>
        <v>0.12992015030530757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161.01</v>
      </c>
      <c r="C1112" s="18">
        <v>197.52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0.16219142485924642</v>
      </c>
      <c r="P1112" s="19">
        <f ca="1">IF('Stock Price'!$I$11="OK",C1112/INDEX(C$5:C$1258,'Stock Price'!$I$9)-1,"")</f>
        <v>8.1264540851238465E-2</v>
      </c>
      <c r="Q1112" s="19">
        <f ca="1">IF('Stock Price'!$I$11="OK",D1112/INDEX(D$5:D$1258,'Stock Price'!$I$9)-1,"")</f>
        <v>0.1136409429780374</v>
      </c>
      <c r="R1112" s="19">
        <f ca="1">IF('Stock Price'!$I$11="OK",E1112/INDEX(E$5:E$1258,'Stock Price'!$I$9)-1,"")</f>
        <v>5.3255587949465388E-2</v>
      </c>
      <c r="S1112" s="19">
        <f ca="1">IF('Stock Price'!$I$11="OK",F1112/INDEX(F$5:F$1258,'Stock Price'!$I$9)-1,"")</f>
        <v>-6.6970765083972594E-2</v>
      </c>
      <c r="T1112" s="19">
        <f ca="1">IF('Stock Price'!$I$11="OK",G1112/INDEX(G$5:G$1258,'Stock Price'!$I$9)-1,"")</f>
        <v>-5.921052631578938E-3</v>
      </c>
      <c r="U1112" s="19">
        <f ca="1">IF('Stock Price'!$I$11="OK",H1112/INDEX(H$5:H$1258,'Stock Price'!$I$9)-1,"")</f>
        <v>9.0371066228276176E-2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160.12</v>
      </c>
      <c r="C1113" s="18">
        <v>194.22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0.15576728742601431</v>
      </c>
      <c r="P1113" s="19">
        <f ca="1">IF('Stock Price'!$I$11="OK",C1113/INDEX(C$5:C$1258,'Stock Price'!$I$9)-1,"")</f>
        <v>6.3199671547830683E-2</v>
      </c>
      <c r="Q1113" s="19">
        <f ca="1">IF('Stock Price'!$I$11="OK",D1113/INDEX(D$5:D$1258,'Stock Price'!$I$9)-1,"")</f>
        <v>9.8327624420713189E-2</v>
      </c>
      <c r="R1113" s="19">
        <f ca="1">IF('Stock Price'!$I$11="OK",E1113/INDEX(E$5:E$1258,'Stock Price'!$I$9)-1,"")</f>
        <v>7.6579203109815364E-2</v>
      </c>
      <c r="S1113" s="19">
        <f ca="1">IF('Stock Price'!$I$11="OK",F1113/INDEX(F$5:F$1258,'Stock Price'!$I$9)-1,"")</f>
        <v>-7.6301057433132868E-2</v>
      </c>
      <c r="T1113" s="19">
        <f ca="1">IF('Stock Price'!$I$11="OK",G1113/INDEX(G$5:G$1258,'Stock Price'!$I$9)-1,"")</f>
        <v>-4.2368421052631611E-2</v>
      </c>
      <c r="U1113" s="19">
        <f ca="1">IF('Stock Price'!$I$11="OK",H1113/INDEX(H$5:H$1258,'Stock Price'!$I$9)-1,"")</f>
        <v>8.7740723344293059E-2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162.79</v>
      </c>
      <c r="C1114" s="18">
        <v>194.95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0.1750396997257111</v>
      </c>
      <c r="P1114" s="19">
        <f ca="1">IF('Stock Price'!$I$11="OK",C1114/INDEX(C$5:C$1258,'Stock Price'!$I$9)-1,"")</f>
        <v>6.7195839605857177E-2</v>
      </c>
      <c r="Q1114" s="19">
        <f ca="1">IF('Stock Price'!$I$11="OK",D1114/INDEX(D$5:D$1258,'Stock Price'!$I$9)-1,"")</f>
        <v>0.11847672778561336</v>
      </c>
      <c r="R1114" s="19">
        <f ca="1">IF('Stock Price'!$I$11="OK",E1114/INDEX(E$5:E$1258,'Stock Price'!$I$9)-1,"")</f>
        <v>6.2196307094266157E-2</v>
      </c>
      <c r="S1114" s="19">
        <f ca="1">IF('Stock Price'!$I$11="OK",F1114/INDEX(F$5:F$1258,'Stock Price'!$I$9)-1,"")</f>
        <v>-8.0447854032759558E-2</v>
      </c>
      <c r="T1114" s="19">
        <f ca="1">IF('Stock Price'!$I$11="OK",G1114/INDEX(G$5:G$1258,'Stock Price'!$I$9)-1,"")</f>
        <v>-1.078947368421046E-2</v>
      </c>
      <c r="U1114" s="19">
        <f ca="1">IF('Stock Price'!$I$11="OK",H1114/INDEX(H$5:H$1258,'Stock Price'!$I$9)-1,"")</f>
        <v>0.10014091122592772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161.59</v>
      </c>
      <c r="C1115" s="18">
        <v>194.99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0.16637794138876871</v>
      </c>
      <c r="P1115" s="19">
        <f ca="1">IF('Stock Price'!$I$11="OK",C1115/INDEX(C$5:C$1258,'Stock Price'!$I$9)-1,"")</f>
        <v>6.7414807718626069E-2</v>
      </c>
      <c r="Q1115" s="19">
        <f ca="1">IF('Stock Price'!$I$11="OK",D1115/INDEX(D$5:D$1258,'Stock Price'!$I$9)-1,"")</f>
        <v>0.11464839814628247</v>
      </c>
      <c r="R1115" s="19">
        <f ca="1">IF('Stock Price'!$I$11="OK",E1115/INDEX(E$5:E$1258,'Stock Price'!$I$9)-1,"")</f>
        <v>3.8678328474246682E-2</v>
      </c>
      <c r="S1115" s="19">
        <f ca="1">IF('Stock Price'!$I$11="OK",F1115/INDEX(F$5:F$1258,'Stock Price'!$I$9)-1,"")</f>
        <v>-8.8326767572050602E-2</v>
      </c>
      <c r="T1115" s="19">
        <f ca="1">IF('Stock Price'!$I$11="OK",G1115/INDEX(G$5:G$1258,'Stock Price'!$I$9)-1,"")</f>
        <v>4.2763157894736947E-2</v>
      </c>
      <c r="U1115" s="19">
        <f ca="1">IF('Stock Price'!$I$11="OK",H1115/INDEX(H$5:H$1258,'Stock Price'!$I$9)-1,"")</f>
        <v>9.9953029591357545E-2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155.80000000000001</v>
      </c>
      <c r="C1116" s="18">
        <v>193.31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0.12458495741302156</v>
      </c>
      <c r="P1116" s="19">
        <f ca="1">IF('Stock Price'!$I$11="OK",C1116/INDEX(C$5:C$1258,'Stock Price'!$I$9)-1,"")</f>
        <v>5.8218146982345731E-2</v>
      </c>
      <c r="Q1116" s="19">
        <f ca="1">IF('Stock Price'!$I$11="OK",D1116/INDEX(D$5:D$1258,'Stock Price'!$I$9)-1,"")</f>
        <v>0.1112230505742493</v>
      </c>
      <c r="R1116" s="19">
        <f ca="1">IF('Stock Price'!$I$11="OK",E1116/INDEX(E$5:E$1258,'Stock Price'!$I$9)-1,"")</f>
        <v>3.790087463556846E-2</v>
      </c>
      <c r="S1116" s="19">
        <f ca="1">IF('Stock Price'!$I$11="OK",F1116/INDEX(F$5:F$1258,'Stock Price'!$I$9)-1,"")</f>
        <v>-8.8948787061994605E-2</v>
      </c>
      <c r="T1116" s="19">
        <f ca="1">IF('Stock Price'!$I$11="OK",G1116/INDEX(G$5:G$1258,'Stock Price'!$I$9)-1,"")</f>
        <v>5.3026315789473699E-2</v>
      </c>
      <c r="U1116" s="19">
        <f ca="1">IF('Stock Price'!$I$11="OK",H1116/INDEX(H$5:H$1258,'Stock Price'!$I$9)-1,"")</f>
        <v>9.1686237670267623E-2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154.25</v>
      </c>
      <c r="C1117" s="18">
        <v>192.5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0.11339685289447088</v>
      </c>
      <c r="P1117" s="19">
        <f ca="1">IF('Stock Price'!$I$11="OK",C1117/INDEX(C$5:C$1258,'Stock Price'!$I$9)-1,"")</f>
        <v>5.3784042698781898E-2</v>
      </c>
      <c r="Q1117" s="19">
        <f ca="1">IF('Stock Price'!$I$11="OK",D1117/INDEX(D$5:D$1258,'Stock Price'!$I$9)-1,"")</f>
        <v>9.3693330646786199E-2</v>
      </c>
      <c r="R1117" s="19">
        <f ca="1">IF('Stock Price'!$I$11="OK",E1117/INDEX(E$5:E$1258,'Stock Price'!$I$9)-1,"")</f>
        <v>9.3294460641399901E-3</v>
      </c>
      <c r="S1117" s="19">
        <f ca="1">IF('Stock Price'!$I$11="OK",F1117/INDEX(F$5:F$1258,'Stock Price'!$I$9)-1,"")</f>
        <v>-9.5376321791415974E-2</v>
      </c>
      <c r="T1117" s="19">
        <f ca="1">IF('Stock Price'!$I$11="OK",G1117/INDEX(G$5:G$1258,'Stock Price'!$I$9)-1,"")</f>
        <v>2.9736842105263284E-2</v>
      </c>
      <c r="U1117" s="19">
        <f ca="1">IF('Stock Price'!$I$11="OK",H1117/INDEX(H$5:H$1258,'Stock Price'!$I$9)-1,"")</f>
        <v>8.8868013151714331E-2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153.44</v>
      </c>
      <c r="C1118" s="18">
        <v>189.9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0.10755016601703482</v>
      </c>
      <c r="P1118" s="19">
        <f ca="1">IF('Stock Price'!$I$11="OK",C1118/INDEX(C$5:C$1258,'Stock Price'!$I$9)-1,"")</f>
        <v>3.9551115368824385E-2</v>
      </c>
      <c r="Q1118" s="19">
        <f ca="1">IF('Stock Price'!$I$11="OK",D1118/INDEX(D$5:D$1258,'Stock Price'!$I$9)-1,"")</f>
        <v>7.5760628652024931E-2</v>
      </c>
      <c r="R1118" s="19">
        <f ca="1">IF('Stock Price'!$I$11="OK",E1118/INDEX(E$5:E$1258,'Stock Price'!$I$9)-1,"")</f>
        <v>-2.5850340136054473E-2</v>
      </c>
      <c r="S1118" s="19">
        <f ca="1">IF('Stock Price'!$I$11="OK",F1118/INDEX(F$5:F$1258,'Stock Price'!$I$9)-1,"")</f>
        <v>-9.5998341281360089E-2</v>
      </c>
      <c r="T1118" s="19">
        <f ca="1">IF('Stock Price'!$I$11="OK",G1118/INDEX(G$5:G$1258,'Stock Price'!$I$9)-1,"")</f>
        <v>1.6710526315789398E-2</v>
      </c>
      <c r="U1118" s="19">
        <f ca="1">IF('Stock Price'!$I$11="OK",H1118/INDEX(H$5:H$1258,'Stock Price'!$I$9)-1,"")</f>
        <v>8.604978863316104E-2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154.87</v>
      </c>
      <c r="C1119" s="18">
        <v>192.01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0.11787209470189119</v>
      </c>
      <c r="P1119" s="19">
        <f ca="1">IF('Stock Price'!$I$11="OK",C1119/INDEX(C$5:C$1258,'Stock Price'!$I$9)-1,"")</f>
        <v>5.1101683317366753E-2</v>
      </c>
      <c r="Q1119" s="19">
        <f ca="1">IF('Stock Price'!$I$11="OK",D1119/INDEX(D$5:D$1258,'Stock Price'!$I$9)-1,"")</f>
        <v>8.3417287930687145E-2</v>
      </c>
      <c r="R1119" s="19">
        <f ca="1">IF('Stock Price'!$I$11="OK",E1119/INDEX(E$5:E$1258,'Stock Price'!$I$9)-1,"")</f>
        <v>1.554907677356665E-3</v>
      </c>
      <c r="S1119" s="19">
        <f ca="1">IF('Stock Price'!$I$11="OK",F1119/INDEX(F$5:F$1258,'Stock Price'!$I$9)-1,"")</f>
        <v>-8.8119427742069267E-2</v>
      </c>
      <c r="T1119" s="19">
        <f ca="1">IF('Stock Price'!$I$11="OK",G1119/INDEX(G$5:G$1258,'Stock Price'!$I$9)-1,"")</f>
        <v>5.500000000000016E-2</v>
      </c>
      <c r="U1119" s="19">
        <f ca="1">IF('Stock Price'!$I$11="OK",H1119/INDEX(H$5:H$1258,'Stock Price'!$I$9)-1,"")</f>
        <v>8.4358853922029242E-2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154.85</v>
      </c>
      <c r="C1120" s="18">
        <v>191.29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0.11772773206294218</v>
      </c>
      <c r="P1120" s="19">
        <f ca="1">IF('Stock Price'!$I$11="OK",C1120/INDEX(C$5:C$1258,'Stock Price'!$I$9)-1,"")</f>
        <v>4.7160257287532481E-2</v>
      </c>
      <c r="Q1120" s="19">
        <f ca="1">IF('Stock Price'!$I$11="OK",D1120/INDEX(D$5:D$1258,'Stock Price'!$I$9)-1,"")</f>
        <v>7.6163610719322872E-2</v>
      </c>
      <c r="R1120" s="19">
        <f ca="1">IF('Stock Price'!$I$11="OK",E1120/INDEX(E$5:E$1258,'Stock Price'!$I$9)-1,"")</f>
        <v>-9.1350826044704903E-3</v>
      </c>
      <c r="S1120" s="19">
        <f ca="1">IF('Stock Price'!$I$11="OK",F1120/INDEX(F$5:F$1258,'Stock Price'!$I$9)-1,"")</f>
        <v>-8.646070910221848E-2</v>
      </c>
      <c r="T1120" s="19">
        <f ca="1">IF('Stock Price'!$I$11="OK",G1120/INDEX(G$5:G$1258,'Stock Price'!$I$9)-1,"")</f>
        <v>5.8157894736842186E-2</v>
      </c>
      <c r="U1120" s="19">
        <f ca="1">IF('Stock Price'!$I$11="OK",H1120/INDEX(H$5:H$1258,'Stock Price'!$I$9)-1,"")</f>
        <v>8.8492249882573981E-2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149.81</v>
      </c>
      <c r="C1121" s="18">
        <v>188.42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8.1348347047784042E-2</v>
      </c>
      <c r="P1121" s="19">
        <f ca="1">IF('Stock Price'!$I$11="OK",C1121/INDEX(C$5:C$1258,'Stock Price'!$I$9)-1,"")</f>
        <v>3.144929519638695E-2</v>
      </c>
      <c r="Q1121" s="19">
        <f ca="1">IF('Stock Price'!$I$11="OK",D1121/INDEX(D$5:D$1258,'Stock Price'!$I$9)-1,"")</f>
        <v>4.8962321176707624E-2</v>
      </c>
      <c r="R1121" s="19">
        <f ca="1">IF('Stock Price'!$I$11="OK",E1121/INDEX(E$5:E$1258,'Stock Price'!$I$9)-1,"")</f>
        <v>-4.3343051506316899E-2</v>
      </c>
      <c r="S1121" s="19">
        <f ca="1">IF('Stock Price'!$I$11="OK",F1121/INDEX(F$5:F$1258,'Stock Price'!$I$9)-1,"")</f>
        <v>-9.3717603151565299E-2</v>
      </c>
      <c r="T1121" s="19">
        <f ca="1">IF('Stock Price'!$I$11="OK",G1121/INDEX(G$5:G$1258,'Stock Price'!$I$9)-1,"")</f>
        <v>4.0263157894736779E-2</v>
      </c>
      <c r="U1121" s="19">
        <f ca="1">IF('Stock Price'!$I$11="OK",H1121/INDEX(H$5:H$1258,'Stock Price'!$I$9)-1,"")</f>
        <v>7.5622357914513882E-2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148.19</v>
      </c>
      <c r="C1122" s="18">
        <v>188.93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6.9654973292911926E-2</v>
      </c>
      <c r="P1122" s="19">
        <f ca="1">IF('Stock Price'!$I$11="OK",C1122/INDEX(C$5:C$1258,'Stock Price'!$I$9)-1,"")</f>
        <v>3.4241138634186319E-2</v>
      </c>
      <c r="Q1122" s="19">
        <f ca="1">IF('Stock Price'!$I$11="OK",D1122/INDEX(D$5:D$1258,'Stock Price'!$I$9)-1,"")</f>
        <v>5.52085432198266E-2</v>
      </c>
      <c r="R1122" s="19">
        <f ca="1">IF('Stock Price'!$I$11="OK",E1122/INDEX(E$5:E$1258,'Stock Price'!$I$9)-1,"")</f>
        <v>-5.9086491739553049E-2</v>
      </c>
      <c r="S1122" s="19">
        <f ca="1">IF('Stock Price'!$I$11="OK",F1122/INDEX(F$5:F$1258,'Stock Price'!$I$9)-1,"")</f>
        <v>-5.9921210864607E-2</v>
      </c>
      <c r="T1122" s="19">
        <f ca="1">IF('Stock Price'!$I$11="OK",G1122/INDEX(G$5:G$1258,'Stock Price'!$I$9)-1,"")</f>
        <v>1.2236842105263213E-2</v>
      </c>
      <c r="U1122" s="19">
        <f ca="1">IF('Stock Price'!$I$11="OK",H1122/INDEX(H$5:H$1258,'Stock Price'!$I$9)-1,"")</f>
        <v>7.2804133395960591E-2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146.03</v>
      </c>
      <c r="C1123" s="18">
        <v>183.6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5.4063808286415549E-2</v>
      </c>
      <c r="P1123" s="19">
        <f ca="1">IF('Stock Price'!$I$11="OK",C1123/INDEX(C$5:C$1258,'Stock Price'!$I$9)-1,"")</f>
        <v>5.0636376077732859E-3</v>
      </c>
      <c r="Q1123" s="19">
        <f ca="1">IF('Stock Price'!$I$11="OK",D1123/INDEX(D$5:D$1258,'Stock Price'!$I$9)-1,"")</f>
        <v>4.4529518436429605E-2</v>
      </c>
      <c r="R1123" s="19">
        <f ca="1">IF('Stock Price'!$I$11="OK",E1123/INDEX(E$5:E$1258,'Stock Price'!$I$9)-1,"")</f>
        <v>-7.8911564625850361E-2</v>
      </c>
      <c r="S1123" s="19">
        <f ca="1">IF('Stock Price'!$I$11="OK",F1123/INDEX(F$5:F$1258,'Stock Price'!$I$9)-1,"")</f>
        <v>-7.5264358283226085E-2</v>
      </c>
      <c r="T1123" s="19">
        <f ca="1">IF('Stock Price'!$I$11="OK",G1123/INDEX(G$5:G$1258,'Stock Price'!$I$9)-1,"")</f>
        <v>1.013157894736838E-2</v>
      </c>
      <c r="U1123" s="19">
        <f ca="1">IF('Stock Price'!$I$11="OK",H1123/INDEX(H$5:H$1258,'Stock Price'!$I$9)-1,"")</f>
        <v>7.2616251761390416E-2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148.09</v>
      </c>
      <c r="C1124" s="18">
        <v>184.07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6.8933160098166635E-2</v>
      </c>
      <c r="P1124" s="19">
        <f ca="1">IF('Stock Price'!$I$11="OK",C1124/INDEX(C$5:C$1258,'Stock Price'!$I$9)-1,"")</f>
        <v>7.6365129328039849E-3</v>
      </c>
      <c r="Q1124" s="19">
        <f ca="1">IF('Stock Price'!$I$11="OK",D1124/INDEX(D$5:D$1258,'Stock Price'!$I$9)-1,"")</f>
        <v>4.7551883941164608E-2</v>
      </c>
      <c r="R1124" s="19">
        <f ca="1">IF('Stock Price'!$I$11="OK",E1124/INDEX(E$5:E$1258,'Stock Price'!$I$9)-1,"")</f>
        <v>-6.4917395529640487E-2</v>
      </c>
      <c r="S1124" s="19">
        <f ca="1">IF('Stock Price'!$I$11="OK",F1124/INDEX(F$5:F$1258,'Stock Price'!$I$9)-1,"")</f>
        <v>-7.1739581173543288E-2</v>
      </c>
      <c r="T1124" s="19">
        <f ca="1">IF('Stock Price'!$I$11="OK",G1124/INDEX(G$5:G$1258,'Stock Price'!$I$9)-1,"")</f>
        <v>1.2236842105263213E-2</v>
      </c>
      <c r="U1124" s="19">
        <f ca="1">IF('Stock Price'!$I$11="OK",H1124/INDEX(H$5:H$1258,'Stock Price'!$I$9)-1,"")</f>
        <v>8.6707374354156874E-2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148.61000000000001</v>
      </c>
      <c r="C1125" s="18">
        <v>185.78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7.2686588710841882E-2</v>
      </c>
      <c r="P1125" s="19">
        <f ca="1">IF('Stock Price'!$I$11="OK",C1125/INDEX(C$5:C$1258,'Stock Price'!$I$9)-1,"")</f>
        <v>1.6997399753660769E-2</v>
      </c>
      <c r="Q1125" s="19">
        <f ca="1">IF('Stock Price'!$I$11="OK",D1125/INDEX(D$5:D$1258,'Stock Price'!$I$9)-1,"")</f>
        <v>6.6895023171468893E-2</v>
      </c>
      <c r="R1125" s="19">
        <f ca="1">IF('Stock Price'!$I$11="OK",E1125/INDEX(E$5:E$1258,'Stock Price'!$I$9)-1,"")</f>
        <v>-6.6472303206997152E-2</v>
      </c>
      <c r="S1125" s="19">
        <f ca="1">IF('Stock Price'!$I$11="OK",F1125/INDEX(F$5:F$1258,'Stock Price'!$I$9)-1,"")</f>
        <v>-6.40680074642338E-2</v>
      </c>
      <c r="T1125" s="19">
        <f ca="1">IF('Stock Price'!$I$11="OK",G1125/INDEX(G$5:G$1258,'Stock Price'!$I$9)-1,"")</f>
        <v>-6.8421052631578716E-3</v>
      </c>
      <c r="U1125" s="19">
        <f ca="1">IF('Stock Price'!$I$11="OK",H1125/INDEX(H$5:H$1258,'Stock Price'!$I$9)-1,"")</f>
        <v>9.3189290746829467E-2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150.75</v>
      </c>
      <c r="C1126" s="18">
        <v>187.14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8.8133391078389023E-2</v>
      </c>
      <c r="P1126" s="19">
        <f ca="1">IF('Stock Price'!$I$11="OK",C1126/INDEX(C$5:C$1258,'Stock Price'!$I$9)-1,"")</f>
        <v>2.4442315587792418E-2</v>
      </c>
      <c r="Q1126" s="19">
        <f ca="1">IF('Stock Price'!$I$11="OK",D1126/INDEX(D$5:D$1258,'Stock Price'!$I$9)-1,"")</f>
        <v>0.1021559540600443</v>
      </c>
      <c r="R1126" s="19">
        <f ca="1">IF('Stock Price'!$I$11="OK",E1126/INDEX(E$5:E$1258,'Stock Price'!$I$9)-1,"")</f>
        <v>-4.8590864917395504E-2</v>
      </c>
      <c r="S1126" s="19">
        <f ca="1">IF('Stock Price'!$I$11="OK",F1126/INDEX(F$5:F$1258,'Stock Price'!$I$9)-1,"")</f>
        <v>-4.5614762595894587E-2</v>
      </c>
      <c r="T1126" s="19">
        <f ca="1">IF('Stock Price'!$I$11="OK",G1126/INDEX(G$5:G$1258,'Stock Price'!$I$9)-1,"")</f>
        <v>3.4210526315789913E-3</v>
      </c>
      <c r="U1126" s="19">
        <f ca="1">IF('Stock Price'!$I$11="OK",H1126/INDEX(H$5:H$1258,'Stock Price'!$I$9)-1,"")</f>
        <v>0.12137153593236261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149.69999999999999</v>
      </c>
      <c r="C1127" s="18">
        <v>183.4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8.0554352533564355E-2</v>
      </c>
      <c r="P1127" s="19">
        <f ca="1">IF('Stock Price'!$I$11="OK",C1127/INDEX(C$5:C$1258,'Stock Price'!$I$9)-1,"")</f>
        <v>3.9687970439303832E-3</v>
      </c>
      <c r="Q1127" s="19">
        <f ca="1">IF('Stock Price'!$I$11="OK",D1127/INDEX(D$5:D$1258,'Stock Price'!$I$9)-1,"")</f>
        <v>8.6842635502720089E-2</v>
      </c>
      <c r="R1127" s="19">
        <f ca="1">IF('Stock Price'!$I$11="OK",E1127/INDEX(E$5:E$1258,'Stock Price'!$I$9)-1,"")</f>
        <v>-5.3061224489795999E-2</v>
      </c>
      <c r="S1127" s="19">
        <f ca="1">IF('Stock Price'!$I$11="OK",F1127/INDEX(F$5:F$1258,'Stock Price'!$I$9)-1,"")</f>
        <v>-3.338171262699563E-2</v>
      </c>
      <c r="T1127" s="19">
        <f ca="1">IF('Stock Price'!$I$11="OK",G1127/INDEX(G$5:G$1258,'Stock Price'!$I$9)-1,"")</f>
        <v>7.2368421052630971E-3</v>
      </c>
      <c r="U1127" s="19">
        <f ca="1">IF('Stock Price'!$I$11="OK",H1127/INDEX(H$5:H$1258,'Stock Price'!$I$9)-1,"")</f>
        <v>0.11723813997181787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148.18</v>
      </c>
      <c r="C1128" s="18">
        <v>188.42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6.9582791973437308E-2</v>
      </c>
      <c r="P1128" s="19">
        <f ca="1">IF('Stock Price'!$I$11="OK",C1128/INDEX(C$5:C$1258,'Stock Price'!$I$9)-1,"")</f>
        <v>3.144929519638695E-2</v>
      </c>
      <c r="Q1128" s="19">
        <f ca="1">IF('Stock Price'!$I$11="OK",D1128/INDEX(D$5:D$1258,'Stock Price'!$I$9)-1,"")</f>
        <v>8.4827725166230161E-2</v>
      </c>
      <c r="R1128" s="19">
        <f ca="1">IF('Stock Price'!$I$11="OK",E1128/INDEX(E$5:E$1258,'Stock Price'!$I$9)-1,"")</f>
        <v>-6.1030126336248824E-2</v>
      </c>
      <c r="S1128" s="19">
        <f ca="1">IF('Stock Price'!$I$11="OK",F1128/INDEX(F$5:F$1258,'Stock Price'!$I$9)-1,"")</f>
        <v>-3.0064275347294167E-2</v>
      </c>
      <c r="T1128" s="19">
        <f ca="1">IF('Stock Price'!$I$11="OK",G1128/INDEX(G$5:G$1258,'Stock Price'!$I$9)-1,"")</f>
        <v>6.8421052631577606E-3</v>
      </c>
      <c r="U1128" s="19">
        <f ca="1">IF('Stock Price'!$I$11="OK",H1128/INDEX(H$5:H$1258,'Stock Price'!$I$9)-1,"")</f>
        <v>0.12381399718177533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150.36000000000001</v>
      </c>
      <c r="C1129" s="18">
        <v>193.88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8.5318319618882699E-2</v>
      </c>
      <c r="P1129" s="19">
        <f ca="1">IF('Stock Price'!$I$11="OK",C1129/INDEX(C$5:C$1258,'Stock Price'!$I$9)-1,"")</f>
        <v>6.133844258929777E-2</v>
      </c>
      <c r="Q1129" s="19">
        <f ca="1">IF('Stock Price'!$I$11="OK",D1129/INDEX(D$5:D$1258,'Stock Price'!$I$9)-1,"")</f>
        <v>9.2685875478541124E-2</v>
      </c>
      <c r="R1129" s="19">
        <f ca="1">IF('Stock Price'!$I$11="OK",E1129/INDEX(E$5:E$1258,'Stock Price'!$I$9)-1,"")</f>
        <v>-5.0728862973760891E-2</v>
      </c>
      <c r="S1129" s="19">
        <f ca="1">IF('Stock Price'!$I$11="OK",F1129/INDEX(F$5:F$1258,'Stock Price'!$I$9)-1,"")</f>
        <v>-3.1308314327182174E-2</v>
      </c>
      <c r="T1129" s="19">
        <f ca="1">IF('Stock Price'!$I$11="OK",G1129/INDEX(G$5:G$1258,'Stock Price'!$I$9)-1,"")</f>
        <v>2.8026315789473566E-2</v>
      </c>
      <c r="U1129" s="19">
        <f ca="1">IF('Stock Price'!$I$11="OK",H1129/INDEX(H$5:H$1258,'Stock Price'!$I$9)-1,"")</f>
        <v>0.1094410521371536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152.75</v>
      </c>
      <c r="C1130" s="18">
        <v>197.22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0.10256965497329307</v>
      </c>
      <c r="P1130" s="19">
        <f ca="1">IF('Stock Price'!$I$11="OK",C1130/INDEX(C$5:C$1258,'Stock Price'!$I$9)-1,"")</f>
        <v>7.9622280005474222E-2</v>
      </c>
      <c r="Q1130" s="19">
        <f ca="1">IF('Stock Price'!$I$11="OK",D1130/INDEX(D$5:D$1258,'Stock Price'!$I$9)-1,"")</f>
        <v>0.11202901470884541</v>
      </c>
      <c r="R1130" s="19">
        <f ca="1">IF('Stock Price'!$I$11="OK",E1130/INDEX(E$5:E$1258,'Stock Price'!$I$9)-1,"")</f>
        <v>-3.3819241982507298E-2</v>
      </c>
      <c r="S1130" s="19">
        <f ca="1">IF('Stock Price'!$I$11="OK",F1130/INDEX(F$5:F$1258,'Stock Price'!$I$9)-1,"")</f>
        <v>-1.0366991499066724E-3</v>
      </c>
      <c r="T1130" s="19">
        <f ca="1">IF('Stock Price'!$I$11="OK",G1130/INDEX(G$5:G$1258,'Stock Price'!$I$9)-1,"")</f>
        <v>3.6447368421052673E-2</v>
      </c>
      <c r="U1130" s="19">
        <f ca="1">IF('Stock Price'!$I$11="OK",H1130/INDEX(H$5:H$1258,'Stock Price'!$I$9)-1,"")</f>
        <v>0.13001409112259288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155.08000000000001</v>
      </c>
      <c r="C1131" s="18">
        <v>200.73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0.11938790241085617</v>
      </c>
      <c r="P1131" s="19">
        <f ca="1">IF('Stock Price'!$I$11="OK",C1131/INDEX(C$5:C$1258,'Stock Price'!$I$9)-1,"")</f>
        <v>9.8836731900916908E-2</v>
      </c>
      <c r="Q1131" s="19">
        <f ca="1">IF('Stock Price'!$I$11="OK",D1131/INDEX(D$5:D$1258,'Stock Price'!$I$9)-1,"")</f>
        <v>0.12814829740076572</v>
      </c>
      <c r="R1131" s="19">
        <f ca="1">IF('Stock Price'!$I$11="OK",E1131/INDEX(E$5:E$1258,'Stock Price'!$I$9)-1,"")</f>
        <v>-2.0408163265306256E-2</v>
      </c>
      <c r="S1131" s="19">
        <f ca="1">IF('Stock Price'!$I$11="OK",F1131/INDEX(F$5:F$1258,'Stock Price'!$I$9)-1,"")</f>
        <v>-1.0366991499066947E-2</v>
      </c>
      <c r="T1131" s="19">
        <f ca="1">IF('Stock Price'!$I$11="OK",G1131/INDEX(G$5:G$1258,'Stock Price'!$I$9)-1,"")</f>
        <v>5.5789473684210389E-2</v>
      </c>
      <c r="U1131" s="19">
        <f ca="1">IF('Stock Price'!$I$11="OK",H1131/INDEX(H$5:H$1258,'Stock Price'!$I$9)-1,"")</f>
        <v>0.1351808360732738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154.03</v>
      </c>
      <c r="C1132" s="18">
        <v>203.49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0.1118088638660315</v>
      </c>
      <c r="P1132" s="19">
        <f ca="1">IF('Stock Price'!$I$11="OK",C1132/INDEX(C$5:C$1258,'Stock Price'!$I$9)-1,"")</f>
        <v>0.11394553168194888</v>
      </c>
      <c r="Q1132" s="19">
        <f ca="1">IF('Stock Price'!$I$11="OK",D1132/INDEX(D$5:D$1258,'Stock Price'!$I$9)-1,"")</f>
        <v>0.14225266975619566</v>
      </c>
      <c r="R1132" s="19">
        <f ca="1">IF('Stock Price'!$I$11="OK",E1132/INDEX(E$5:E$1258,'Stock Price'!$I$9)-1,"")</f>
        <v>-3.1098153547133189E-2</v>
      </c>
      <c r="S1132" s="19">
        <f ca="1">IF('Stock Price'!$I$11="OK",F1132/INDEX(F$5:F$1258,'Stock Price'!$I$9)-1,"")</f>
        <v>-7.0495542193654837E-3</v>
      </c>
      <c r="T1132" s="19">
        <f ca="1">IF('Stock Price'!$I$11="OK",G1132/INDEX(G$5:G$1258,'Stock Price'!$I$9)-1,"")</f>
        <v>4.4605263157894814E-2</v>
      </c>
      <c r="U1132" s="19">
        <f ca="1">IF('Stock Price'!$I$11="OK",H1132/INDEX(H$5:H$1258,'Stock Price'!$I$9)-1,"")</f>
        <v>0.13546265852512929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152.84</v>
      </c>
      <c r="C1133" s="18">
        <v>202.83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0.10321928684856374</v>
      </c>
      <c r="P1133" s="19">
        <f ca="1">IF('Stock Price'!$I$11="OK",C1133/INDEX(C$5:C$1258,'Stock Price'!$I$9)-1,"")</f>
        <v>0.11033255782126727</v>
      </c>
      <c r="Q1133" s="19">
        <f ca="1">IF('Stock Price'!$I$11="OK",D1133/INDEX(D$5:D$1258,'Stock Price'!$I$9)-1,"")</f>
        <v>0.13580495667942771</v>
      </c>
      <c r="R1133" s="19">
        <f ca="1">IF('Stock Price'!$I$11="OK",E1133/INDEX(E$5:E$1258,'Stock Price'!$I$9)-1,"")</f>
        <v>-2.8571428571428692E-2</v>
      </c>
      <c r="S1133" s="19">
        <f ca="1">IF('Stock Price'!$I$11="OK",F1133/INDEX(F$5:F$1258,'Stock Price'!$I$9)-1,"")</f>
        <v>-1.3062409288824295E-2</v>
      </c>
      <c r="T1133" s="19">
        <f ca="1">IF('Stock Price'!$I$11="OK",G1133/INDEX(G$5:G$1258,'Stock Price'!$I$9)-1,"")</f>
        <v>4.4605263157894814E-2</v>
      </c>
      <c r="U1133" s="19">
        <f ca="1">IF('Stock Price'!$I$11="OK",H1133/INDEX(H$5:H$1258,'Stock Price'!$I$9)-1,"")</f>
        <v>0.13527477689055889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151.22</v>
      </c>
      <c r="C1134" s="18">
        <v>200.81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9.1525913093691402E-2</v>
      </c>
      <c r="P1134" s="19">
        <f ca="1">IF('Stock Price'!$I$11="OK",C1134/INDEX(C$5:C$1258,'Stock Price'!$I$9)-1,"")</f>
        <v>9.9274668126454024E-2</v>
      </c>
      <c r="Q1134" s="19">
        <f ca="1">IF('Stock Price'!$I$11="OK",D1134/INDEX(D$5:D$1258,'Stock Price'!$I$9)-1,"")</f>
        <v>0.12512593189603072</v>
      </c>
      <c r="R1134" s="19">
        <f ca="1">IF('Stock Price'!$I$11="OK",E1134/INDEX(E$5:E$1258,'Stock Price'!$I$9)-1,"")</f>
        <v>-4.081632653061229E-2</v>
      </c>
      <c r="S1134" s="19">
        <f ca="1">IF('Stock Price'!$I$11="OK",F1134/INDEX(F$5:F$1258,'Stock Price'!$I$9)-1,"")</f>
        <v>-2.9027576197387495E-2</v>
      </c>
      <c r="T1134" s="19">
        <f ca="1">IF('Stock Price'!$I$11="OK",G1134/INDEX(G$5:G$1258,'Stock Price'!$I$9)-1,"")</f>
        <v>3.3421052631579018E-2</v>
      </c>
      <c r="U1134" s="19">
        <f ca="1">IF('Stock Price'!$I$11="OK",H1134/INDEX(H$5:H$1258,'Stock Price'!$I$9)-1,"")</f>
        <v>0.1205260685767966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154.41999999999999</v>
      </c>
      <c r="C1135" s="18">
        <v>204.27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0.11462393532553783</v>
      </c>
      <c r="P1135" s="19">
        <f ca="1">IF('Stock Price'!$I$11="OK",C1135/INDEX(C$5:C$1258,'Stock Price'!$I$9)-1,"")</f>
        <v>0.11821540988093604</v>
      </c>
      <c r="Q1135" s="19">
        <f ca="1">IF('Stock Price'!$I$11="OK",D1135/INDEX(D$5:D$1258,'Stock Price'!$I$9)-1,"")</f>
        <v>0.15595406004432788</v>
      </c>
      <c r="R1135" s="19">
        <f ca="1">IF('Stock Price'!$I$11="OK",E1135/INDEX(E$5:E$1258,'Stock Price'!$I$9)-1,"")</f>
        <v>-2.6627793974732805E-2</v>
      </c>
      <c r="S1135" s="19">
        <f ca="1">IF('Stock Price'!$I$11="OK",F1135/INDEX(F$5:F$1258,'Stock Price'!$I$9)-1,"")</f>
        <v>-2.2600041467965903E-2</v>
      </c>
      <c r="T1135" s="19">
        <f ca="1">IF('Stock Price'!$I$11="OK",G1135/INDEX(G$5:G$1258,'Stock Price'!$I$9)-1,"")</f>
        <v>6.526315789473669E-2</v>
      </c>
      <c r="U1135" s="19">
        <f ca="1">IF('Stock Price'!$I$11="OK",H1135/INDEX(H$5:H$1258,'Stock Price'!$I$9)-1,"")</f>
        <v>0.15716298731798961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155.06</v>
      </c>
      <c r="C1136" s="18">
        <v>204.99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0.11924353977190716</v>
      </c>
      <c r="P1136" s="19">
        <f ca="1">IF('Stock Price'!$I$11="OK",C1136/INDEX(C$5:C$1258,'Stock Price'!$I$9)-1,"")</f>
        <v>0.12215683591077053</v>
      </c>
      <c r="Q1136" s="19">
        <f ca="1">IF('Stock Price'!$I$11="OK",D1136/INDEX(D$5:D$1258,'Stock Price'!$I$9)-1,"")</f>
        <v>0.1759016723755793</v>
      </c>
      <c r="R1136" s="19">
        <f ca="1">IF('Stock Price'!$I$11="OK",E1136/INDEX(E$5:E$1258,'Stock Price'!$I$9)-1,"")</f>
        <v>-2.2157434402332421E-2</v>
      </c>
      <c r="S1136" s="19">
        <f ca="1">IF('Stock Price'!$I$11="OK",F1136/INDEX(F$5:F$1258,'Stock Price'!$I$9)-1,"")</f>
        <v>-2.3844080447854021E-2</v>
      </c>
      <c r="T1136" s="19">
        <f ca="1">IF('Stock Price'!$I$11="OK",G1136/INDEX(G$5:G$1258,'Stock Price'!$I$9)-1,"")</f>
        <v>6.4473684210526461E-2</v>
      </c>
      <c r="U1136" s="19">
        <f ca="1">IF('Stock Price'!$I$11="OK",H1136/INDEX(H$5:H$1258,'Stock Price'!$I$9)-1,"")</f>
        <v>0.15246594645373412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154.05000000000001</v>
      </c>
      <c r="C1137" s="18">
        <v>204.03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0.11195322650498074</v>
      </c>
      <c r="P1137" s="19">
        <f ca="1">IF('Stock Price'!$I$11="OK",C1137/INDEX(C$5:C$1258,'Stock Price'!$I$9)-1,"")</f>
        <v>0.11690160120432447</v>
      </c>
      <c r="Q1137" s="19">
        <f ca="1">IF('Stock Price'!$I$11="OK",D1137/INDEX(D$5:D$1258,'Stock Price'!$I$9)-1,"")</f>
        <v>0.1728793068708443</v>
      </c>
      <c r="R1137" s="19">
        <f ca="1">IF('Stock Price'!$I$11="OK",E1137/INDEX(E$5:E$1258,'Stock Price'!$I$9)-1,"")</f>
        <v>-2.7405247813411138E-2</v>
      </c>
      <c r="S1137" s="19">
        <f ca="1">IF('Stock Price'!$I$11="OK",F1137/INDEX(F$5:F$1258,'Stock Price'!$I$9)-1,"")</f>
        <v>-3.0478955007256836E-2</v>
      </c>
      <c r="T1137" s="19">
        <f ca="1">IF('Stock Price'!$I$11="OK",G1137/INDEX(G$5:G$1258,'Stock Price'!$I$9)-1,"")</f>
        <v>5.5789473684210389E-2</v>
      </c>
      <c r="U1137" s="19">
        <f ca="1">IF('Stock Price'!$I$11="OK",H1137/INDEX(H$5:H$1258,'Stock Price'!$I$9)-1,"")</f>
        <v>0.14062940347581021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154.47</v>
      </c>
      <c r="C1138" s="18">
        <v>202.24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0.11498484192291047</v>
      </c>
      <c r="P1138" s="19">
        <f ca="1">IF('Stock Price'!$I$11="OK",C1138/INDEX(C$5:C$1258,'Stock Price'!$I$9)-1,"")</f>
        <v>0.10710277815793079</v>
      </c>
      <c r="Q1138" s="19">
        <f ca="1">IF('Stock Price'!$I$11="OK",D1138/INDEX(D$5:D$1258,'Stock Price'!$I$9)-1,"")</f>
        <v>0.18758815232722137</v>
      </c>
      <c r="R1138" s="19">
        <f ca="1">IF('Stock Price'!$I$11="OK",E1138/INDEX(E$5:E$1258,'Stock Price'!$I$9)-1,"")</f>
        <v>-1.4771622934888318E-2</v>
      </c>
      <c r="S1138" s="19">
        <f ca="1">IF('Stock Price'!$I$11="OK",F1138/INDEX(F$5:F$1258,'Stock Price'!$I$9)-1,"")</f>
        <v>-2.6332158407630035E-2</v>
      </c>
      <c r="T1138" s="19">
        <f ca="1">IF('Stock Price'!$I$11="OK",G1138/INDEX(G$5:G$1258,'Stock Price'!$I$9)-1,"")</f>
        <v>7.3421052631578831E-2</v>
      </c>
      <c r="U1138" s="19">
        <f ca="1">IF('Stock Price'!$I$11="OK",H1138/INDEX(H$5:H$1258,'Stock Price'!$I$9)-1,"")</f>
        <v>0.12869891968060121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153.38</v>
      </c>
      <c r="C1139" s="18">
        <v>204.38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0.10711707810018778</v>
      </c>
      <c r="P1139" s="19">
        <f ca="1">IF('Stock Price'!$I$11="OK",C1139/INDEX(C$5:C$1258,'Stock Price'!$I$9)-1,"")</f>
        <v>0.1188175721910496</v>
      </c>
      <c r="Q1139" s="19">
        <f ca="1">IF('Stock Price'!$I$11="OK",D1139/INDEX(D$5:D$1258,'Stock Price'!$I$9)-1,"")</f>
        <v>0.19242393713479733</v>
      </c>
      <c r="R1139" s="19">
        <f ca="1">IF('Stock Price'!$I$11="OK",E1139/INDEX(E$5:E$1258,'Stock Price'!$I$9)-1,"")</f>
        <v>-8.1632653061224358E-3</v>
      </c>
      <c r="S1139" s="19">
        <f ca="1">IF('Stock Price'!$I$11="OK",F1139/INDEX(F$5:F$1258,'Stock Price'!$I$9)-1,"")</f>
        <v>-1.2233049968898957E-2</v>
      </c>
      <c r="T1139" s="19">
        <f ca="1">IF('Stock Price'!$I$11="OK",G1139/INDEX(G$5:G$1258,'Stock Price'!$I$9)-1,"")</f>
        <v>6.8684210526315681E-2</v>
      </c>
      <c r="U1139" s="19">
        <f ca="1">IF('Stock Price'!$I$11="OK",H1139/INDEX(H$5:H$1258,'Stock Price'!$I$9)-1,"")</f>
        <v>0.1269140441521841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152.08000000000001</v>
      </c>
      <c r="C1140" s="18">
        <v>201.21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9.7733506568500328E-2</v>
      </c>
      <c r="P1140" s="19">
        <f ca="1">IF('Stock Price'!$I$11="OK",C1140/INDEX(C$5:C$1258,'Stock Price'!$I$9)-1,"")</f>
        <v>0.10146434925413983</v>
      </c>
      <c r="Q1140" s="19">
        <f ca="1">IF('Stock Price'!$I$11="OK",D1140/INDEX(D$5:D$1258,'Stock Price'!$I$9)-1,"")</f>
        <v>0.16481966552488414</v>
      </c>
      <c r="R1140" s="19">
        <f ca="1">IF('Stock Price'!$I$11="OK",E1140/INDEX(E$5:E$1258,'Stock Price'!$I$9)-1,"")</f>
        <v>-8.9407191448007683E-3</v>
      </c>
      <c r="S1140" s="19">
        <f ca="1">IF('Stock Price'!$I$11="OK",F1140/INDEX(F$5:F$1258,'Stock Price'!$I$9)-1,"")</f>
        <v>-4.3541364296080243E-3</v>
      </c>
      <c r="T1140" s="19">
        <f ca="1">IF('Stock Price'!$I$11="OK",G1140/INDEX(G$5:G$1258,'Stock Price'!$I$9)-1,"")</f>
        <v>7.2105263157894894E-2</v>
      </c>
      <c r="U1140" s="19">
        <f ca="1">IF('Stock Price'!$I$11="OK",H1140/INDEX(H$5:H$1258,'Stock Price'!$I$9)-1,"")</f>
        <v>0.10756223579145141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149.72999999999999</v>
      </c>
      <c r="C1141" s="18">
        <v>200.47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8.0770896491987765E-2</v>
      </c>
      <c r="P1141" s="19">
        <f ca="1">IF('Stock Price'!$I$11="OK",C1141/INDEX(C$5:C$1258,'Stock Price'!$I$9)-1,"")</f>
        <v>9.7413439167921112E-2</v>
      </c>
      <c r="Q1141" s="19">
        <f ca="1">IF('Stock Price'!$I$11="OK",D1141/INDEX(D$5:D$1258,'Stock Price'!$I$9)-1,"")</f>
        <v>0.15111827523675192</v>
      </c>
      <c r="R1141" s="19">
        <f ca="1">IF('Stock Price'!$I$11="OK",E1141/INDEX(E$5:E$1258,'Stock Price'!$I$9)-1,"")</f>
        <v>-2.9543245869776524E-2</v>
      </c>
      <c r="S1141" s="19">
        <f ca="1">IF('Stock Price'!$I$11="OK",F1141/INDEX(F$5:F$1258,'Stock Price'!$I$9)-1,"")</f>
        <v>-1.0574331329048281E-2</v>
      </c>
      <c r="T1141" s="19">
        <f ca="1">IF('Stock Price'!$I$11="OK",G1141/INDEX(G$5:G$1258,'Stock Price'!$I$9)-1,"")</f>
        <v>7.0789473684210513E-2</v>
      </c>
      <c r="U1141" s="19">
        <f ca="1">IF('Stock Price'!$I$11="OK",H1141/INDEX(H$5:H$1258,'Stock Price'!$I$9)-1,"")</f>
        <v>8.4640676373884283E-2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151.97</v>
      </c>
      <c r="C1142" s="18">
        <v>204.8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9.6939512054280419E-2</v>
      </c>
      <c r="P1142" s="19">
        <f ca="1">IF('Stock Price'!$I$11="OK",C1142/INDEX(C$5:C$1258,'Stock Price'!$I$9)-1,"")</f>
        <v>0.12111673737511963</v>
      </c>
      <c r="Q1142" s="19">
        <f ca="1">IF('Stock Price'!$I$11="OK",D1142/INDEX(D$5:D$1258,'Stock Price'!$I$9)-1,"")</f>
        <v>0.17570018134193033</v>
      </c>
      <c r="R1142" s="19">
        <f ca="1">IF('Stock Price'!$I$11="OK",E1142/INDEX(E$5:E$1258,'Stock Price'!$I$9)-1,"")</f>
        <v>-3.4985422740524408E-3</v>
      </c>
      <c r="S1142" s="19">
        <f ca="1">IF('Stock Price'!$I$11="OK",F1142/INDEX(F$5:F$1258,'Stock Price'!$I$9)-1,"")</f>
        <v>-3.5247771096826863E-3</v>
      </c>
      <c r="T1142" s="19">
        <f ca="1">IF('Stock Price'!$I$11="OK",G1142/INDEX(G$5:G$1258,'Stock Price'!$I$9)-1,"")</f>
        <v>8.1578947368421195E-2</v>
      </c>
      <c r="U1142" s="19">
        <f ca="1">IF('Stock Price'!$I$11="OK",H1142/INDEX(H$5:H$1258,'Stock Price'!$I$9)-1,"")</f>
        <v>0.11855331141380931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150.99</v>
      </c>
      <c r="C1143" s="18">
        <v>200.69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8.9865742745777411E-2</v>
      </c>
      <c r="P1143" s="19">
        <f ca="1">IF('Stock Price'!$I$11="OK",C1143/INDEX(C$5:C$1258,'Stock Price'!$I$9)-1,"")</f>
        <v>9.8617763788148238E-2</v>
      </c>
      <c r="Q1143" s="19">
        <f ca="1">IF('Stock Price'!$I$11="OK",D1143/INDEX(D$5:D$1258,'Stock Price'!$I$9)-1,"")</f>
        <v>0.15555107797702994</v>
      </c>
      <c r="R1143" s="19">
        <f ca="1">IF('Stock Price'!$I$11="OK",E1143/INDEX(E$5:E$1258,'Stock Price'!$I$9)-1,"")</f>
        <v>-2.3323615160351086E-3</v>
      </c>
      <c r="S1143" s="19">
        <f ca="1">IF('Stock Price'!$I$11="OK",F1143/INDEX(F$5:F$1258,'Stock Price'!$I$9)-1,"")</f>
        <v>-4.9761559195520277E-3</v>
      </c>
      <c r="T1143" s="19">
        <f ca="1">IF('Stock Price'!$I$11="OK",G1143/INDEX(G$5:G$1258,'Stock Price'!$I$9)-1,"")</f>
        <v>8.8421052631578956E-2</v>
      </c>
      <c r="U1143" s="19">
        <f ca="1">IF('Stock Price'!$I$11="OK",H1143/INDEX(H$5:H$1258,'Stock Price'!$I$9)-1,"")</f>
        <v>0.10004697040864241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147.97</v>
      </c>
      <c r="C1144" s="18">
        <v>195.78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6.806698426447233E-2</v>
      </c>
      <c r="P1144" s="19">
        <f ca="1">IF('Stock Price'!$I$11="OK",C1144/INDEX(C$5:C$1258,'Stock Price'!$I$9)-1,"")</f>
        <v>7.1739427945805234E-2</v>
      </c>
      <c r="Q1144" s="19">
        <f ca="1">IF('Stock Price'!$I$11="OK",D1144/INDEX(D$5:D$1258,'Stock Price'!$I$9)-1,"")</f>
        <v>0.13076768083820256</v>
      </c>
      <c r="R1144" s="19">
        <f ca="1">IF('Stock Price'!$I$11="OK",E1144/INDEX(E$5:E$1258,'Stock Price'!$I$9)-1,"")</f>
        <v>-2.9543245869776524E-2</v>
      </c>
      <c r="S1144" s="19">
        <f ca="1">IF('Stock Price'!$I$11="OK",F1144/INDEX(F$5:F$1258,'Stock Price'!$I$9)-1,"")</f>
        <v>-2.2807381297947238E-2</v>
      </c>
      <c r="T1144" s="19">
        <f ca="1">IF('Stock Price'!$I$11="OK",G1144/INDEX(G$5:G$1258,'Stock Price'!$I$9)-1,"")</f>
        <v>5.1842105263157912E-2</v>
      </c>
      <c r="U1144" s="19">
        <f ca="1">IF('Stock Price'!$I$11="OK",H1144/INDEX(H$5:H$1258,'Stock Price'!$I$9)-1,"")</f>
        <v>5.7397839361202463E-2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147.32</v>
      </c>
      <c r="C1145" s="18">
        <v>194.81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6.3375198498628604E-2</v>
      </c>
      <c r="P1145" s="19">
        <f ca="1">IF('Stock Price'!$I$11="OK",C1145/INDEX(C$5:C$1258,'Stock Price'!$I$9)-1,"")</f>
        <v>6.642945121116739E-2</v>
      </c>
      <c r="Q1145" s="19">
        <f ca="1">IF('Stock Price'!$I$11="OK",D1145/INDEX(D$5:D$1258,'Stock Price'!$I$9)-1,"")</f>
        <v>0.12230505742494469</v>
      </c>
      <c r="R1145" s="19">
        <f ca="1">IF('Stock Price'!$I$11="OK",E1145/INDEX(E$5:E$1258,'Stock Price'!$I$9)-1,"")</f>
        <v>-4.8590864917396059E-3</v>
      </c>
      <c r="S1145" s="19">
        <f ca="1">IF('Stock Price'!$I$11="OK",F1145/INDEX(F$5:F$1258,'Stock Price'!$I$9)-1,"")</f>
        <v>-2.7576197387518153E-2</v>
      </c>
      <c r="T1145" s="19">
        <f ca="1">IF('Stock Price'!$I$11="OK",G1145/INDEX(G$5:G$1258,'Stock Price'!$I$9)-1,"")</f>
        <v>5.8947368421052637E-2</v>
      </c>
      <c r="U1145" s="19">
        <f ca="1">IF('Stock Price'!$I$11="OK",H1145/INDEX(H$5:H$1258,'Stock Price'!$I$9)-1,"")</f>
        <v>6.0497886331611017E-2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147.47999999999999</v>
      </c>
      <c r="C1146" s="18">
        <v>192.3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6.4530099610220937E-2</v>
      </c>
      <c r="P1146" s="19">
        <f ca="1">IF('Stock Price'!$I$11="OK",C1146/INDEX(C$5:C$1258,'Stock Price'!$I$9)-1,"")</f>
        <v>5.2689202134938995E-2</v>
      </c>
      <c r="Q1146" s="19">
        <f ca="1">IF('Stock Price'!$I$11="OK",D1146/INDEX(D$5:D$1258,'Stock Price'!$I$9)-1,"")</f>
        <v>0.12089462018940167</v>
      </c>
      <c r="R1146" s="19">
        <f ca="1">IF('Stock Price'!$I$11="OK",E1146/INDEX(E$5:E$1258,'Stock Price'!$I$9)-1,"")</f>
        <v>7.968901846452825E-3</v>
      </c>
      <c r="S1146" s="19">
        <f ca="1">IF('Stock Price'!$I$11="OK",F1146/INDEX(F$5:F$1258,'Stock Price'!$I$9)-1,"")</f>
        <v>-1.4513788098693636E-2</v>
      </c>
      <c r="T1146" s="19">
        <f ca="1">IF('Stock Price'!$I$11="OK",G1146/INDEX(G$5:G$1258,'Stock Price'!$I$9)-1,"")</f>
        <v>5.3684210526315779E-2</v>
      </c>
      <c r="U1146" s="19">
        <f ca="1">IF('Stock Price'!$I$11="OK",H1146/INDEX(H$5:H$1258,'Stock Price'!$I$9)-1,"")</f>
        <v>7.6749647721935155E-2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145.47</v>
      </c>
      <c r="C1147" s="18">
        <v>189.75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5.0021654395842496E-2</v>
      </c>
      <c r="P1147" s="19">
        <f ca="1">IF('Stock Price'!$I$11="OK",C1147/INDEX(C$5:C$1258,'Stock Price'!$I$9)-1,"")</f>
        <v>3.8729984945942153E-2</v>
      </c>
      <c r="Q1147" s="19">
        <f ca="1">IF('Stock Price'!$I$11="OK",D1147/INDEX(D$5:D$1258,'Stock Price'!$I$9)-1,"")</f>
        <v>9.6917187185170173E-2</v>
      </c>
      <c r="R1147" s="19">
        <f ca="1">IF('Stock Price'!$I$11="OK",E1147/INDEX(E$5:E$1258,'Stock Price'!$I$9)-1,"")</f>
        <v>3.6929057337220517E-3</v>
      </c>
      <c r="S1147" s="19">
        <f ca="1">IF('Stock Price'!$I$11="OK",F1147/INDEX(F$5:F$1258,'Stock Price'!$I$9)-1,"")</f>
        <v>-3.0064275347294167E-2</v>
      </c>
      <c r="T1147" s="19">
        <f ca="1">IF('Stock Price'!$I$11="OK",G1147/INDEX(G$5:G$1258,'Stock Price'!$I$9)-1,"")</f>
        <v>1.3157894736842035E-2</v>
      </c>
      <c r="U1147" s="19">
        <f ca="1">IF('Stock Price'!$I$11="OK",H1147/INDEX(H$5:H$1258,'Stock Price'!$I$9)-1,"")</f>
        <v>5.1197745420385132E-2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144.19</v>
      </c>
      <c r="C1148" s="18">
        <v>187.51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4.0782445503103837E-2</v>
      </c>
      <c r="P1148" s="19">
        <f ca="1">IF('Stock Price'!$I$11="OK",C1148/INDEX(C$5:C$1258,'Stock Price'!$I$9)-1,"")</f>
        <v>2.6467770630901777E-2</v>
      </c>
      <c r="Q1148" s="19">
        <f ca="1">IF('Stock Price'!$I$11="OK",D1148/INDEX(D$5:D$1258,'Stock Price'!$I$9)-1,"")</f>
        <v>9.2484384444892154E-2</v>
      </c>
      <c r="R1148" s="19">
        <f ca="1">IF('Stock Price'!$I$11="OK",E1148/INDEX(E$5:E$1258,'Stock Price'!$I$9)-1,"")</f>
        <v>-4.4703595724004952E-3</v>
      </c>
      <c r="S1148" s="19">
        <f ca="1">IF('Stock Price'!$I$11="OK",F1148/INDEX(F$5:F$1258,'Stock Price'!$I$9)-1,"")</f>
        <v>-4.8310180385652046E-2</v>
      </c>
      <c r="T1148" s="19">
        <f ca="1">IF('Stock Price'!$I$11="OK",G1148/INDEX(G$5:G$1258,'Stock Price'!$I$9)-1,"")</f>
        <v>1.0000000000000009E-2</v>
      </c>
      <c r="U1148" s="19">
        <f ca="1">IF('Stock Price'!$I$11="OK",H1148/INDEX(H$5:H$1258,'Stock Price'!$I$9)-1,"")</f>
        <v>3.5509628933771742E-2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145.5</v>
      </c>
      <c r="C1149" s="18">
        <v>186.68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5.0238198354265906E-2</v>
      </c>
      <c r="P1149" s="19">
        <f ca="1">IF('Stock Price'!$I$11="OK",C1149/INDEX(C$5:C$1258,'Stock Price'!$I$9)-1,"")</f>
        <v>2.1924182290953942E-2</v>
      </c>
      <c r="Q1149" s="19">
        <f ca="1">IF('Stock Price'!$I$11="OK",D1149/INDEX(D$5:D$1258,'Stock Price'!$I$9)-1,"")</f>
        <v>9.7521660286117084E-2</v>
      </c>
      <c r="R1149" s="19">
        <f ca="1">IF('Stock Price'!$I$11="OK",E1149/INDEX(E$5:E$1258,'Stock Price'!$I$9)-1,"")</f>
        <v>-7.968901846452936E-3</v>
      </c>
      <c r="S1149" s="19">
        <f ca="1">IF('Stock Price'!$I$11="OK",F1149/INDEX(F$5:F$1258,'Stock Price'!$I$9)-1,"")</f>
        <v>-4.7273481235745263E-2</v>
      </c>
      <c r="T1149" s="19">
        <f ca="1">IF('Stock Price'!$I$11="OK",G1149/INDEX(G$5:G$1258,'Stock Price'!$I$9)-1,"")</f>
        <v>-3.6315789473684301E-2</v>
      </c>
      <c r="U1149" s="19">
        <f ca="1">IF('Stock Price'!$I$11="OK",H1149/INDEX(H$5:H$1258,'Stock Price'!$I$9)-1,"")</f>
        <v>3.3630812588069547E-2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142.94</v>
      </c>
      <c r="C1150" s="18">
        <v>185.2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3.1759780568788809E-2</v>
      </c>
      <c r="P1150" s="19">
        <f ca="1">IF('Stock Price'!$I$11="OK",C1150/INDEX(C$5:C$1258,'Stock Price'!$I$9)-1,"")</f>
        <v>1.3822362118516285E-2</v>
      </c>
      <c r="Q1150" s="19">
        <f ca="1">IF('Stock Price'!$I$11="OK",D1150/INDEX(D$5:D$1258,'Stock Price'!$I$9)-1,"")</f>
        <v>3.5663912955873345E-2</v>
      </c>
      <c r="R1150" s="19">
        <f ca="1">IF('Stock Price'!$I$11="OK",E1150/INDEX(E$5:E$1258,'Stock Price'!$I$9)-1,"")</f>
        <v>-1.9825072886297423E-2</v>
      </c>
      <c r="S1150" s="19">
        <f ca="1">IF('Stock Price'!$I$11="OK",F1150/INDEX(F$5:F$1258,'Stock Price'!$I$9)-1,"")</f>
        <v>-4.5614762595894587E-2</v>
      </c>
      <c r="T1150" s="19">
        <f ca="1">IF('Stock Price'!$I$11="OK",G1150/INDEX(G$5:G$1258,'Stock Price'!$I$9)-1,"")</f>
        <v>-4.0789473684210487E-2</v>
      </c>
      <c r="U1150" s="19">
        <f ca="1">IF('Stock Price'!$I$11="OK",H1150/INDEX(H$5:H$1258,'Stock Price'!$I$9)-1,"")</f>
        <v>4.2273367778299598E-2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147.85</v>
      </c>
      <c r="C1151" s="18">
        <v>187.37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6.7200808430778025E-2</v>
      </c>
      <c r="P1151" s="19">
        <f ca="1">IF('Stock Price'!$I$11="OK",C1151/INDEX(C$5:C$1258,'Stock Price'!$I$9)-1,"")</f>
        <v>2.5701382236211767E-2</v>
      </c>
      <c r="Q1151" s="19">
        <f ca="1">IF('Stock Price'!$I$11="OK",D1151/INDEX(D$5:D$1258,'Stock Price'!$I$9)-1,"")</f>
        <v>5.3999597017932777E-2</v>
      </c>
      <c r="R1151" s="19">
        <f ca="1">IF('Stock Price'!$I$11="OK",E1151/INDEX(E$5:E$1258,'Stock Price'!$I$9)-1,"")</f>
        <v>-1.1078717201166155E-2</v>
      </c>
      <c r="S1151" s="19">
        <f ca="1">IF('Stock Price'!$I$11="OK",F1151/INDEX(F$5:F$1258,'Stock Price'!$I$9)-1,"")</f>
        <v>-3.4211071946920968E-2</v>
      </c>
      <c r="T1151" s="19">
        <f ca="1">IF('Stock Price'!$I$11="OK",G1151/INDEX(G$5:G$1258,'Stock Price'!$I$9)-1,"")</f>
        <v>1.3157894736841591E-3</v>
      </c>
      <c r="U1151" s="19">
        <f ca="1">IF('Stock Price'!$I$11="OK",H1151/INDEX(H$5:H$1258,'Stock Price'!$I$9)-1,"")</f>
        <v>2.564584311883511E-2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146.57</v>
      </c>
      <c r="C1152" s="18">
        <v>184.74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5.7961599538039588E-2</v>
      </c>
      <c r="P1152" s="19">
        <f ca="1">IF('Stock Price'!$I$11="OK",C1152/INDEX(C$5:C$1258,'Stock Price'!$I$9)-1,"")</f>
        <v>1.1304228821677809E-2</v>
      </c>
      <c r="Q1152" s="19">
        <f ca="1">IF('Stock Price'!$I$11="OK",D1152/INDEX(D$5:D$1258,'Stock Price'!$I$9)-1,"")</f>
        <v>3.9895224662502393E-2</v>
      </c>
      <c r="R1152" s="19">
        <f ca="1">IF('Stock Price'!$I$11="OK",E1152/INDEX(E$5:E$1258,'Stock Price'!$I$9)-1,"")</f>
        <v>-8.7463556851312685E-3</v>
      </c>
      <c r="S1152" s="19">
        <f ca="1">IF('Stock Price'!$I$11="OK",F1152/INDEX(F$5:F$1258,'Stock Price'!$I$9)-1,"")</f>
        <v>-4.4578063445987914E-2</v>
      </c>
      <c r="T1152" s="19">
        <f ca="1">IF('Stock Price'!$I$11="OK",G1152/INDEX(G$5:G$1258,'Stock Price'!$I$9)-1,"")</f>
        <v>1.3157894736841591E-3</v>
      </c>
      <c r="U1152" s="19">
        <f ca="1">IF('Stock Price'!$I$11="OK",H1152/INDEX(H$5:H$1258,'Stock Price'!$I$9)-1,"")</f>
        <v>5.3640206669798074E-2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144.62</v>
      </c>
      <c r="C1153" s="18">
        <v>183.46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4.3886242240508189E-2</v>
      </c>
      <c r="P1153" s="19">
        <f ca="1">IF('Stock Price'!$I$11="OK",C1153/INDEX(C$5:C$1258,'Stock Price'!$I$9)-1,"")</f>
        <v>4.2972492130832762E-3</v>
      </c>
      <c r="Q1153" s="19">
        <f ca="1">IF('Stock Price'!$I$11="OK",D1153/INDEX(D$5:D$1258,'Stock Price'!$I$9)-1,"")</f>
        <v>2.5589361273423261E-2</v>
      </c>
      <c r="R1153" s="19">
        <f ca="1">IF('Stock Price'!$I$11="OK",E1153/INDEX(E$5:E$1258,'Stock Price'!$I$9)-1,"")</f>
        <v>-2.2740524781341143E-2</v>
      </c>
      <c r="S1153" s="19">
        <f ca="1">IF('Stock Price'!$I$11="OK",F1153/INDEX(F$5:F$1258,'Stock Price'!$I$9)-1,"")</f>
        <v>-0.10118183703089356</v>
      </c>
      <c r="T1153" s="19">
        <f ca="1">IF('Stock Price'!$I$11="OK",G1153/INDEX(G$5:G$1258,'Stock Price'!$I$9)-1,"")</f>
        <v>-1.5789473684210575E-2</v>
      </c>
      <c r="U1153" s="19">
        <f ca="1">IF('Stock Price'!$I$11="OK",H1153/INDEX(H$5:H$1258,'Stock Price'!$I$9)-1,"")</f>
        <v>6.2564584311883387E-2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145.5</v>
      </c>
      <c r="C1154" s="18">
        <v>181.24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5.0238198354265906E-2</v>
      </c>
      <c r="P1154" s="19">
        <f ca="1">IF('Stock Price'!$I$11="OK",C1154/INDEX(C$5:C$1258,'Stock Price'!$I$9)-1,"")</f>
        <v>-7.8554810455727653E-3</v>
      </c>
      <c r="Q1154" s="19">
        <f ca="1">IF('Stock Price'!$I$11="OK",D1154/INDEX(D$5:D$1258,'Stock Price'!$I$9)-1,"")</f>
        <v>1.5111827523675236E-2</v>
      </c>
      <c r="R1154" s="19">
        <f ca="1">IF('Stock Price'!$I$11="OK",E1154/INDEX(E$5:E$1258,'Stock Price'!$I$9)-1,"")</f>
        <v>-1.1856171039844488E-2</v>
      </c>
      <c r="S1154" s="19">
        <f ca="1">IF('Stock Price'!$I$11="OK",F1154/INDEX(F$5:F$1258,'Stock Price'!$I$9)-1,"")</f>
        <v>-0.10097449720091223</v>
      </c>
      <c r="T1154" s="19">
        <f ca="1">IF('Stock Price'!$I$11="OK",G1154/INDEX(G$5:G$1258,'Stock Price'!$I$9)-1,"")</f>
        <v>-2.6315789473684292E-3</v>
      </c>
      <c r="U1154" s="19">
        <f ca="1">IF('Stock Price'!$I$11="OK",H1154/INDEX(H$5:H$1258,'Stock Price'!$I$9)-1,"")</f>
        <v>6.2940347581023959E-2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148.36000000000001</v>
      </c>
      <c r="C1155" s="18">
        <v>184.92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7.0882055723978876E-2</v>
      </c>
      <c r="P1155" s="19">
        <f ca="1">IF('Stock Price'!$I$11="OK",C1155/INDEX(C$5:C$1258,'Stock Price'!$I$9)-1,"")</f>
        <v>1.2289585329136266E-2</v>
      </c>
      <c r="Q1155" s="19">
        <f ca="1">IF('Stock Price'!$I$11="OK",D1155/INDEX(D$5:D$1258,'Stock Price'!$I$9)-1,"")</f>
        <v>1.8134193028410239E-2</v>
      </c>
      <c r="R1155" s="19">
        <f ca="1">IF('Stock Price'!$I$11="OK",E1155/INDEX(E$5:E$1258,'Stock Price'!$I$9)-1,"")</f>
        <v>3.4985422740525518E-3</v>
      </c>
      <c r="S1155" s="19">
        <f ca="1">IF('Stock Price'!$I$11="OK",F1155/INDEX(F$5:F$1258,'Stock Price'!$I$9)-1,"")</f>
        <v>-9.2473564171677292E-2</v>
      </c>
      <c r="T1155" s="19">
        <f ca="1">IF('Stock Price'!$I$11="OK",G1155/INDEX(G$5:G$1258,'Stock Price'!$I$9)-1,"")</f>
        <v>1.3421052631579E-2</v>
      </c>
      <c r="U1155" s="19">
        <f ca="1">IF('Stock Price'!$I$11="OK",H1155/INDEX(H$5:H$1258,'Stock Price'!$I$9)-1,"")</f>
        <v>6.6791921089713435E-2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145.38999999999999</v>
      </c>
      <c r="C1156" s="18">
        <v>182.52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4.9444203840046219E-2</v>
      </c>
      <c r="P1156" s="19">
        <f ca="1">IF('Stock Price'!$I$11="OK",C1156/INDEX(C$5:C$1258,'Stock Price'!$I$9)-1,"")</f>
        <v>-8.4850143697823288E-4</v>
      </c>
      <c r="Q1156" s="19">
        <f ca="1">IF('Stock Price'!$I$11="OK",D1156/INDEX(D$5:D$1258,'Stock Price'!$I$9)-1,"")</f>
        <v>1.7529719927463105E-2</v>
      </c>
      <c r="R1156" s="19">
        <f ca="1">IF('Stock Price'!$I$11="OK",E1156/INDEX(E$5:E$1258,'Stock Price'!$I$9)-1,"")</f>
        <v>-1.6715257531584093E-2</v>
      </c>
      <c r="S1156" s="19">
        <f ca="1">IF('Stock Price'!$I$11="OK",F1156/INDEX(F$5:F$1258,'Stock Price'!$I$9)-1,"")</f>
        <v>-0.10470661414057636</v>
      </c>
      <c r="T1156" s="19">
        <f ca="1">IF('Stock Price'!$I$11="OK",G1156/INDEX(G$5:G$1258,'Stock Price'!$I$9)-1,"")</f>
        <v>-1.5000000000000013E-2</v>
      </c>
      <c r="U1156" s="19">
        <f ca="1">IF('Stock Price'!$I$11="OK",H1156/INDEX(H$5:H$1258,'Stock Price'!$I$9)-1,"")</f>
        <v>5.4955378111789521E-2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146.03</v>
      </c>
      <c r="C1157" s="18">
        <v>182.85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5.4063808286415549E-2</v>
      </c>
      <c r="P1157" s="19">
        <f ca="1">IF('Stock Price'!$I$11="OK",C1157/INDEX(C$5:C$1258,'Stock Price'!$I$9)-1,"")</f>
        <v>9.5798549336234551E-4</v>
      </c>
      <c r="Q1157" s="19">
        <f ca="1">IF('Stock Price'!$I$11="OK",D1157/INDEX(D$5:D$1258,'Stock Price'!$I$9)-1,"")</f>
        <v>1.5716300624622148E-2</v>
      </c>
      <c r="R1157" s="19">
        <f ca="1">IF('Stock Price'!$I$11="OK",E1157/INDEX(E$5:E$1258,'Stock Price'!$I$9)-1,"")</f>
        <v>-6.9970845481049926E-3</v>
      </c>
      <c r="S1157" s="19">
        <f ca="1">IF('Stock Price'!$I$11="OK",F1157/INDEX(F$5:F$1258,'Stock Price'!$I$9)-1,"")</f>
        <v>-0.1020111963508189</v>
      </c>
      <c r="T1157" s="19">
        <f ca="1">IF('Stock Price'!$I$11="OK",G1157/INDEX(G$5:G$1258,'Stock Price'!$I$9)-1,"")</f>
        <v>-2.6842105263158E-2</v>
      </c>
      <c r="U1157" s="19">
        <f ca="1">IF('Stock Price'!$I$11="OK",H1157/INDEX(H$5:H$1258,'Stock Price'!$I$9)-1,"")</f>
        <v>4.6312822921559249E-2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145.22999999999999</v>
      </c>
      <c r="C1158" s="18">
        <v>181.86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4.8289302728453887E-2</v>
      </c>
      <c r="P1158" s="19">
        <f ca="1">IF('Stock Price'!$I$11="OK",C1158/INDEX(C$5:C$1258,'Stock Price'!$I$9)-1,"")</f>
        <v>-4.4614752976597227E-3</v>
      </c>
      <c r="Q1158" s="19">
        <f ca="1">IF('Stock Price'!$I$11="OK",D1158/INDEX(D$5:D$1258,'Stock Price'!$I$9)-1,"")</f>
        <v>3.6268386056821367E-3</v>
      </c>
      <c r="R1158" s="19">
        <f ca="1">IF('Stock Price'!$I$11="OK",E1158/INDEX(E$5:E$1258,'Stock Price'!$I$9)-1,"")</f>
        <v>-7.7745383867844353E-4</v>
      </c>
      <c r="S1158" s="19">
        <f ca="1">IF('Stock Price'!$I$11="OK",F1158/INDEX(F$5:F$1258,'Stock Price'!$I$9)-1,"")</f>
        <v>-0.11880572257930744</v>
      </c>
      <c r="T1158" s="19">
        <f ca="1">IF('Stock Price'!$I$11="OK",G1158/INDEX(G$5:G$1258,'Stock Price'!$I$9)-1,"")</f>
        <v>-2.4210526315789571E-2</v>
      </c>
      <c r="U1158" s="19">
        <f ca="1">IF('Stock Price'!$I$11="OK",H1158/INDEX(H$5:H$1258,'Stock Price'!$I$9)-1,"")</f>
        <v>4.5373414748708374E-2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148.16</v>
      </c>
      <c r="C1159" s="18">
        <v>184.54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6.9438429334488294E-2</v>
      </c>
      <c r="P1159" s="19">
        <f ca="1">IF('Stock Price'!$I$11="OK",C1159/INDEX(C$5:C$1258,'Stock Price'!$I$9)-1,"")</f>
        <v>1.0209388257834906E-2</v>
      </c>
      <c r="Q1159" s="19">
        <f ca="1">IF('Stock Price'!$I$11="OK",D1159/INDEX(D$5:D$1258,'Stock Price'!$I$9)-1,"")</f>
        <v>2.5589361273423261E-2</v>
      </c>
      <c r="R1159" s="19">
        <f ca="1">IF('Stock Price'!$I$11="OK",E1159/INDEX(E$5:E$1258,'Stock Price'!$I$9)-1,"")</f>
        <v>-5.2478134110788277E-3</v>
      </c>
      <c r="S1159" s="19">
        <f ca="1">IF('Stock Price'!$I$11="OK",F1159/INDEX(F$5:F$1258,'Stock Price'!$I$9)-1,"")</f>
        <v>-0.11134148869997917</v>
      </c>
      <c r="T1159" s="19">
        <f ca="1">IF('Stock Price'!$I$11="OK",G1159/INDEX(G$5:G$1258,'Stock Price'!$I$9)-1,"")</f>
        <v>1.1578947368420911E-2</v>
      </c>
      <c r="U1159" s="19">
        <f ca="1">IF('Stock Price'!$I$11="OK",H1159/INDEX(H$5:H$1258,'Stock Price'!$I$9)-1,"")</f>
        <v>5.5612963832785356E-2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149.75</v>
      </c>
      <c r="C1160" s="18">
        <v>187.72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8.0915259130937001E-2</v>
      </c>
      <c r="P1160" s="19">
        <f ca="1">IF('Stock Price'!$I$11="OK",C1160/INDEX(C$5:C$1258,'Stock Price'!$I$9)-1,"")</f>
        <v>2.7617353222936902E-2</v>
      </c>
      <c r="Q1160" s="19">
        <f ca="1">IF('Stock Price'!$I$11="OK",D1160/INDEX(D$5:D$1258,'Stock Price'!$I$9)-1,"")</f>
        <v>2.7402780576264441E-2</v>
      </c>
      <c r="R1160" s="19">
        <f ca="1">IF('Stock Price'!$I$11="OK",E1160/INDEX(E$5:E$1258,'Stock Price'!$I$9)-1,"")</f>
        <v>-3.6929057337221627E-3</v>
      </c>
      <c r="S1160" s="19">
        <f ca="1">IF('Stock Price'!$I$11="OK",F1160/INDEX(F$5:F$1258,'Stock Price'!$I$9)-1,"")</f>
        <v>-0.12046444121915811</v>
      </c>
      <c r="T1160" s="19">
        <f ca="1">IF('Stock Price'!$I$11="OK",G1160/INDEX(G$5:G$1258,'Stock Price'!$I$9)-1,"")</f>
        <v>-7.8947368421056208E-4</v>
      </c>
      <c r="U1160" s="19">
        <f ca="1">IF('Stock Price'!$I$11="OK",H1160/INDEX(H$5:H$1258,'Stock Price'!$I$9)-1,"")</f>
        <v>6.575857209957725E-2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149.77000000000001</v>
      </c>
      <c r="C1161" s="18">
        <v>184.96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8.1059621769886014E-2</v>
      </c>
      <c r="P1161" s="19">
        <f ca="1">IF('Stock Price'!$I$11="OK",C1161/INDEX(C$5:C$1258,'Stock Price'!$I$9)-1,"")</f>
        <v>1.2508553441904935E-2</v>
      </c>
      <c r="Q1161" s="19">
        <f ca="1">IF('Stock Price'!$I$11="OK",D1161/INDEX(D$5:D$1258,'Stock Price'!$I$9)-1,"")</f>
        <v>2.6798307475317307E-2</v>
      </c>
      <c r="R1161" s="19">
        <f ca="1">IF('Stock Price'!$I$11="OK",E1161/INDEX(E$5:E$1258,'Stock Price'!$I$9)-1,"")</f>
        <v>-3.10981535471333E-3</v>
      </c>
      <c r="S1161" s="19">
        <f ca="1">IF('Stock Price'!$I$11="OK",F1161/INDEX(F$5:F$1258,'Stock Price'!$I$9)-1,"")</f>
        <v>-0.11154882852996051</v>
      </c>
      <c r="T1161" s="19">
        <f ca="1">IF('Stock Price'!$I$11="OK",G1161/INDEX(G$5:G$1258,'Stock Price'!$I$9)-1,"")</f>
        <v>4.7368421052631504E-3</v>
      </c>
      <c r="U1161" s="19">
        <f ca="1">IF('Stock Price'!$I$11="OK",H1161/INDEX(H$5:H$1258,'Stock Price'!$I$9)-1,"")</f>
        <v>6.5382808830436678E-2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148.08000000000001</v>
      </c>
      <c r="C1162" s="18">
        <v>181.58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6.8860978778692239E-2</v>
      </c>
      <c r="P1162" s="19">
        <f ca="1">IF('Stock Price'!$I$11="OK",C1162/INDEX(C$5:C$1258,'Stock Price'!$I$9)-1,"")</f>
        <v>-5.994252087039853E-3</v>
      </c>
      <c r="Q1162" s="19">
        <f ca="1">IF('Stock Price'!$I$11="OK",D1162/INDEX(D$5:D$1258,'Stock Price'!$I$9)-1,"")</f>
        <v>8.0596413459588234E-4</v>
      </c>
      <c r="R1162" s="19">
        <f ca="1">IF('Stock Price'!$I$11="OK",E1162/INDEX(E$5:E$1258,'Stock Price'!$I$9)-1,"")</f>
        <v>-6.9970845481049926E-3</v>
      </c>
      <c r="S1162" s="19">
        <f ca="1">IF('Stock Price'!$I$11="OK",F1162/INDEX(F$5:F$1258,'Stock Price'!$I$9)-1,"")</f>
        <v>-0.11486626580966197</v>
      </c>
      <c r="T1162" s="19">
        <f ca="1">IF('Stock Price'!$I$11="OK",G1162/INDEX(G$5:G$1258,'Stock Price'!$I$9)-1,"")</f>
        <v>-7.6315789473684337E-3</v>
      </c>
      <c r="U1162" s="19">
        <f ca="1">IF('Stock Price'!$I$11="OK",H1162/INDEX(H$5:H$1258,'Stock Price'!$I$9)-1,"")</f>
        <v>4.6312822921559249E-2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149.15</v>
      </c>
      <c r="C1163" s="18">
        <v>183.92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7.658437996246592E-2</v>
      </c>
      <c r="P1163" s="19">
        <f ca="1">IF('Stock Price'!$I$11="OK",C1163/INDEX(C$5:C$1258,'Stock Price'!$I$9)-1,"")</f>
        <v>6.8153825099217524E-3</v>
      </c>
      <c r="Q1163" s="19">
        <f ca="1">IF('Stock Price'!$I$11="OK",D1163/INDEX(D$5:D$1258,'Stock Price'!$I$9)-1,"")</f>
        <v>1.2693935119887145E-2</v>
      </c>
      <c r="R1163" s="19">
        <f ca="1">IF('Stock Price'!$I$11="OK",E1163/INDEX(E$5:E$1258,'Stock Price'!$I$9)-1,"")</f>
        <v>-6.8027210884353817E-3</v>
      </c>
      <c r="S1163" s="19">
        <f ca="1">IF('Stock Price'!$I$11="OK",F1163/INDEX(F$5:F$1258,'Stock Price'!$I$9)-1,"")</f>
        <v>-9.7242380261248096E-2</v>
      </c>
      <c r="T1163" s="19">
        <f ca="1">IF('Stock Price'!$I$11="OK",G1163/INDEX(G$5:G$1258,'Stock Price'!$I$9)-1,"")</f>
        <v>-4.4736842105264074E-3</v>
      </c>
      <c r="U1163" s="19">
        <f ca="1">IF('Stock Price'!$I$11="OK",H1163/INDEX(H$5:H$1258,'Stock Price'!$I$9)-1,"")</f>
        <v>5.7397839361202463E-2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150.44</v>
      </c>
      <c r="C1164" s="18">
        <v>184.64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8.5895770174678754E-2</v>
      </c>
      <c r="P1164" s="19">
        <f ca="1">IF('Stock Price'!$I$11="OK",C1164/INDEX(C$5:C$1258,'Stock Price'!$I$9)-1,"")</f>
        <v>1.0756808539756246E-2</v>
      </c>
      <c r="Q1164" s="19">
        <f ca="1">IF('Stock Price'!$I$11="OK",D1164/INDEX(D$5:D$1258,'Stock Price'!$I$9)-1,"")</f>
        <v>2.8611726778158264E-2</v>
      </c>
      <c r="R1164" s="19">
        <f ca="1">IF('Stock Price'!$I$11="OK",E1164/INDEX(E$5:E$1258,'Stock Price'!$I$9)-1,"")</f>
        <v>7.968901846452825E-3</v>
      </c>
      <c r="S1164" s="19">
        <f ca="1">IF('Stock Price'!$I$11="OK",F1164/INDEX(F$5:F$1258,'Stock Price'!$I$9)-1,"")</f>
        <v>-9.7035040431266872E-2</v>
      </c>
      <c r="T1164" s="19">
        <f ca="1">IF('Stock Price'!$I$11="OK",G1164/INDEX(G$5:G$1258,'Stock Price'!$I$9)-1,"")</f>
        <v>1.3684210526315965E-2</v>
      </c>
      <c r="U1164" s="19">
        <f ca="1">IF('Stock Price'!$I$11="OK",H1164/INDEX(H$5:H$1258,'Stock Price'!$I$9)-1,"")</f>
        <v>7.3179896665100941E-2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150.44999999999999</v>
      </c>
      <c r="C1165" s="18">
        <v>187.46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8.5967951494153372E-2</v>
      </c>
      <c r="P1165" s="19">
        <f ca="1">IF('Stock Price'!$I$11="OK",C1165/INDEX(C$5:C$1258,'Stock Price'!$I$9)-1,"")</f>
        <v>2.6194060489941107E-2</v>
      </c>
      <c r="Q1165" s="19">
        <f ca="1">IF('Stock Price'!$I$11="OK",D1165/INDEX(D$5:D$1258,'Stock Price'!$I$9)-1,"")</f>
        <v>2.317146886963517E-2</v>
      </c>
      <c r="R1165" s="19">
        <f ca="1">IF('Stock Price'!$I$11="OK",E1165/INDEX(E$5:E$1258,'Stock Price'!$I$9)-1,"")</f>
        <v>9.52380952380949E-3</v>
      </c>
      <c r="S1165" s="19">
        <f ca="1">IF('Stock Price'!$I$11="OK",F1165/INDEX(F$5:F$1258,'Stock Price'!$I$9)-1,"")</f>
        <v>-7.3812979473356743E-2</v>
      </c>
      <c r="T1165" s="19">
        <f ca="1">IF('Stock Price'!$I$11="OK",G1165/INDEX(G$5:G$1258,'Stock Price'!$I$9)-1,"")</f>
        <v>3.2368421052631602E-2</v>
      </c>
      <c r="U1165" s="19">
        <f ca="1">IF('Stock Price'!$I$11="OK",H1165/INDEX(H$5:H$1258,'Stock Price'!$I$9)-1,"")</f>
        <v>6.1531235321747202E-2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151.76</v>
      </c>
      <c r="C1166" s="18">
        <v>189.75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9.5423704345315441E-2</v>
      </c>
      <c r="P1166" s="19">
        <f ca="1">IF('Stock Price'!$I$11="OK",C1166/INDEX(C$5:C$1258,'Stock Price'!$I$9)-1,"")</f>
        <v>3.8729984945942153E-2</v>
      </c>
      <c r="Q1166" s="19">
        <f ca="1">IF('Stock Price'!$I$11="OK",D1166/INDEX(D$5:D$1258,'Stock Price'!$I$9)-1,"")</f>
        <v>3.8283296393310406E-2</v>
      </c>
      <c r="R1166" s="19">
        <f ca="1">IF('Stock Price'!$I$11="OK",E1166/INDEX(E$5:E$1258,'Stock Price'!$I$9)-1,"")</f>
        <v>2.4489795918367196E-2</v>
      </c>
      <c r="S1166" s="19">
        <f ca="1">IF('Stock Price'!$I$11="OK",F1166/INDEX(F$5:F$1258,'Stock Price'!$I$9)-1,"")</f>
        <v>-6.862948372382327E-2</v>
      </c>
      <c r="T1166" s="19">
        <f ca="1">IF('Stock Price'!$I$11="OK",G1166/INDEX(G$5:G$1258,'Stock Price'!$I$9)-1,"")</f>
        <v>2.3947368421052495E-2</v>
      </c>
      <c r="U1166" s="19">
        <f ca="1">IF('Stock Price'!$I$11="OK",H1166/INDEX(H$5:H$1258,'Stock Price'!$I$9)-1,"")</f>
        <v>8.8586190699859069E-2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152.01</v>
      </c>
      <c r="C1167" s="18">
        <v>187.03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9.7228237332178447E-2</v>
      </c>
      <c r="P1167" s="19">
        <f ca="1">IF('Stock Price'!$I$11="OK",C1167/INDEX(C$5:C$1258,'Stock Price'!$I$9)-1,"")</f>
        <v>2.3840153277678855E-2</v>
      </c>
      <c r="Q1167" s="19">
        <f ca="1">IF('Stock Price'!$I$11="OK",D1167/INDEX(D$5:D$1258,'Stock Price'!$I$9)-1,"")</f>
        <v>3.5260930888575404E-2</v>
      </c>
      <c r="R1167" s="19">
        <f ca="1">IF('Stock Price'!$I$11="OK",E1167/INDEX(E$5:E$1258,'Stock Price'!$I$9)-1,"")</f>
        <v>3.6734693877551017E-2</v>
      </c>
      <c r="S1167" s="19">
        <f ca="1">IF('Stock Price'!$I$11="OK",F1167/INDEX(F$5:F$1258,'Stock Price'!$I$9)-1,"")</f>
        <v>-8.1691893012647676E-2</v>
      </c>
      <c r="T1167" s="19">
        <f ca="1">IF('Stock Price'!$I$11="OK",G1167/INDEX(G$5:G$1258,'Stock Price'!$I$9)-1,"")</f>
        <v>1.3421052631579E-2</v>
      </c>
      <c r="U1167" s="19">
        <f ca="1">IF('Stock Price'!$I$11="OK",H1167/INDEX(H$5:H$1258,'Stock Price'!$I$9)-1,"")</f>
        <v>0.1499295443870361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150.80000000000001</v>
      </c>
      <c r="C1168" s="18">
        <v>187.19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8.8494297675761668E-2</v>
      </c>
      <c r="P1168" s="19">
        <f ca="1">IF('Stock Price'!$I$11="OK",C1168/INDEX(C$5:C$1258,'Stock Price'!$I$9)-1,"")</f>
        <v>2.4716025728753088E-2</v>
      </c>
      <c r="Q1168" s="19">
        <f ca="1">IF('Stock Price'!$I$11="OK",D1168/INDEX(D$5:D$1258,'Stock Price'!$I$9)-1,"")</f>
        <v>3.7678823292363495E-2</v>
      </c>
      <c r="R1168" s="19">
        <f ca="1">IF('Stock Price'!$I$11="OK",E1168/INDEX(E$5:E$1258,'Stock Price'!$I$9)-1,"")</f>
        <v>2.235179786200181E-2</v>
      </c>
      <c r="S1168" s="19">
        <f ca="1">IF('Stock Price'!$I$11="OK",F1168/INDEX(F$5:F$1258,'Stock Price'!$I$9)-1,"")</f>
        <v>-8.459465063238647E-2</v>
      </c>
      <c r="T1168" s="19">
        <f ca="1">IF('Stock Price'!$I$11="OK",G1168/INDEX(G$5:G$1258,'Stock Price'!$I$9)-1,"")</f>
        <v>-4.7368421052631504E-3</v>
      </c>
      <c r="U1168" s="19">
        <f ca="1">IF('Stock Price'!$I$11="OK",H1168/INDEX(H$5:H$1258,'Stock Price'!$I$9)-1,"")</f>
        <v>0.12465946453734134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151.12</v>
      </c>
      <c r="C1169" s="18">
        <v>185.65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9.0804099898946333E-2</v>
      </c>
      <c r="P1169" s="19">
        <f ca="1">IF('Stock Price'!$I$11="OK",C1169/INDEX(C$5:C$1258,'Stock Price'!$I$9)-1,"")</f>
        <v>1.6285753387162982E-2</v>
      </c>
      <c r="Q1169" s="19">
        <f ca="1">IF('Stock Price'!$I$11="OK",D1169/INDEX(D$5:D$1258,'Stock Price'!$I$9)-1,"")</f>
        <v>3.9290751561555481E-2</v>
      </c>
      <c r="R1169" s="19">
        <f ca="1">IF('Stock Price'!$I$11="OK",E1169/INDEX(E$5:E$1258,'Stock Price'!$I$9)-1,"")</f>
        <v>1.9825072886297201E-2</v>
      </c>
      <c r="S1169" s="19">
        <f ca="1">IF('Stock Price'!$I$11="OK",F1169/INDEX(F$5:F$1258,'Stock Price'!$I$9)-1,"")</f>
        <v>-7.8789135392908882E-2</v>
      </c>
      <c r="T1169" s="19">
        <f ca="1">IF('Stock Price'!$I$11="OK",G1169/INDEX(G$5:G$1258,'Stock Price'!$I$9)-1,"")</f>
        <v>3.1578947368420263E-3</v>
      </c>
      <c r="U1169" s="19">
        <f ca="1">IF('Stock Price'!$I$11="OK",H1169/INDEX(H$5:H$1258,'Stock Price'!$I$9)-1,"")</f>
        <v>0.12954438703616722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151.4</v>
      </c>
      <c r="C1170" s="18">
        <v>185.33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9.2825176844232749E-2</v>
      </c>
      <c r="P1170" s="19">
        <f ca="1">IF('Stock Price'!$I$11="OK",C1170/INDEX(C$5:C$1258,'Stock Price'!$I$9)-1,"")</f>
        <v>1.4534008485014294E-2</v>
      </c>
      <c r="Q1170" s="19">
        <f ca="1">IF('Stock Price'!$I$11="OK",D1170/INDEX(D$5:D$1258,'Stock Price'!$I$9)-1,"")</f>
        <v>3.2440056417489371E-2</v>
      </c>
      <c r="R1170" s="19">
        <f ca="1">IF('Stock Price'!$I$11="OK",E1170/INDEX(E$5:E$1258,'Stock Price'!$I$9)-1,"")</f>
        <v>1.7687074829931815E-2</v>
      </c>
      <c r="S1170" s="19">
        <f ca="1">IF('Stock Price'!$I$11="OK",F1170/INDEX(F$5:F$1258,'Stock Price'!$I$9)-1,"")</f>
        <v>-8.1691893012647676E-2</v>
      </c>
      <c r="T1170" s="19">
        <f ca="1">IF('Stock Price'!$I$11="OK",G1170/INDEX(G$5:G$1258,'Stock Price'!$I$9)-1,"")</f>
        <v>-4.2105263157893313E-3</v>
      </c>
      <c r="U1170" s="19">
        <f ca="1">IF('Stock Price'!$I$11="OK",H1170/INDEX(H$5:H$1258,'Stock Price'!$I$9)-1,"")</f>
        <v>0.12625645843118827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150.16999999999999</v>
      </c>
      <c r="C1171" s="18">
        <v>185.67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8.3946874548866735E-2</v>
      </c>
      <c r="P1171" s="19">
        <f ca="1">IF('Stock Price'!$I$11="OK",C1171/INDEX(C$5:C$1258,'Stock Price'!$I$9)-1,"")</f>
        <v>1.6395237443547206E-2</v>
      </c>
      <c r="Q1171" s="19">
        <f ca="1">IF('Stock Price'!$I$11="OK",D1171/INDEX(D$5:D$1258,'Stock Price'!$I$9)-1,"")</f>
        <v>1.833568406205921E-2</v>
      </c>
      <c r="R1171" s="19">
        <f ca="1">IF('Stock Price'!$I$11="OK",E1171/INDEX(E$5:E$1258,'Stock Price'!$I$9)-1,"")</f>
        <v>1.8464528668610258E-2</v>
      </c>
      <c r="S1171" s="19">
        <f ca="1">IF('Stock Price'!$I$11="OK",F1171/INDEX(F$5:F$1258,'Stock Price'!$I$9)-1,"")</f>
        <v>-9.4546962471490636E-2</v>
      </c>
      <c r="T1171" s="19">
        <f ca="1">IF('Stock Price'!$I$11="OK",G1171/INDEX(G$5:G$1258,'Stock Price'!$I$9)-1,"")</f>
        <v>-3.8684210526315765E-2</v>
      </c>
      <c r="U1171" s="19">
        <f ca="1">IF('Stock Price'!$I$11="OK",H1171/INDEX(H$5:H$1258,'Stock Price'!$I$9)-1,"")</f>
        <v>0.11526538280883036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145.68</v>
      </c>
      <c r="C1172" s="18">
        <v>179.71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5.1537462104807474E-2</v>
      </c>
      <c r="P1172" s="19">
        <f ca="1">IF('Stock Price'!$I$11="OK",C1172/INDEX(C$5:C$1258,'Stock Price'!$I$9)-1,"")</f>
        <v>-1.623101135897087E-2</v>
      </c>
      <c r="Q1172" s="19">
        <f ca="1">IF('Stock Price'!$I$11="OK",D1172/INDEX(D$5:D$1258,'Stock Price'!$I$9)-1,"")</f>
        <v>-6.4477130767680579E-3</v>
      </c>
      <c r="R1172" s="19">
        <f ca="1">IF('Stock Price'!$I$11="OK",E1172/INDEX(E$5:E$1258,'Stock Price'!$I$9)-1,"")</f>
        <v>-2.3906705539358697E-2</v>
      </c>
      <c r="S1172" s="19">
        <f ca="1">IF('Stock Price'!$I$11="OK",F1172/INDEX(F$5:F$1258,'Stock Price'!$I$9)-1,"")</f>
        <v>-0.10926809040016583</v>
      </c>
      <c r="T1172" s="19">
        <f ca="1">IF('Stock Price'!$I$11="OK",G1172/INDEX(G$5:G$1258,'Stock Price'!$I$9)-1,"")</f>
        <v>-7.5526315789473664E-2</v>
      </c>
      <c r="U1172" s="19">
        <f ca="1">IF('Stock Price'!$I$11="OK",H1172/INDEX(H$5:H$1258,'Stock Price'!$I$9)-1,"")</f>
        <v>8.1916392672616301E-2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143.47999999999999</v>
      </c>
      <c r="C1173" s="18">
        <v>177.45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3.5657571820412848E-2</v>
      </c>
      <c r="P1173" s="19">
        <f ca="1">IF('Stock Price'!$I$11="OK",C1173/INDEX(C$5:C$1258,'Stock Price'!$I$9)-1,"")</f>
        <v>-2.8602709730395581E-2</v>
      </c>
      <c r="Q1173" s="19">
        <f ca="1">IF('Stock Price'!$I$11="OK",D1173/INDEX(D$5:D$1258,'Stock Price'!$I$9)-1,"")</f>
        <v>-1.2693935119887256E-2</v>
      </c>
      <c r="R1173" s="19">
        <f ca="1">IF('Stock Price'!$I$11="OK",E1173/INDEX(E$5:E$1258,'Stock Price'!$I$9)-1,"")</f>
        <v>-4.6258503401360618E-2</v>
      </c>
      <c r="S1173" s="19">
        <f ca="1">IF('Stock Price'!$I$11="OK",F1173/INDEX(F$5:F$1258,'Stock Price'!$I$9)-1,"")</f>
        <v>-0.11258552767986729</v>
      </c>
      <c r="T1173" s="19">
        <f ca="1">IF('Stock Price'!$I$11="OK",G1173/INDEX(G$5:G$1258,'Stock Price'!$I$9)-1,"")</f>
        <v>-0.10263157894736841</v>
      </c>
      <c r="U1173" s="19">
        <f ca="1">IF('Stock Price'!$I$11="OK",H1173/INDEX(H$5:H$1258,'Stock Price'!$I$9)-1,"")</f>
        <v>8.6425551902301612E-2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143.66</v>
      </c>
      <c r="C1174" s="18">
        <v>176.28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3.6956835570954194E-2</v>
      </c>
      <c r="P1174" s="19">
        <f ca="1">IF('Stock Price'!$I$11="OK",C1174/INDEX(C$5:C$1258,'Stock Price'!$I$9)-1,"")</f>
        <v>-3.500752702887644E-2</v>
      </c>
      <c r="Q1174" s="19">
        <f ca="1">IF('Stock Price'!$I$11="OK",D1174/INDEX(D$5:D$1258,'Stock Price'!$I$9)-1,"")</f>
        <v>1.8134193028409573E-3</v>
      </c>
      <c r="R1174" s="19">
        <f ca="1">IF('Stock Price'!$I$11="OK",E1174/INDEX(E$5:E$1258,'Stock Price'!$I$9)-1,"")</f>
        <v>-4.7619047619047672E-2</v>
      </c>
      <c r="S1174" s="19">
        <f ca="1">IF('Stock Price'!$I$11="OK",F1174/INDEX(F$5:F$1258,'Stock Price'!$I$9)-1,"")</f>
        <v>-0.1215011403690649</v>
      </c>
      <c r="T1174" s="19">
        <f ca="1">IF('Stock Price'!$I$11="OK",G1174/INDEX(G$5:G$1258,'Stock Price'!$I$9)-1,"")</f>
        <v>-8.6842105263157832E-2</v>
      </c>
      <c r="U1174" s="19">
        <f ca="1">IF('Stock Price'!$I$11="OK",H1174/INDEX(H$5:H$1258,'Stock Price'!$I$9)-1,"")</f>
        <v>7.7501174260216077E-2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148.4</v>
      </c>
      <c r="C1175" s="18">
        <v>181.8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7.1170781001876904E-2</v>
      </c>
      <c r="P1175" s="19">
        <f ca="1">IF('Stock Price'!$I$11="OK",C1175/INDEX(C$5:C$1258,'Stock Price'!$I$9)-1,"")</f>
        <v>-4.7899274668126157E-3</v>
      </c>
      <c r="Q1175" s="19">
        <f ca="1">IF('Stock Price'!$I$11="OK",D1175/INDEX(D$5:D$1258,'Stock Price'!$I$9)-1,"")</f>
        <v>3.3044529518436505E-2</v>
      </c>
      <c r="R1175" s="19">
        <f ca="1">IF('Stock Price'!$I$11="OK",E1175/INDEX(E$5:E$1258,'Stock Price'!$I$9)-1,"")</f>
        <v>2.3323615160348865E-3</v>
      </c>
      <c r="S1175" s="19">
        <f ca="1">IF('Stock Price'!$I$11="OK",F1175/INDEX(F$5:F$1258,'Stock Price'!$I$9)-1,"")</f>
        <v>-7.9825834542815555E-2</v>
      </c>
      <c r="T1175" s="19">
        <f ca="1">IF('Stock Price'!$I$11="OK",G1175/INDEX(G$5:G$1258,'Stock Price'!$I$9)-1,"")</f>
        <v>-6.4210526315789385E-2</v>
      </c>
      <c r="U1175" s="19">
        <f ca="1">IF('Stock Price'!$I$11="OK",H1175/INDEX(H$5:H$1258,'Stock Price'!$I$9)-1,"")</f>
        <v>0.12973226867073739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149.16</v>
      </c>
      <c r="C1176" s="18">
        <v>185.95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7.6656561281940316E-2</v>
      </c>
      <c r="P1176" s="19">
        <f ca="1">IF('Stock Price'!$I$11="OK",C1176/INDEX(C$5:C$1258,'Stock Price'!$I$9)-1,"")</f>
        <v>1.7928014232927225E-2</v>
      </c>
      <c r="Q1176" s="19">
        <f ca="1">IF('Stock Price'!$I$11="OK",D1176/INDEX(D$5:D$1258,'Stock Price'!$I$9)-1,"")</f>
        <v>3.8081805359661436E-2</v>
      </c>
      <c r="R1176" s="19">
        <f ca="1">IF('Stock Price'!$I$11="OK",E1176/INDEX(E$5:E$1258,'Stock Price'!$I$9)-1,"")</f>
        <v>5.8309037900872163E-4</v>
      </c>
      <c r="S1176" s="19">
        <f ca="1">IF('Stock Price'!$I$11="OK",F1176/INDEX(F$5:F$1258,'Stock Price'!$I$9)-1,"")</f>
        <v>-6.6556085424009814E-2</v>
      </c>
      <c r="T1176" s="19">
        <f ca="1">IF('Stock Price'!$I$11="OK",G1176/INDEX(G$5:G$1258,'Stock Price'!$I$9)-1,"")</f>
        <v>-4.8421052631579031E-2</v>
      </c>
      <c r="U1176" s="19">
        <f ca="1">IF('Stock Price'!$I$11="OK",H1176/INDEX(H$5:H$1258,'Stock Price'!$I$9)-1,"")</f>
        <v>0.13471113198684836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146.41999999999999</v>
      </c>
      <c r="C1177" s="18">
        <v>181.55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5.6878879745921651E-2</v>
      </c>
      <c r="P1177" s="19">
        <f ca="1">IF('Stock Price'!$I$11="OK",C1177/INDEX(C$5:C$1258,'Stock Price'!$I$9)-1,"")</f>
        <v>-6.1584781716162995E-3</v>
      </c>
      <c r="Q1177" s="19">
        <f ca="1">IF('Stock Price'!$I$11="OK",D1177/INDEX(D$5:D$1258,'Stock Price'!$I$9)-1,"")</f>
        <v>2.0350594398549138E-2</v>
      </c>
      <c r="R1177" s="19">
        <f ca="1">IF('Stock Price'!$I$11="OK",E1177/INDEX(E$5:E$1258,'Stock Price'!$I$9)-1,"")</f>
        <v>-1.7492711370262537E-2</v>
      </c>
      <c r="S1177" s="19">
        <f ca="1">IF('Stock Price'!$I$11="OK",F1177/INDEX(F$5:F$1258,'Stock Price'!$I$9)-1,"")</f>
        <v>-9.0192826041882501E-2</v>
      </c>
      <c r="T1177" s="19">
        <f ca="1">IF('Stock Price'!$I$11="OK",G1177/INDEX(G$5:G$1258,'Stock Price'!$I$9)-1,"")</f>
        <v>-6.0789473684210615E-2</v>
      </c>
      <c r="U1177" s="19">
        <f ca="1">IF('Stock Price'!$I$11="OK",H1177/INDEX(H$5:H$1258,'Stock Price'!$I$9)-1,"")</f>
        <v>0.12278064819163914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149.12</v>
      </c>
      <c r="C1178" s="18">
        <v>183.43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7.6367836004042289E-2</v>
      </c>
      <c r="P1178" s="19">
        <f ca="1">IF('Stock Price'!$I$11="OK",C1178/INDEX(C$5:C$1258,'Stock Price'!$I$9)-1,"")</f>
        <v>4.1330231285068297E-3</v>
      </c>
      <c r="Q1178" s="19">
        <f ca="1">IF('Stock Price'!$I$11="OK",D1178/INDEX(D$5:D$1258,'Stock Price'!$I$9)-1,"")</f>
        <v>3.2641547451138342E-2</v>
      </c>
      <c r="R1178" s="19">
        <f ca="1">IF('Stock Price'!$I$11="OK",E1178/INDEX(E$5:E$1258,'Stock Price'!$I$9)-1,"")</f>
        <v>-2.3712342079689086E-2</v>
      </c>
      <c r="S1178" s="19">
        <f ca="1">IF('Stock Price'!$I$11="OK",F1178/INDEX(F$5:F$1258,'Stock Price'!$I$9)-1,"")</f>
        <v>-7.2568940493468848E-2</v>
      </c>
      <c r="T1178" s="19">
        <f ca="1">IF('Stock Price'!$I$11="OK",G1178/INDEX(G$5:G$1258,'Stock Price'!$I$9)-1,"")</f>
        <v>-6.6052631578947363E-2</v>
      </c>
      <c r="U1178" s="19">
        <f ca="1">IF('Stock Price'!$I$11="OK",H1178/INDEX(H$5:H$1258,'Stock Price'!$I$9)-1,"")</f>
        <v>0.12353217472992006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148.12</v>
      </c>
      <c r="C1179" s="18">
        <v>178.96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6.9149704056590267E-2</v>
      </c>
      <c r="P1179" s="19">
        <f ca="1">IF('Stock Price'!$I$11="OK",C1179/INDEX(C$5:C$1258,'Stock Price'!$I$9)-1,"")</f>
        <v>-2.03366634733817E-2</v>
      </c>
      <c r="Q1179" s="19">
        <f ca="1">IF('Stock Price'!$I$11="OK",D1179/INDEX(D$5:D$1258,'Stock Price'!$I$9)-1,"")</f>
        <v>3.1029619181946355E-2</v>
      </c>
      <c r="R1179" s="19">
        <f ca="1">IF('Stock Price'!$I$11="OK",E1179/INDEX(E$5:E$1258,'Stock Price'!$I$9)-1,"")</f>
        <v>-2.0019436345967034E-2</v>
      </c>
      <c r="S1179" s="19">
        <f ca="1">IF('Stock Price'!$I$11="OK",F1179/INDEX(F$5:F$1258,'Stock Price'!$I$9)-1,"")</f>
        <v>-9.6620360771304092E-2</v>
      </c>
      <c r="T1179" s="19">
        <f ca="1">IF('Stock Price'!$I$11="OK",G1179/INDEX(G$5:G$1258,'Stock Price'!$I$9)-1,"")</f>
        <v>-6.92105263157895E-2</v>
      </c>
      <c r="U1179" s="19">
        <f ca="1">IF('Stock Price'!$I$11="OK",H1179/INDEX(H$5:H$1258,'Stock Price'!$I$9)-1,"")</f>
        <v>0.11874119304837949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153.91999999999999</v>
      </c>
      <c r="C1180" s="18">
        <v>182.28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0.11101486935181182</v>
      </c>
      <c r="P1180" s="19">
        <f ca="1">IF('Stock Price'!$I$11="OK",C1180/INDEX(C$5:C$1258,'Stock Price'!$I$9)-1,"")</f>
        <v>-2.1623101135898048E-3</v>
      </c>
      <c r="Q1180" s="19">
        <f ca="1">IF('Stock Price'!$I$11="OK",D1180/INDEX(D$5:D$1258,'Stock Price'!$I$9)-1,"")</f>
        <v>6.5081603868627713E-2</v>
      </c>
      <c r="R1180" s="19">
        <f ca="1">IF('Stock Price'!$I$11="OK",E1180/INDEX(E$5:E$1258,'Stock Price'!$I$9)-1,"")</f>
        <v>-1.9436345966958868E-3</v>
      </c>
      <c r="S1180" s="19">
        <f ca="1">IF('Stock Price'!$I$11="OK",F1180/INDEX(F$5:F$1258,'Stock Price'!$I$9)-1,"")</f>
        <v>-8.5424009952311808E-2</v>
      </c>
      <c r="T1180" s="19">
        <f ca="1">IF('Stock Price'!$I$11="OK",G1180/INDEX(G$5:G$1258,'Stock Price'!$I$9)-1,"")</f>
        <v>-5.8157894736842075E-2</v>
      </c>
      <c r="U1180" s="19">
        <f ca="1">IF('Stock Price'!$I$11="OK",H1180/INDEX(H$5:H$1258,'Stock Price'!$I$9)-1,"")</f>
        <v>0.13442930953499288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153.07</v>
      </c>
      <c r="C1181" s="18">
        <v>178.75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0.10487945719647751</v>
      </c>
      <c r="P1181" s="19">
        <f ca="1">IF('Stock Price'!$I$11="OK",C1181/INDEX(C$5:C$1258,'Stock Price'!$I$9)-1,"")</f>
        <v>-2.1486246065416825E-2</v>
      </c>
      <c r="Q1181" s="19">
        <f ca="1">IF('Stock Price'!$I$11="OK",D1181/INDEX(D$5:D$1258,'Stock Price'!$I$9)-1,"")</f>
        <v>6.870844247430985E-2</v>
      </c>
      <c r="R1181" s="19">
        <f ca="1">IF('Stock Price'!$I$11="OK",E1181/INDEX(E$5:E$1258,'Stock Price'!$I$9)-1,"")</f>
        <v>3.8872691933915515E-3</v>
      </c>
      <c r="S1181" s="19">
        <f ca="1">IF('Stock Price'!$I$11="OK",F1181/INDEX(F$5:F$1258,'Stock Price'!$I$9)-1,"")</f>
        <v>-8.2521252332573014E-2</v>
      </c>
      <c r="T1181" s="19">
        <f ca="1">IF('Stock Price'!$I$11="OK",G1181/INDEX(G$5:G$1258,'Stock Price'!$I$9)-1,"")</f>
        <v>-4.7631578947368469E-2</v>
      </c>
      <c r="U1181" s="19">
        <f ca="1">IF('Stock Price'!$I$11="OK",H1181/INDEX(H$5:H$1258,'Stock Price'!$I$9)-1,"")</f>
        <v>0.11836542977923892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151.56</v>
      </c>
      <c r="C1182" s="18">
        <v>177.27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9.3980077955825081E-2</v>
      </c>
      <c r="P1182" s="19">
        <f ca="1">IF('Stock Price'!$I$11="OK",C1182/INDEX(C$5:C$1258,'Stock Price'!$I$9)-1,"")</f>
        <v>-2.9588066237854149E-2</v>
      </c>
      <c r="Q1182" s="19">
        <f ca="1">IF('Stock Price'!$I$11="OK",D1182/INDEX(D$5:D$1258,'Stock Price'!$I$9)-1,"")</f>
        <v>5.2387668748740568E-2</v>
      </c>
      <c r="R1182" s="19">
        <f ca="1">IF('Stock Price'!$I$11="OK",E1182/INDEX(E$5:E$1258,'Stock Price'!$I$9)-1,"")</f>
        <v>-8.5519922254616576E-3</v>
      </c>
      <c r="S1182" s="19">
        <f ca="1">IF('Stock Price'!$I$11="OK",F1182/INDEX(F$5:F$1258,'Stock Price'!$I$9)-1,"")</f>
        <v>-9.1851544681733399E-2</v>
      </c>
      <c r="T1182" s="19">
        <f ca="1">IF('Stock Price'!$I$11="OK",G1182/INDEX(G$5:G$1258,'Stock Price'!$I$9)-1,"")</f>
        <v>-4.4473684210526221E-2</v>
      </c>
      <c r="U1182" s="19">
        <f ca="1">IF('Stock Price'!$I$11="OK",H1182/INDEX(H$5:H$1258,'Stock Price'!$I$9)-1,"")</f>
        <v>7.9379990605918271E-2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150.93</v>
      </c>
      <c r="C1183" s="18">
        <v>178.71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8.9432654828930369E-2</v>
      </c>
      <c r="P1183" s="19">
        <f ca="1">IF('Stock Price'!$I$11="OK",C1183/INDEX(C$5:C$1258,'Stock Price'!$I$9)-1,"")</f>
        <v>-2.1705214178185273E-2</v>
      </c>
      <c r="Q1183" s="19">
        <f ca="1">IF('Stock Price'!$I$11="OK",D1183/INDEX(D$5:D$1258,'Stock Price'!$I$9)-1,"")</f>
        <v>5.2186177715091597E-2</v>
      </c>
      <c r="R1183" s="19">
        <f ca="1">IF('Stock Price'!$I$11="OK",E1183/INDEX(E$5:E$1258,'Stock Price'!$I$9)-1,"")</f>
        <v>-6.2196307094266601E-3</v>
      </c>
      <c r="S1183" s="19">
        <f ca="1">IF('Stock Price'!$I$11="OK",F1183/INDEX(F$5:F$1258,'Stock Price'!$I$9)-1,"")</f>
        <v>-8.6668048932199926E-2</v>
      </c>
      <c r="T1183" s="19">
        <f ca="1">IF('Stock Price'!$I$11="OK",G1183/INDEX(G$5:G$1258,'Stock Price'!$I$9)-1,"")</f>
        <v>-5.236842105263162E-2</v>
      </c>
      <c r="U1183" s="19">
        <f ca="1">IF('Stock Price'!$I$11="OK",H1183/INDEX(H$5:H$1258,'Stock Price'!$I$9)-1,"")</f>
        <v>8.1916392672616301E-2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150.88</v>
      </c>
      <c r="C1184" s="18">
        <v>177.89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8.9071748231557724E-2</v>
      </c>
      <c r="P1184" s="19">
        <f ca="1">IF('Stock Price'!$I$11="OK",C1184/INDEX(C$5:C$1258,'Stock Price'!$I$9)-1,"")</f>
        <v>-2.6194060489941329E-2</v>
      </c>
      <c r="Q1184" s="19">
        <f ca="1">IF('Stock Price'!$I$11="OK",D1184/INDEX(D$5:D$1258,'Stock Price'!$I$9)-1,"")</f>
        <v>5.0775740479548581E-2</v>
      </c>
      <c r="R1184" s="19">
        <f ca="1">IF('Stock Price'!$I$11="OK",E1184/INDEX(E$5:E$1258,'Stock Price'!$I$9)-1,"")</f>
        <v>-7.5801749271137142E-3</v>
      </c>
      <c r="S1184" s="19">
        <f ca="1">IF('Stock Price'!$I$11="OK",F1184/INDEX(F$5:F$1258,'Stock Price'!$I$9)-1,"")</f>
        <v>-0.11880572257930744</v>
      </c>
      <c r="T1184" s="19">
        <f ca="1">IF('Stock Price'!$I$11="OK",G1184/INDEX(G$5:G$1258,'Stock Price'!$I$9)-1,"")</f>
        <v>-6.8421052631578716E-3</v>
      </c>
      <c r="U1184" s="19">
        <f ca="1">IF('Stock Price'!$I$11="OK",H1184/INDEX(H$5:H$1258,'Stock Price'!$I$9)-1,"")</f>
        <v>8.4452794739314108E-2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147.08000000000001</v>
      </c>
      <c r="C1185" s="18">
        <v>174.93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6.1642846831240217E-2</v>
      </c>
      <c r="P1185" s="19">
        <f ca="1">IF('Stock Price'!$I$11="OK",C1185/INDEX(C$5:C$1258,'Stock Price'!$I$9)-1,"")</f>
        <v>-4.2397700834815977E-2</v>
      </c>
      <c r="Q1185" s="19">
        <f ca="1">IF('Stock Price'!$I$11="OK",D1185/INDEX(D$5:D$1258,'Stock Price'!$I$9)-1,"")</f>
        <v>2.0955067499496272E-2</v>
      </c>
      <c r="R1185" s="19">
        <f ca="1">IF('Stock Price'!$I$11="OK",E1185/INDEX(E$5:E$1258,'Stock Price'!$I$9)-1,"")</f>
        <v>-3.3236151603498576E-2</v>
      </c>
      <c r="S1185" s="19">
        <f ca="1">IF('Stock Price'!$I$11="OK",F1185/INDEX(F$5:F$1258,'Stock Price'!$I$9)-1,"")</f>
        <v>-0.12129380053908345</v>
      </c>
      <c r="T1185" s="19">
        <f ca="1">IF('Stock Price'!$I$11="OK",G1185/INDEX(G$5:G$1258,'Stock Price'!$I$9)-1,"")</f>
        <v>-2.2368421052631593E-2</v>
      </c>
      <c r="U1185" s="19">
        <f ca="1">IF('Stock Price'!$I$11="OK",H1185/INDEX(H$5:H$1258,'Stock Price'!$I$9)-1,"")</f>
        <v>6.9704086425551814E-2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148.93</v>
      </c>
      <c r="C1186" s="18">
        <v>176.43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7.4996390934026325E-2</v>
      </c>
      <c r="P1186" s="19">
        <f ca="1">IF('Stock Price'!$I$11="OK",C1186/INDEX(C$5:C$1258,'Stock Price'!$I$9)-1,"")</f>
        <v>-3.4186396605994318E-2</v>
      </c>
      <c r="Q1186" s="19">
        <f ca="1">IF('Stock Price'!$I$11="OK",D1186/INDEX(D$5:D$1258,'Stock Price'!$I$9)-1,"")</f>
        <v>2.2365504735039288E-2</v>
      </c>
      <c r="R1186" s="19">
        <f ca="1">IF('Stock Price'!$I$11="OK",E1186/INDEX(E$5:E$1258,'Stock Price'!$I$9)-1,"")</f>
        <v>-4.5286686103012785E-2</v>
      </c>
      <c r="S1186" s="19">
        <f ca="1">IF('Stock Price'!$I$11="OK",F1186/INDEX(F$5:F$1258,'Stock Price'!$I$9)-1,"")</f>
        <v>-0.13373419033796385</v>
      </c>
      <c r="T1186" s="19">
        <f ca="1">IF('Stock Price'!$I$11="OK",G1186/INDEX(G$5:G$1258,'Stock Price'!$I$9)-1,"")</f>
        <v>4.7368421052631504E-3</v>
      </c>
      <c r="U1186" s="19">
        <f ca="1">IF('Stock Price'!$I$11="OK",H1186/INDEX(H$5:H$1258,'Stock Price'!$I$9)-1,"")</f>
        <v>8.482855800845468E-2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153.38</v>
      </c>
      <c r="C1187" s="18">
        <v>181.02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0.10711707810018778</v>
      </c>
      <c r="P1187" s="19">
        <f ca="1">IF('Stock Price'!$I$11="OK",C1187/INDEX(C$5:C$1258,'Stock Price'!$I$9)-1,"")</f>
        <v>-9.0598056657998915E-3</v>
      </c>
      <c r="Q1187" s="19">
        <f ca="1">IF('Stock Price'!$I$11="OK",D1187/INDEX(D$5:D$1258,'Stock Price'!$I$9)-1,"")</f>
        <v>4.9163812210356594E-2</v>
      </c>
      <c r="R1187" s="19">
        <f ca="1">IF('Stock Price'!$I$11="OK",E1187/INDEX(E$5:E$1258,'Stock Price'!$I$9)-1,"")</f>
        <v>-2.1379980563654088E-2</v>
      </c>
      <c r="S1187" s="19">
        <f ca="1">IF('Stock Price'!$I$11="OK",F1187/INDEX(F$5:F$1258,'Stock Price'!$I$9)-1,"")</f>
        <v>-0.13746630727762799</v>
      </c>
      <c r="T1187" s="19">
        <f ca="1">IF('Stock Price'!$I$11="OK",G1187/INDEX(G$5:G$1258,'Stock Price'!$I$9)-1,"")</f>
        <v>1.5789473684210575E-2</v>
      </c>
      <c r="U1187" s="19">
        <f ca="1">IF('Stock Price'!$I$11="OK",H1187/INDEX(H$5:H$1258,'Stock Price'!$I$9)-1,"")</f>
        <v>0.12353217472992006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153.12</v>
      </c>
      <c r="C1188" s="18">
        <v>183.02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0.10524036379385016</v>
      </c>
      <c r="P1188" s="19">
        <f ca="1">IF('Stock Price'!$I$11="OK",C1188/INDEX(C$5:C$1258,'Stock Price'!$I$9)-1,"")</f>
        <v>1.8885999726290237E-3</v>
      </c>
      <c r="Q1188" s="19">
        <f ca="1">IF('Stock Price'!$I$11="OK",D1188/INDEX(D$5:D$1258,'Stock Price'!$I$9)-1,"")</f>
        <v>2.9417690912754368E-2</v>
      </c>
      <c r="R1188" s="19">
        <f ca="1">IF('Stock Price'!$I$11="OK",E1188/INDEX(E$5:E$1258,'Stock Price'!$I$9)-1,"")</f>
        <v>-4.2759961127308843E-3</v>
      </c>
      <c r="S1188" s="19">
        <f ca="1">IF('Stock Price'!$I$11="OK",F1188/INDEX(F$5:F$1258,'Stock Price'!$I$9)-1,"")</f>
        <v>-0.14306448268712413</v>
      </c>
      <c r="T1188" s="19">
        <f ca="1">IF('Stock Price'!$I$11="OK",G1188/INDEX(G$5:G$1258,'Stock Price'!$I$9)-1,"")</f>
        <v>4.1842105263157903E-2</v>
      </c>
      <c r="U1188" s="19">
        <f ca="1">IF('Stock Price'!$I$11="OK",H1188/INDEX(H$5:H$1258,'Stock Price'!$I$9)-1,"")</f>
        <v>0.13292625645843104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155.12</v>
      </c>
      <c r="C1189" s="18">
        <v>185.68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0.1196766276887542</v>
      </c>
      <c r="P1189" s="19">
        <f ca="1">IF('Stock Price'!$I$11="OK",C1189/INDEX(C$5:C$1258,'Stock Price'!$I$9)-1,"")</f>
        <v>1.6449979471739429E-2</v>
      </c>
      <c r="Q1189" s="19">
        <f ca="1">IF('Stock Price'!$I$11="OK",D1189/INDEX(D$5:D$1258,'Stock Price'!$I$9)-1,"")</f>
        <v>4.5536973604674458E-2</v>
      </c>
      <c r="R1189" s="19">
        <f ca="1">IF('Stock Price'!$I$11="OK",E1189/INDEX(E$5:E$1258,'Stock Price'!$I$9)-1,"")</f>
        <v>7.968901846452825E-3</v>
      </c>
      <c r="S1189" s="19">
        <f ca="1">IF('Stock Price'!$I$11="OK",F1189/INDEX(F$5:F$1258,'Stock Price'!$I$9)-1,"")</f>
        <v>-0.1333195106780013</v>
      </c>
      <c r="T1189" s="19">
        <f ca="1">IF('Stock Price'!$I$11="OK",G1189/INDEX(G$5:G$1258,'Stock Price'!$I$9)-1,"")</f>
        <v>0.23684210526315796</v>
      </c>
      <c r="U1189" s="19">
        <f ca="1">IF('Stock Price'!$I$11="OK",H1189/INDEX(H$5:H$1258,'Stock Price'!$I$9)-1,"")</f>
        <v>0.17848755284170981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155.41</v>
      </c>
      <c r="C1190" s="18">
        <v>188.41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0.12176988595351523</v>
      </c>
      <c r="P1190" s="19">
        <f ca="1">IF('Stock Price'!$I$11="OK",C1190/INDEX(C$5:C$1258,'Stock Price'!$I$9)-1,"")</f>
        <v>3.1394553168194728E-2</v>
      </c>
      <c r="Q1190" s="19">
        <f ca="1">IF('Stock Price'!$I$11="OK",D1190/INDEX(D$5:D$1258,'Stock Price'!$I$9)-1,"")</f>
        <v>5.7827926657263662E-2</v>
      </c>
      <c r="R1190" s="19">
        <f ca="1">IF('Stock Price'!$I$11="OK",E1190/INDEX(E$5:E$1258,'Stock Price'!$I$9)-1,"")</f>
        <v>5.6365403304179384E-3</v>
      </c>
      <c r="S1190" s="19">
        <f ca="1">IF('Stock Price'!$I$11="OK",F1190/INDEX(F$5:F$1258,'Stock Price'!$I$9)-1,"")</f>
        <v>-0.10947543023014705</v>
      </c>
      <c r="T1190" s="19">
        <f ca="1">IF('Stock Price'!$I$11="OK",G1190/INDEX(G$5:G$1258,'Stock Price'!$I$9)-1,"")</f>
        <v>0.23684210526315796</v>
      </c>
      <c r="U1190" s="19">
        <f ca="1">IF('Stock Price'!$I$11="OK",H1190/INDEX(H$5:H$1258,'Stock Price'!$I$9)-1,"")</f>
        <v>0.20864255519023001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157.59</v>
      </c>
      <c r="C1191" s="18">
        <v>190.95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0.13750541359896062</v>
      </c>
      <c r="P1191" s="19">
        <f ca="1">IF('Stock Price'!$I$11="OK",C1191/INDEX(C$5:C$1258,'Stock Price'!$I$9)-1,"")</f>
        <v>4.5299028328999569E-2</v>
      </c>
      <c r="Q1191" s="19">
        <f ca="1">IF('Stock Price'!$I$11="OK",D1191/INDEX(D$5:D$1258,'Stock Price'!$I$9)-1,"")</f>
        <v>6.407414870038286E-2</v>
      </c>
      <c r="R1191" s="19">
        <f ca="1">IF('Stock Price'!$I$11="OK",E1191/INDEX(E$5:E$1258,'Stock Price'!$I$9)-1,"")</f>
        <v>2.1963070942662588E-2</v>
      </c>
      <c r="S1191" s="19">
        <f ca="1">IF('Stock Price'!$I$11="OK",F1191/INDEX(F$5:F$1258,'Stock Price'!$I$9)-1,"")</f>
        <v>-9.9523118391042886E-2</v>
      </c>
      <c r="T1191" s="19">
        <f ca="1">IF('Stock Price'!$I$11="OK",G1191/INDEX(G$5:G$1258,'Stock Price'!$I$9)-1,"")</f>
        <v>0.21131578947368435</v>
      </c>
      <c r="U1191" s="19">
        <f ca="1">IF('Stock Price'!$I$11="OK",H1191/INDEX(H$5:H$1258,'Stock Price'!$I$9)-1,"")</f>
        <v>0.21540629403475808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156.72</v>
      </c>
      <c r="C1192" s="18">
        <v>189.62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0.1312256388046773</v>
      </c>
      <c r="P1192" s="19">
        <f ca="1">IF('Stock Price'!$I$11="OK",C1192/INDEX(C$5:C$1258,'Stock Price'!$I$9)-1,"")</f>
        <v>3.8018338579444366E-2</v>
      </c>
      <c r="Q1192" s="19">
        <f ca="1">IF('Stock Price'!$I$11="OK",D1192/INDEX(D$5:D$1258,'Stock Price'!$I$9)-1,"")</f>
        <v>5.6215998388071675E-2</v>
      </c>
      <c r="R1192" s="19">
        <f ca="1">IF('Stock Price'!$I$11="OK",E1192/INDEX(E$5:E$1258,'Stock Price'!$I$9)-1,"")</f>
        <v>-1.9436345966958868E-3</v>
      </c>
      <c r="S1192" s="19">
        <f ca="1">IF('Stock Price'!$I$11="OK",F1192/INDEX(F$5:F$1258,'Stock Price'!$I$9)-1,"")</f>
        <v>-0.11548828529960609</v>
      </c>
      <c r="T1192" s="19">
        <f ca="1">IF('Stock Price'!$I$11="OK",G1192/INDEX(G$5:G$1258,'Stock Price'!$I$9)-1,"")</f>
        <v>0.2739473684210525</v>
      </c>
      <c r="U1192" s="19">
        <f ca="1">IF('Stock Price'!$I$11="OK",H1192/INDEX(H$5:H$1258,'Stock Price'!$I$9)-1,"")</f>
        <v>0.20713950211366838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154.13999999999999</v>
      </c>
      <c r="C1193" s="18">
        <v>183.86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0.11260285838025119</v>
      </c>
      <c r="P1193" s="19">
        <f ca="1">IF('Stock Price'!$I$11="OK",C1193/INDEX(C$5:C$1258,'Stock Price'!$I$9)-1,"")</f>
        <v>6.4869303407690815E-3</v>
      </c>
      <c r="Q1193" s="19">
        <f ca="1">IF('Stock Price'!$I$11="OK",D1193/INDEX(D$5:D$1258,'Stock Price'!$I$9)-1,"")</f>
        <v>3.3649002619383417E-2</v>
      </c>
      <c r="R1193" s="19">
        <f ca="1">IF('Stock Price'!$I$11="OK",E1193/INDEX(E$5:E$1258,'Stock Price'!$I$9)-1,"")</f>
        <v>-2.196307094266281E-2</v>
      </c>
      <c r="S1193" s="19">
        <f ca="1">IF('Stock Price'!$I$11="OK",F1193/INDEX(F$5:F$1258,'Stock Price'!$I$9)-1,"")</f>
        <v>-0.13684428778768387</v>
      </c>
      <c r="T1193" s="19">
        <f ca="1">IF('Stock Price'!$I$11="OK",G1193/INDEX(G$5:G$1258,'Stock Price'!$I$9)-1,"")</f>
        <v>0.28947368421052633</v>
      </c>
      <c r="U1193" s="19">
        <f ca="1">IF('Stock Price'!$I$11="OK",H1193/INDEX(H$5:H$1258,'Stock Price'!$I$9)-1,"")</f>
        <v>0.17773602630342888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159.9</v>
      </c>
      <c r="C1194" s="18">
        <v>195.15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0.15417929839757472</v>
      </c>
      <c r="P1194" s="19">
        <f ca="1">IF('Stock Price'!$I$11="OK",C1194/INDEX(C$5:C$1258,'Stock Price'!$I$9)-1,"")</f>
        <v>6.8290680169700302E-2</v>
      </c>
      <c r="Q1194" s="19">
        <f ca="1">IF('Stock Price'!$I$11="OK",D1194/INDEX(D$5:D$1258,'Stock Price'!$I$9)-1,"")</f>
        <v>8.1200886560548025E-2</v>
      </c>
      <c r="R1194" s="19">
        <f ca="1">IF('Stock Price'!$I$11="OK",E1194/INDEX(E$5:E$1258,'Stock Price'!$I$9)-1,"")</f>
        <v>3.0903790087463578E-2</v>
      </c>
      <c r="S1194" s="19">
        <f ca="1">IF('Stock Price'!$I$11="OK",F1194/INDEX(F$5:F$1258,'Stock Price'!$I$9)-1,"")</f>
        <v>-0.10512129380053914</v>
      </c>
      <c r="T1194" s="19">
        <f ca="1">IF('Stock Price'!$I$11="OK",G1194/INDEX(G$5:G$1258,'Stock Price'!$I$9)-1,"")</f>
        <v>0.40421052631578935</v>
      </c>
      <c r="U1194" s="19">
        <f ca="1">IF('Stock Price'!$I$11="OK",H1194/INDEX(H$5:H$1258,'Stock Price'!$I$9)-1,"")</f>
        <v>0.2170972287458901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155.49</v>
      </c>
      <c r="C1195" s="18">
        <v>190.16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0.12234733650931151</v>
      </c>
      <c r="P1195" s="19">
        <f ca="1">IF('Stock Price'!$I$11="OK",C1195/INDEX(C$5:C$1258,'Stock Price'!$I$9)-1,"")</f>
        <v>4.0974408101820181E-2</v>
      </c>
      <c r="Q1195" s="19">
        <f ca="1">IF('Stock Price'!$I$11="OK",D1195/INDEX(D$5:D$1258,'Stock Price'!$I$9)-1,"")</f>
        <v>6.9715897642554925E-2</v>
      </c>
      <c r="R1195" s="19">
        <f ca="1">IF('Stock Price'!$I$11="OK",E1195/INDEX(E$5:E$1258,'Stock Price'!$I$9)-1,"")</f>
        <v>2.7210884353741083E-3</v>
      </c>
      <c r="S1195" s="19">
        <f ca="1">IF('Stock Price'!$I$11="OK",F1195/INDEX(F$5:F$1258,'Stock Price'!$I$9)-1,"")</f>
        <v>-0.11652498444951276</v>
      </c>
      <c r="T1195" s="19">
        <f ca="1">IF('Stock Price'!$I$11="OK",G1195/INDEX(G$5:G$1258,'Stock Price'!$I$9)-1,"")</f>
        <v>0.34684210526315784</v>
      </c>
      <c r="U1195" s="19">
        <f ca="1">IF('Stock Price'!$I$11="OK",H1195/INDEX(H$5:H$1258,'Stock Price'!$I$9)-1,"")</f>
        <v>0.19098168154062933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157.03</v>
      </c>
      <c r="C1196" s="18">
        <v>193.12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0.13346325970838757</v>
      </c>
      <c r="P1196" s="19">
        <f ca="1">IF('Stock Price'!$I$11="OK",C1196/INDEX(C$5:C$1258,'Stock Price'!$I$9)-1,"")</f>
        <v>5.7178048446694829E-2</v>
      </c>
      <c r="Q1196" s="19">
        <f ca="1">IF('Stock Price'!$I$11="OK",D1196/INDEX(D$5:D$1258,'Stock Price'!$I$9)-1,"")</f>
        <v>7.4350191416481914E-2</v>
      </c>
      <c r="R1196" s="19">
        <f ca="1">IF('Stock Price'!$I$11="OK",E1196/INDEX(E$5:E$1258,'Stock Price'!$I$9)-1,"")</f>
        <v>1.3994169096209985E-2</v>
      </c>
      <c r="S1196" s="19">
        <f ca="1">IF('Stock Price'!$I$11="OK",F1196/INDEX(F$5:F$1258,'Stock Price'!$I$9)-1,"")</f>
        <v>-0.10885341074020316</v>
      </c>
      <c r="T1196" s="19">
        <f ca="1">IF('Stock Price'!$I$11="OK",G1196/INDEX(G$5:G$1258,'Stock Price'!$I$9)-1,"")</f>
        <v>0.33736842105263154</v>
      </c>
      <c r="U1196" s="19">
        <f ca="1">IF('Stock Price'!$I$11="OK",H1196/INDEX(H$5:H$1258,'Stock Price'!$I$9)-1,"")</f>
        <v>0.21052137153593242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155.16999999999999</v>
      </c>
      <c r="C1197" s="18">
        <v>189.28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0.12003753428612662</v>
      </c>
      <c r="P1197" s="19">
        <f ca="1">IF('Stock Price'!$I$11="OK",C1197/INDEX(C$5:C$1258,'Stock Price'!$I$9)-1,"")</f>
        <v>3.6157109620911454E-2</v>
      </c>
      <c r="Q1197" s="19">
        <f ca="1">IF('Stock Price'!$I$11="OK",D1197/INDEX(D$5:D$1258,'Stock Price'!$I$9)-1,"")</f>
        <v>5.8230908724561825E-2</v>
      </c>
      <c r="R1197" s="19">
        <f ca="1">IF('Stock Price'!$I$11="OK",E1197/INDEX(E$5:E$1258,'Stock Price'!$I$9)-1,"")</f>
        <v>6.0252672497569382E-3</v>
      </c>
      <c r="S1197" s="19">
        <f ca="1">IF('Stock Price'!$I$11="OK",F1197/INDEX(F$5:F$1258,'Stock Price'!$I$9)-1,"")</f>
        <v>-0.11300020733982985</v>
      </c>
      <c r="T1197" s="19">
        <f ca="1">IF('Stock Price'!$I$11="OK",G1197/INDEX(G$5:G$1258,'Stock Price'!$I$9)-1,"")</f>
        <v>0.30631578947368432</v>
      </c>
      <c r="U1197" s="19">
        <f ca="1">IF('Stock Price'!$I$11="OK",H1197/INDEX(H$5:H$1258,'Stock Price'!$I$9)-1,"")</f>
        <v>0.18356035697510564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154.62</v>
      </c>
      <c r="C1198" s="18">
        <v>178.49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0.11606756171502819</v>
      </c>
      <c r="P1198" s="19">
        <f ca="1">IF('Stock Price'!$I$11="OK",C1198/INDEX(C$5:C$1258,'Stock Price'!$I$9)-1,"")</f>
        <v>-2.290953879841251E-2</v>
      </c>
      <c r="Q1198" s="19">
        <f ca="1">IF('Stock Price'!$I$11="OK",D1198/INDEX(D$5:D$1258,'Stock Price'!$I$9)-1,"")</f>
        <v>5.722345355631675E-2</v>
      </c>
      <c r="R1198" s="19">
        <f ca="1">IF('Stock Price'!$I$11="OK",E1198/INDEX(E$5:E$1258,'Stock Price'!$I$9)-1,"")</f>
        <v>1.1078717201166155E-2</v>
      </c>
      <c r="S1198" s="19">
        <f ca="1">IF('Stock Price'!$I$11="OK",F1198/INDEX(F$5:F$1258,'Stock Price'!$I$9)-1,"")</f>
        <v>-8.9778146381919943E-2</v>
      </c>
      <c r="T1198" s="19">
        <f ca="1">IF('Stock Price'!$I$11="OK",G1198/INDEX(G$5:G$1258,'Stock Price'!$I$9)-1,"")</f>
        <v>0.33421052631578951</v>
      </c>
      <c r="U1198" s="19">
        <f ca="1">IF('Stock Price'!$I$11="OK",H1198/INDEX(H$5:H$1258,'Stock Price'!$I$9)-1,"")</f>
        <v>0.17491780178487537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154.05000000000001</v>
      </c>
      <c r="C1199" s="18">
        <v>171.61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0.11195322650498074</v>
      </c>
      <c r="P1199" s="19">
        <f ca="1">IF('Stock Price'!$I$11="OK",C1199/INDEX(C$5:C$1258,'Stock Price'!$I$9)-1,"")</f>
        <v>-6.0572054194607872E-2</v>
      </c>
      <c r="Q1199" s="19">
        <f ca="1">IF('Stock Price'!$I$11="OK",D1199/INDEX(D$5:D$1258,'Stock Price'!$I$9)-1,"")</f>
        <v>6.3469675599435726E-2</v>
      </c>
      <c r="R1199" s="19">
        <f ca="1">IF('Stock Price'!$I$11="OK",E1199/INDEX(E$5:E$1258,'Stock Price'!$I$9)-1,"")</f>
        <v>8.7463556851310464E-3</v>
      </c>
      <c r="S1199" s="19">
        <f ca="1">IF('Stock Price'!$I$11="OK",F1199/INDEX(F$5:F$1258,'Stock Price'!$I$9)-1,"")</f>
        <v>-9.8071739581173434E-2</v>
      </c>
      <c r="T1199" s="19">
        <f ca="1">IF('Stock Price'!$I$11="OK",G1199/INDEX(G$5:G$1258,'Stock Price'!$I$9)-1,"")</f>
        <v>0.31894736842105265</v>
      </c>
      <c r="U1199" s="19">
        <f ca="1">IF('Stock Price'!$I$11="OK",H1199/INDEX(H$5:H$1258,'Stock Price'!$I$9)-1,"")</f>
        <v>0.16054485674025365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153.37</v>
      </c>
      <c r="C1200" s="18">
        <v>169.47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0.10704489678071316</v>
      </c>
      <c r="P1200" s="19">
        <f ca="1">IF('Stock Price'!$I$11="OK",C1200/INDEX(C$5:C$1258,'Stock Price'!$I$9)-1,"")</f>
        <v>-7.2286848227726908E-2</v>
      </c>
      <c r="Q1200" s="19">
        <f ca="1">IF('Stock Price'!$I$11="OK",D1200/INDEX(D$5:D$1258,'Stock Price'!$I$9)-1,"")</f>
        <v>5.3596614950634613E-2</v>
      </c>
      <c r="R1200" s="19">
        <f ca="1">IF('Stock Price'!$I$11="OK",E1200/INDEX(E$5:E$1258,'Stock Price'!$I$9)-1,"")</f>
        <v>-1.8464528668610369E-2</v>
      </c>
      <c r="S1200" s="19">
        <f ca="1">IF('Stock Price'!$I$11="OK",F1200/INDEX(F$5:F$1258,'Stock Price'!$I$9)-1,"")</f>
        <v>-8.7704748082106487E-2</v>
      </c>
      <c r="T1200" s="19">
        <f ca="1">IF('Stock Price'!$I$11="OK",G1200/INDEX(G$5:G$1258,'Stock Price'!$I$9)-1,"")</f>
        <v>0.31368421052631579</v>
      </c>
      <c r="U1200" s="19">
        <f ca="1">IF('Stock Price'!$I$11="OK",H1200/INDEX(H$5:H$1258,'Stock Price'!$I$9)-1,"")</f>
        <v>0.16514795678722405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150.36000000000001</v>
      </c>
      <c r="C1201" s="18">
        <v>164.5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8.5318319618882699E-2</v>
      </c>
      <c r="P1201" s="19">
        <f ca="1">IF('Stock Price'!$I$11="OK",C1201/INDEX(C$5:C$1258,'Stock Price'!$I$9)-1,"")</f>
        <v>-9.9493636239222694E-2</v>
      </c>
      <c r="Q1201" s="19">
        <f ca="1">IF('Stock Price'!$I$11="OK",D1201/INDEX(D$5:D$1258,'Stock Price'!$I$9)-1,"")</f>
        <v>3.2641547451138342E-2</v>
      </c>
      <c r="R1201" s="19">
        <f ca="1">IF('Stock Price'!$I$11="OK",E1201/INDEX(E$5:E$1258,'Stock Price'!$I$9)-1,"")</f>
        <v>-2.5072886297376251E-2</v>
      </c>
      <c r="S1201" s="19">
        <f ca="1">IF('Stock Price'!$I$11="OK",F1201/INDEX(F$5:F$1258,'Stock Price'!$I$9)-1,"")</f>
        <v>-0.10470661414057636</v>
      </c>
      <c r="T1201" s="19">
        <f ca="1">IF('Stock Price'!$I$11="OK",G1201/INDEX(G$5:G$1258,'Stock Price'!$I$9)-1,"")</f>
        <v>0.29263157894736835</v>
      </c>
      <c r="U1201" s="19">
        <f ca="1">IF('Stock Price'!$I$11="OK",H1201/INDEX(H$5:H$1258,'Stock Price'!$I$9)-1,"")</f>
        <v>0.13461719116956306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150.80000000000001</v>
      </c>
      <c r="C1202" s="18">
        <v>168.37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8.8494297675761668E-2</v>
      </c>
      <c r="P1202" s="19">
        <f ca="1">IF('Stock Price'!$I$11="OK",C1202/INDEX(C$5:C$1258,'Stock Price'!$I$9)-1,"")</f>
        <v>-7.8308471328862761E-2</v>
      </c>
      <c r="Q1202" s="19">
        <f ca="1">IF('Stock Price'!$I$11="OK",D1202/INDEX(D$5:D$1258,'Stock Price'!$I$9)-1,"")</f>
        <v>3.667136812411842E-2</v>
      </c>
      <c r="R1202" s="19">
        <f ca="1">IF('Stock Price'!$I$11="OK",E1202/INDEX(E$5:E$1258,'Stock Price'!$I$9)-1,"")</f>
        <v>-5.2478134110788277E-3</v>
      </c>
      <c r="S1202" s="19">
        <f ca="1">IF('Stock Price'!$I$11="OK",F1202/INDEX(F$5:F$1258,'Stock Price'!$I$9)-1,"")</f>
        <v>-9.4339622641509413E-2</v>
      </c>
      <c r="T1202" s="19">
        <f ca="1">IF('Stock Price'!$I$11="OK",G1202/INDEX(G$5:G$1258,'Stock Price'!$I$9)-1,"")</f>
        <v>0.2555263157894736</v>
      </c>
      <c r="U1202" s="19">
        <f ca="1">IF('Stock Price'!$I$11="OK",H1202/INDEX(H$5:H$1258,'Stock Price'!$I$9)-1,"")</f>
        <v>0.16120244246124948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152.72999999999999</v>
      </c>
      <c r="C1203" s="18">
        <v>169.29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0.10242529233434383</v>
      </c>
      <c r="P1203" s="19">
        <f ca="1">IF('Stock Price'!$I$11="OK",C1203/INDEX(C$5:C$1258,'Stock Price'!$I$9)-1,"")</f>
        <v>-7.3272204735185587E-2</v>
      </c>
      <c r="Q1203" s="19">
        <f ca="1">IF('Stock Price'!$I$11="OK",D1203/INDEX(D$5:D$1258,'Stock Price'!$I$9)-1,"")</f>
        <v>6.3268184565786756E-2</v>
      </c>
      <c r="R1203" s="19">
        <f ca="1">IF('Stock Price'!$I$11="OK",E1203/INDEX(E$5:E$1258,'Stock Price'!$I$9)-1,"")</f>
        <v>0</v>
      </c>
      <c r="S1203" s="19">
        <f ca="1">IF('Stock Price'!$I$11="OK",F1203/INDEX(F$5:F$1258,'Stock Price'!$I$9)-1,"")</f>
        <v>-8.3350611652498352E-2</v>
      </c>
      <c r="T1203" s="19">
        <f ca="1">IF('Stock Price'!$I$11="OK",G1203/INDEX(G$5:G$1258,'Stock Price'!$I$9)-1,"")</f>
        <v>0.25578947368421057</v>
      </c>
      <c r="U1203" s="19">
        <f ca="1">IF('Stock Price'!$I$11="OK",H1203/INDEX(H$5:H$1258,'Stock Price'!$I$9)-1,"")</f>
        <v>0.19896665100986377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153.76</v>
      </c>
      <c r="C1204" s="18">
        <v>168.9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0.10985996824021949</v>
      </c>
      <c r="P1204" s="19">
        <f ca="1">IF('Stock Price'!$I$11="OK",C1204/INDEX(C$5:C$1258,'Stock Price'!$I$9)-1,"")</f>
        <v>-7.5407143834679058E-2</v>
      </c>
      <c r="Q1204" s="19">
        <f ca="1">IF('Stock Price'!$I$11="OK",D1204/INDEX(D$5:D$1258,'Stock Price'!$I$9)-1,"")</f>
        <v>4.2917590167237396E-2</v>
      </c>
      <c r="R1204" s="19">
        <f ca="1">IF('Stock Price'!$I$11="OK",E1204/INDEX(E$5:E$1258,'Stock Price'!$I$9)-1,"")</f>
        <v>2.9154518950436081E-3</v>
      </c>
      <c r="S1204" s="19">
        <f ca="1">IF('Stock Price'!$I$11="OK",F1204/INDEX(F$5:F$1258,'Stock Price'!$I$9)-1,"")</f>
        <v>-7.4020319303338189E-2</v>
      </c>
      <c r="T1204" s="19">
        <f ca="1">IF('Stock Price'!$I$11="OK",G1204/INDEX(G$5:G$1258,'Stock Price'!$I$9)-1,"")</f>
        <v>0.27526315789473688</v>
      </c>
      <c r="U1204" s="19">
        <f ca="1">IF('Stock Price'!$I$11="OK",H1204/INDEX(H$5:H$1258,'Stock Price'!$I$9)-1,"")</f>
        <v>0.19774542038515741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149.56</v>
      </c>
      <c r="C1205" s="18">
        <v>164.52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7.9543814060921036E-2</v>
      </c>
      <c r="P1205" s="19">
        <f ca="1">IF('Stock Price'!$I$11="OK",C1205/INDEX(C$5:C$1258,'Stock Price'!$I$9)-1,"")</f>
        <v>-9.9384152182838359E-2</v>
      </c>
      <c r="Q1205" s="19">
        <f ca="1">IF('Stock Price'!$I$11="OK",D1205/INDEX(D$5:D$1258,'Stock Price'!$I$9)-1,"")</f>
        <v>8.2611323796091263E-3</v>
      </c>
      <c r="R1205" s="19">
        <f ca="1">IF('Stock Price'!$I$11="OK",E1205/INDEX(E$5:E$1258,'Stock Price'!$I$9)-1,"")</f>
        <v>-8.7463556851312685E-3</v>
      </c>
      <c r="S1205" s="19">
        <f ca="1">IF('Stock Price'!$I$11="OK",F1205/INDEX(F$5:F$1258,'Stock Price'!$I$9)-1,"")</f>
        <v>-8.8119427742069267E-2</v>
      </c>
      <c r="T1205" s="19">
        <f ca="1">IF('Stock Price'!$I$11="OK",G1205/INDEX(G$5:G$1258,'Stock Price'!$I$9)-1,"")</f>
        <v>0.24500000000000011</v>
      </c>
      <c r="U1205" s="19">
        <f ca="1">IF('Stock Price'!$I$11="OK",H1205/INDEX(H$5:H$1258,'Stock Price'!$I$9)-1,"")</f>
        <v>0.16862376702677317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153.87</v>
      </c>
      <c r="C1206" s="18">
        <v>169.34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0.11065396275443917</v>
      </c>
      <c r="P1206" s="19">
        <f ca="1">IF('Stock Price'!$I$11="OK",C1206/INDEX(C$5:C$1258,'Stock Price'!$I$9)-1,"")</f>
        <v>-7.2998494594224805E-2</v>
      </c>
      <c r="Q1206" s="19">
        <f ca="1">IF('Stock Price'!$I$11="OK",D1206/INDEX(D$5:D$1258,'Stock Price'!$I$9)-1,"")</f>
        <v>2.317146886963517E-2</v>
      </c>
      <c r="R1206" s="19">
        <f ca="1">IF('Stock Price'!$I$11="OK",E1206/INDEX(E$5:E$1258,'Stock Price'!$I$9)-1,"")</f>
        <v>-6.0252672497570492E-3</v>
      </c>
      <c r="S1206" s="19">
        <f ca="1">IF('Stock Price'!$I$11="OK",F1206/INDEX(F$5:F$1258,'Stock Price'!$I$9)-1,"")</f>
        <v>-9.2888243831639961E-2</v>
      </c>
      <c r="T1206" s="19">
        <f ca="1">IF('Stock Price'!$I$11="OK",G1206/INDEX(G$5:G$1258,'Stock Price'!$I$9)-1,"")</f>
        <v>0.25315789473684203</v>
      </c>
      <c r="U1206" s="19">
        <f ca="1">IF('Stock Price'!$I$11="OK",H1206/INDEX(H$5:H$1258,'Stock Price'!$I$9)-1,"")</f>
        <v>0.18609675904180367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153.08000000000001</v>
      </c>
      <c r="C1207" s="18">
        <v>169.73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0.10495163851595213</v>
      </c>
      <c r="P1207" s="19">
        <f ca="1">IF('Stock Price'!$I$11="OK",C1207/INDEX(C$5:C$1258,'Stock Price'!$I$9)-1,"")</f>
        <v>-7.0863555494731223E-2</v>
      </c>
      <c r="Q1207" s="19">
        <f ca="1">IF('Stock Price'!$I$11="OK",D1207/INDEX(D$5:D$1258,'Stock Price'!$I$9)-1,"")</f>
        <v>2.2768486802337229E-2</v>
      </c>
      <c r="R1207" s="19">
        <f ca="1">IF('Stock Price'!$I$11="OK",E1207/INDEX(E$5:E$1258,'Stock Price'!$I$9)-1,"")</f>
        <v>4.8590864917394949E-3</v>
      </c>
      <c r="S1207" s="19">
        <f ca="1">IF('Stock Price'!$I$11="OK",F1207/INDEX(F$5:F$1258,'Stock Price'!$I$9)-1,"")</f>
        <v>-9.2058884511714623E-2</v>
      </c>
      <c r="T1207" s="19">
        <f ca="1">IF('Stock Price'!$I$11="OK",G1207/INDEX(G$5:G$1258,'Stock Price'!$I$9)-1,"")</f>
        <v>0.23605263157894729</v>
      </c>
      <c r="U1207" s="19">
        <f ca="1">IF('Stock Price'!$I$11="OK",H1207/INDEX(H$5:H$1258,'Stock Price'!$I$9)-1,"")</f>
        <v>0.19746359793330193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156.13999999999999</v>
      </c>
      <c r="C1208" s="18">
        <v>168.27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0.12703912227515524</v>
      </c>
      <c r="P1208" s="19">
        <f ca="1">IF('Stock Price'!$I$11="OK",C1208/INDEX(C$5:C$1258,'Stock Price'!$I$9)-1,"")</f>
        <v>-7.8855891610784212E-2</v>
      </c>
      <c r="Q1208" s="19">
        <f ca="1">IF('Stock Price'!$I$11="OK",D1208/INDEX(D$5:D$1258,'Stock Price'!$I$9)-1,"")</f>
        <v>2.2365504735039288E-2</v>
      </c>
      <c r="R1208" s="19">
        <f ca="1">IF('Stock Price'!$I$11="OK",E1208/INDEX(E$5:E$1258,'Stock Price'!$I$9)-1,"")</f>
        <v>4.8007774538386672E-2</v>
      </c>
      <c r="S1208" s="19">
        <f ca="1">IF('Stock Price'!$I$11="OK",F1208/INDEX(F$5:F$1258,'Stock Price'!$I$9)-1,"")</f>
        <v>-0.10097449720091223</v>
      </c>
      <c r="T1208" s="19">
        <f ca="1">IF('Stock Price'!$I$11="OK",G1208/INDEX(G$5:G$1258,'Stock Price'!$I$9)-1,"")</f>
        <v>0.21578947368421053</v>
      </c>
      <c r="U1208" s="19">
        <f ca="1">IF('Stock Price'!$I$11="OK",H1208/INDEX(H$5:H$1258,'Stock Price'!$I$9)-1,"")</f>
        <v>0.22573978393612015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155.01</v>
      </c>
      <c r="C1209" s="18">
        <v>169.26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0.11888263317453451</v>
      </c>
      <c r="P1209" s="19">
        <f ca="1">IF('Stock Price'!$I$11="OK",C1209/INDEX(C$5:C$1258,'Stock Price'!$I$9)-1,"")</f>
        <v>-7.3436430819762033E-2</v>
      </c>
      <c r="Q1209" s="19">
        <f ca="1">IF('Stock Price'!$I$11="OK",D1209/INDEX(D$5:D$1258,'Stock Price'!$I$9)-1,"")</f>
        <v>3.4656457787628492E-2</v>
      </c>
      <c r="R1209" s="19">
        <f ca="1">IF('Stock Price'!$I$11="OK",E1209/INDEX(E$5:E$1258,'Stock Price'!$I$9)-1,"")</f>
        <v>6.31681243926141E-2</v>
      </c>
      <c r="S1209" s="19">
        <f ca="1">IF('Stock Price'!$I$11="OK",F1209/INDEX(F$5:F$1258,'Stock Price'!$I$9)-1,"")</f>
        <v>-0.10118183703089356</v>
      </c>
      <c r="T1209" s="19">
        <f ca="1">IF('Stock Price'!$I$11="OK",G1209/INDEX(G$5:G$1258,'Stock Price'!$I$9)-1,"")</f>
        <v>0.2121052631578948</v>
      </c>
      <c r="U1209" s="19">
        <f ca="1">IF('Stock Price'!$I$11="OK",H1209/INDEX(H$5:H$1258,'Stock Price'!$I$9)-1,"")</f>
        <v>0.23128229215594165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156.11000000000001</v>
      </c>
      <c r="C1210" s="18">
        <v>169.64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0.12682257831673183</v>
      </c>
      <c r="P1210" s="19">
        <f ca="1">IF('Stock Price'!$I$11="OK",C1210/INDEX(C$5:C$1258,'Stock Price'!$I$9)-1,"")</f>
        <v>-7.1356233748460562E-2</v>
      </c>
      <c r="Q1210" s="19">
        <f ca="1">IF('Stock Price'!$I$11="OK",D1210/INDEX(D$5:D$1258,'Stock Price'!$I$9)-1,"")</f>
        <v>4.7350392907515415E-2</v>
      </c>
      <c r="R1210" s="19">
        <f ca="1">IF('Stock Price'!$I$11="OK",E1210/INDEX(E$5:E$1258,'Stock Price'!$I$9)-1,"")</f>
        <v>6.4528668610301265E-2</v>
      </c>
      <c r="S1210" s="19">
        <f ca="1">IF('Stock Price'!$I$11="OK",F1210/INDEX(F$5:F$1258,'Stock Price'!$I$9)-1,"")</f>
        <v>-8.7704748082106487E-2</v>
      </c>
      <c r="T1210" s="19">
        <f ca="1">IF('Stock Price'!$I$11="OK",G1210/INDEX(G$5:G$1258,'Stock Price'!$I$9)-1,"")</f>
        <v>0.24289473684210527</v>
      </c>
      <c r="U1210" s="19">
        <f ca="1">IF('Stock Price'!$I$11="OK",H1210/INDEX(H$5:H$1258,'Stock Price'!$I$9)-1,"")</f>
        <v>0.22837012682010327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159.85</v>
      </c>
      <c r="C1211" s="18">
        <v>172.48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0.15381839180020207</v>
      </c>
      <c r="P1211" s="19">
        <f ca="1">IF('Stock Price'!$I$11="OK",C1211/INDEX(C$5:C$1258,'Stock Price'!$I$9)-1,"")</f>
        <v>-5.5809497741891478E-2</v>
      </c>
      <c r="Q1211" s="19">
        <f ca="1">IF('Stock Price'!$I$11="OK",D1211/INDEX(D$5:D$1258,'Stock Price'!$I$9)-1,"")</f>
        <v>8.22083417287931E-2</v>
      </c>
      <c r="R1211" s="19">
        <f ca="1">IF('Stock Price'!$I$11="OK",E1211/INDEX(E$5:E$1258,'Stock Price'!$I$9)-1,"")</f>
        <v>9.8542274052478174E-2</v>
      </c>
      <c r="S1211" s="19">
        <f ca="1">IF('Stock Price'!$I$11="OK",F1211/INDEX(F$5:F$1258,'Stock Price'!$I$9)-1,"")</f>
        <v>-5.577441426498031E-2</v>
      </c>
      <c r="T1211" s="19">
        <f ca="1">IF('Stock Price'!$I$11="OK",G1211/INDEX(G$5:G$1258,'Stock Price'!$I$9)-1,"")</f>
        <v>0.23763157894736842</v>
      </c>
      <c r="U1211" s="19">
        <f ca="1">IF('Stock Price'!$I$11="OK",H1211/INDEX(H$5:H$1258,'Stock Price'!$I$9)-1,"")</f>
        <v>0.23832785345232499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158.83000000000001</v>
      </c>
      <c r="C1212" s="18">
        <v>173.3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0.14645589721380126</v>
      </c>
      <c r="P1212" s="19">
        <f ca="1">IF('Stock Price'!$I$11="OK",C1212/INDEX(C$5:C$1258,'Stock Price'!$I$9)-1,"")</f>
        <v>-5.1320651430135533E-2</v>
      </c>
      <c r="Q1212" s="19">
        <f ca="1">IF('Stock Price'!$I$11="OK",D1212/INDEX(D$5:D$1258,'Stock Price'!$I$9)-1,"")</f>
        <v>7.2335281079991764E-2</v>
      </c>
      <c r="R1212" s="19">
        <f ca="1">IF('Stock Price'!$I$11="OK",E1212/INDEX(E$5:E$1258,'Stock Price'!$I$9)-1,"")</f>
        <v>6.8415937803692817E-2</v>
      </c>
      <c r="S1212" s="19">
        <f ca="1">IF('Stock Price'!$I$11="OK",F1212/INDEX(F$5:F$1258,'Stock Price'!$I$9)-1,"")</f>
        <v>-7.0080862533692612E-2</v>
      </c>
      <c r="T1212" s="19">
        <f ca="1">IF('Stock Price'!$I$11="OK",G1212/INDEX(G$5:G$1258,'Stock Price'!$I$9)-1,"")</f>
        <v>0.25499999999999989</v>
      </c>
      <c r="U1212" s="19">
        <f ca="1">IF('Stock Price'!$I$11="OK",H1212/INDEX(H$5:H$1258,'Stock Price'!$I$9)-1,"")</f>
        <v>0.2246124941286991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158.44</v>
      </c>
      <c r="C1213" s="18">
        <v>171.34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0.14364082575429493</v>
      </c>
      <c r="P1213" s="19">
        <f ca="1">IF('Stock Price'!$I$11="OK",C1213/INDEX(C$5:C$1258,'Stock Price'!$I$9)-1,"")</f>
        <v>-6.205008895579589E-2</v>
      </c>
      <c r="Q1213" s="19">
        <f ca="1">IF('Stock Price'!$I$11="OK",D1213/INDEX(D$5:D$1258,'Stock Price'!$I$9)-1,"")</f>
        <v>4.9163812210356594E-2</v>
      </c>
      <c r="R1213" s="19">
        <f ca="1">IF('Stock Price'!$I$11="OK",E1213/INDEX(E$5:E$1258,'Stock Price'!$I$9)-1,"")</f>
        <v>7.4246841593780477E-2</v>
      </c>
      <c r="S1213" s="19">
        <f ca="1">IF('Stock Price'!$I$11="OK",F1213/INDEX(F$5:F$1258,'Stock Price'!$I$9)-1,"")</f>
        <v>-0.11071946921003517</v>
      </c>
      <c r="T1213" s="19">
        <f ca="1">IF('Stock Price'!$I$11="OK",G1213/INDEX(G$5:G$1258,'Stock Price'!$I$9)-1,"")</f>
        <v>0.27473684210526317</v>
      </c>
      <c r="U1213" s="19">
        <f ca="1">IF('Stock Price'!$I$11="OK",H1213/INDEX(H$5:H$1258,'Stock Price'!$I$9)-1,"")</f>
        <v>0.21925786754344756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156.15</v>
      </c>
      <c r="C1214" s="18">
        <v>169.64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0.12711130359462985</v>
      </c>
      <c r="P1214" s="19">
        <f ca="1">IF('Stock Price'!$I$11="OK",C1214/INDEX(C$5:C$1258,'Stock Price'!$I$9)-1,"")</f>
        <v>-7.1356233748460562E-2</v>
      </c>
      <c r="Q1214" s="19">
        <f ca="1">IF('Stock Price'!$I$11="OK",D1214/INDEX(D$5:D$1258,'Stock Price'!$I$9)-1,"")</f>
        <v>4.150715293169438E-2</v>
      </c>
      <c r="R1214" s="19">
        <f ca="1">IF('Stock Price'!$I$11="OK",E1214/INDEX(E$5:E$1258,'Stock Price'!$I$9)-1,"")</f>
        <v>6.2585034013605378E-2</v>
      </c>
      <c r="S1214" s="19">
        <f ca="1">IF('Stock Price'!$I$11="OK",F1214/INDEX(F$5:F$1258,'Stock Price'!$I$9)-1,"")</f>
        <v>-0.10678001244038982</v>
      </c>
      <c r="T1214" s="19">
        <f ca="1">IF('Stock Price'!$I$11="OK",G1214/INDEX(G$5:G$1258,'Stock Price'!$I$9)-1,"")</f>
        <v>0.26447368421052619</v>
      </c>
      <c r="U1214" s="19">
        <f ca="1">IF('Stock Price'!$I$11="OK",H1214/INDEX(H$5:H$1258,'Stock Price'!$I$9)-1,"")</f>
        <v>0.22310944105213704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153.66999999999999</v>
      </c>
      <c r="C1215" s="18">
        <v>157.97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0.10921033636494881</v>
      </c>
      <c r="P1215" s="19">
        <f ca="1">IF('Stock Price'!$I$11="OK",C1215/INDEX(C$5:C$1258,'Stock Price'!$I$9)-1,"")</f>
        <v>-0.13524018064869314</v>
      </c>
      <c r="Q1215" s="19">
        <f ca="1">IF('Stock Price'!$I$11="OK",D1215/INDEX(D$5:D$1258,'Stock Price'!$I$9)-1,"")</f>
        <v>3.7880314326012465E-2</v>
      </c>
      <c r="R1215" s="19">
        <f ca="1">IF('Stock Price'!$I$11="OK",E1215/INDEX(E$5:E$1258,'Stock Price'!$I$9)-1,"")</f>
        <v>7.0553935860058203E-2</v>
      </c>
      <c r="S1215" s="19">
        <f ca="1">IF('Stock Price'!$I$11="OK",F1215/INDEX(F$5:F$1258,'Stock Price'!$I$9)-1,"")</f>
        <v>-0.10947543023014705</v>
      </c>
      <c r="T1215" s="19">
        <f ca="1">IF('Stock Price'!$I$11="OK",G1215/INDEX(G$5:G$1258,'Stock Price'!$I$9)-1,"")</f>
        <v>0.24</v>
      </c>
      <c r="U1215" s="19">
        <f ca="1">IF('Stock Price'!$I$11="OK",H1215/INDEX(H$5:H$1258,'Stock Price'!$I$9)-1,"")</f>
        <v>0.20028182245185522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153.27000000000001</v>
      </c>
      <c r="C1216" s="18">
        <v>155.62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0.10632308358596809</v>
      </c>
      <c r="P1216" s="19">
        <f ca="1">IF('Stock Price'!$I$11="OK",C1216/INDEX(C$5:C$1258,'Stock Price'!$I$9)-1,"")</f>
        <v>-0.14810455727384697</v>
      </c>
      <c r="Q1216" s="19">
        <f ca="1">IF('Stock Price'!$I$11="OK",D1216/INDEX(D$5:D$1258,'Stock Price'!$I$9)-1,"")</f>
        <v>3.8283296393310406E-2</v>
      </c>
      <c r="R1216" s="19">
        <f ca="1">IF('Stock Price'!$I$11="OK",E1216/INDEX(E$5:E$1258,'Stock Price'!$I$9)-1,"")</f>
        <v>7.7162293488824085E-2</v>
      </c>
      <c r="S1216" s="19">
        <f ca="1">IF('Stock Price'!$I$11="OK",F1216/INDEX(F$5:F$1258,'Stock Price'!$I$9)-1,"")</f>
        <v>-0.11507360563964331</v>
      </c>
      <c r="T1216" s="19">
        <f ca="1">IF('Stock Price'!$I$11="OK",G1216/INDEX(G$5:G$1258,'Stock Price'!$I$9)-1,"")</f>
        <v>0.26973684210526305</v>
      </c>
      <c r="U1216" s="19">
        <f ca="1">IF('Stock Price'!$I$11="OK",H1216/INDEX(H$5:H$1258,'Stock Price'!$I$9)-1,"")</f>
        <v>0.2024424612494129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154.44</v>
      </c>
      <c r="C1217" s="18">
        <v>161.5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0.11476829796448684</v>
      </c>
      <c r="P1217" s="19">
        <f ca="1">IF('Stock Price'!$I$11="OK",C1217/INDEX(C$5:C$1258,'Stock Price'!$I$9)-1,"")</f>
        <v>-0.11591624469686612</v>
      </c>
      <c r="Q1217" s="19">
        <f ca="1">IF('Stock Price'!$I$11="OK",D1217/INDEX(D$5:D$1258,'Stock Price'!$I$9)-1,"")</f>
        <v>3.687285915776739E-2</v>
      </c>
      <c r="R1217" s="19">
        <f ca="1">IF('Stock Price'!$I$11="OK",E1217/INDEX(E$5:E$1258,'Stock Price'!$I$9)-1,"")</f>
        <v>9.6404275996112565E-2</v>
      </c>
      <c r="S1217" s="19">
        <f ca="1">IF('Stock Price'!$I$11="OK",F1217/INDEX(F$5:F$1258,'Stock Price'!$I$9)-1,"")</f>
        <v>-0.11300020733982985</v>
      </c>
      <c r="T1217" s="19">
        <f ca="1">IF('Stock Price'!$I$11="OK",G1217/INDEX(G$5:G$1258,'Stock Price'!$I$9)-1,"")</f>
        <v>0.29526315789473689</v>
      </c>
      <c r="U1217" s="19">
        <f ca="1">IF('Stock Price'!$I$11="OK",H1217/INDEX(H$5:H$1258,'Stock Price'!$I$9)-1,"")</f>
        <v>0.20554250821982167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154.21</v>
      </c>
      <c r="C1218" s="18">
        <v>161.07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0.11310812761657285</v>
      </c>
      <c r="P1218" s="19">
        <f ca="1">IF('Stock Price'!$I$11="OK",C1218/INDEX(C$5:C$1258,'Stock Price'!$I$9)-1,"")</f>
        <v>-0.11827015190912837</v>
      </c>
      <c r="Q1218" s="19">
        <f ca="1">IF('Stock Price'!$I$11="OK",D1218/INDEX(D$5:D$1258,'Stock Price'!$I$9)-1,"")</f>
        <v>5.1178722546846744E-2</v>
      </c>
      <c r="R1218" s="19">
        <f ca="1">IF('Stock Price'!$I$11="OK",E1218/INDEX(E$5:E$1258,'Stock Price'!$I$9)-1,"")</f>
        <v>9.1739552964042792E-2</v>
      </c>
      <c r="S1218" s="19">
        <f ca="1">IF('Stock Price'!$I$11="OK",F1218/INDEX(F$5:F$1258,'Stock Price'!$I$9)-1,"")</f>
        <v>-0.11071946921003517</v>
      </c>
      <c r="T1218" s="19">
        <f ca="1">IF('Stock Price'!$I$11="OK",G1218/INDEX(G$5:G$1258,'Stock Price'!$I$9)-1,"")</f>
        <v>0.30000000000000004</v>
      </c>
      <c r="U1218" s="19">
        <f ca="1">IF('Stock Price'!$I$11="OK",H1218/INDEX(H$5:H$1258,'Stock Price'!$I$9)-1,"")</f>
        <v>0.20591827148896202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156.33000000000001</v>
      </c>
      <c r="C1219" s="18">
        <v>161.41999999999999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0.1284105673451712</v>
      </c>
      <c r="P1219" s="19">
        <f ca="1">IF('Stock Price'!$I$11="OK",C1219/INDEX(C$5:C$1258,'Stock Price'!$I$9)-1,"")</f>
        <v>-0.11635418092240335</v>
      </c>
      <c r="Q1219" s="19">
        <f ca="1">IF('Stock Price'!$I$11="OK",D1219/INDEX(D$5:D$1258,'Stock Price'!$I$9)-1,"")</f>
        <v>6.7096514205117863E-2</v>
      </c>
      <c r="R1219" s="19">
        <f ca="1">IF('Stock Price'!$I$11="OK",E1219/INDEX(E$5:E$1258,'Stock Price'!$I$9)-1,"")</f>
        <v>0.11292517006802716</v>
      </c>
      <c r="S1219" s="19">
        <f ca="1">IF('Stock Price'!$I$11="OK",F1219/INDEX(F$5:F$1258,'Stock Price'!$I$9)-1,"")</f>
        <v>-9.8901098901098772E-2</v>
      </c>
      <c r="T1219" s="19">
        <f ca="1">IF('Stock Price'!$I$11="OK",G1219/INDEX(G$5:G$1258,'Stock Price'!$I$9)-1,"")</f>
        <v>0.3107894736842105</v>
      </c>
      <c r="U1219" s="19">
        <f ca="1">IF('Stock Price'!$I$11="OK",H1219/INDEX(H$5:H$1258,'Stock Price'!$I$9)-1,"")</f>
        <v>0.20789102865194931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156.79</v>
      </c>
      <c r="C1220" s="18">
        <v>161.91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0.13173090804099896</v>
      </c>
      <c r="P1220" s="19">
        <f ca="1">IF('Stock Price'!$I$11="OK",C1220/INDEX(C$5:C$1258,'Stock Price'!$I$9)-1,"")</f>
        <v>-0.1136718215409882</v>
      </c>
      <c r="Q1220" s="19">
        <f ca="1">IF('Stock Price'!$I$11="OK",D1220/INDEX(D$5:D$1258,'Stock Price'!$I$9)-1,"")</f>
        <v>5.0977231513197552E-2</v>
      </c>
      <c r="R1220" s="19">
        <f ca="1">IF('Stock Price'!$I$11="OK",E1220/INDEX(E$5:E$1258,'Stock Price'!$I$9)-1,"")</f>
        <v>0.11622934888240999</v>
      </c>
      <c r="S1220" s="19">
        <f ca="1">IF('Stock Price'!$I$11="OK",F1220/INDEX(F$5:F$1258,'Stock Price'!$I$9)-1,"")</f>
        <v>-9.8486419241136214E-2</v>
      </c>
      <c r="T1220" s="19">
        <f ca="1">IF('Stock Price'!$I$11="OK",G1220/INDEX(G$5:G$1258,'Stock Price'!$I$9)-1,"")</f>
        <v>0.29552631578947364</v>
      </c>
      <c r="U1220" s="19">
        <f ca="1">IF('Stock Price'!$I$11="OK",H1220/INDEX(H$5:H$1258,'Stock Price'!$I$9)-1,"")</f>
        <v>0.22987317989666489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154.61000000000001</v>
      </c>
      <c r="C1221" s="18">
        <v>158.75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0.11599538039555379</v>
      </c>
      <c r="P1221" s="19">
        <f ca="1">IF('Stock Price'!$I$11="OK",C1221/INDEX(C$5:C$1258,'Stock Price'!$I$9)-1,"")</f>
        <v>-0.13097030244970587</v>
      </c>
      <c r="Q1221" s="19">
        <f ca="1">IF('Stock Price'!$I$11="OK",D1221/INDEX(D$5:D$1258,'Stock Price'!$I$9)-1,"")</f>
        <v>2.5589361273423261E-2</v>
      </c>
      <c r="R1221" s="19">
        <f ca="1">IF('Stock Price'!$I$11="OK",E1221/INDEX(E$5:E$1258,'Stock Price'!$I$9)-1,"")</f>
        <v>0.10048590864917384</v>
      </c>
      <c r="S1221" s="19">
        <f ca="1">IF('Stock Price'!$I$11="OK",F1221/INDEX(F$5:F$1258,'Stock Price'!$I$9)-1,"")</f>
        <v>-9.6827700601285427E-2</v>
      </c>
      <c r="T1221" s="19">
        <f ca="1">IF('Stock Price'!$I$11="OK",G1221/INDEX(G$5:G$1258,'Stock Price'!$I$9)-1,"")</f>
        <v>0.28815789473684217</v>
      </c>
      <c r="U1221" s="19">
        <f ca="1">IF('Stock Price'!$I$11="OK",H1221/INDEX(H$5:H$1258,'Stock Price'!$I$9)-1,"")</f>
        <v>0.22517613903240941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152.32</v>
      </c>
      <c r="C1222" s="18">
        <v>158.5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9.9465858235888494E-2</v>
      </c>
      <c r="P1222" s="19">
        <f ca="1">IF('Stock Price'!$I$11="OK",C1222/INDEX(C$5:C$1258,'Stock Price'!$I$9)-1,"")</f>
        <v>-0.13233885315450944</v>
      </c>
      <c r="Q1222" s="19">
        <f ca="1">IF('Stock Price'!$I$11="OK",D1222/INDEX(D$5:D$1258,'Stock Price'!$I$9)-1,"")</f>
        <v>1.3499899254483028E-2</v>
      </c>
      <c r="R1222" s="19">
        <f ca="1">IF('Stock Price'!$I$11="OK",E1222/INDEX(E$5:E$1258,'Stock Price'!$I$9)-1,"")</f>
        <v>9.8347910592808452E-2</v>
      </c>
      <c r="S1222" s="19">
        <f ca="1">IF('Stock Price'!$I$11="OK",F1222/INDEX(F$5:F$1258,'Stock Price'!$I$9)-1,"")</f>
        <v>-9.3717603151565299E-2</v>
      </c>
      <c r="T1222" s="19">
        <f ca="1">IF('Stock Price'!$I$11="OK",G1222/INDEX(G$5:G$1258,'Stock Price'!$I$9)-1,"")</f>
        <v>0.26315789473684204</v>
      </c>
      <c r="U1222" s="19">
        <f ca="1">IF('Stock Price'!$I$11="OK",H1222/INDEX(H$5:H$1258,'Stock Price'!$I$9)-1,"")</f>
        <v>0.24866134335368706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151.72</v>
      </c>
      <c r="C1223" s="18">
        <v>157.24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9.5134979067417413E-2</v>
      </c>
      <c r="P1223" s="19">
        <f ca="1">IF('Stock Price'!$I$11="OK",C1223/INDEX(C$5:C$1258,'Stock Price'!$I$9)-1,"")</f>
        <v>-0.13923634870671964</v>
      </c>
      <c r="Q1223" s="19">
        <f ca="1">IF('Stock Price'!$I$11="OK",D1223/INDEX(D$5:D$1258,'Stock Price'!$I$9)-1,"")</f>
        <v>1.6522264759218253E-2</v>
      </c>
      <c r="R1223" s="19">
        <f ca="1">IF('Stock Price'!$I$11="OK",E1223/INDEX(E$5:E$1258,'Stock Price'!$I$9)-1,"")</f>
        <v>7.852283770651125E-2</v>
      </c>
      <c r="S1223" s="19">
        <f ca="1">IF('Stock Price'!$I$11="OK",F1223/INDEX(F$5:F$1258,'Stock Price'!$I$9)-1,"")</f>
        <v>-9.2266224341695957E-2</v>
      </c>
      <c r="T1223" s="19">
        <f ca="1">IF('Stock Price'!$I$11="OK",G1223/INDEX(G$5:G$1258,'Stock Price'!$I$9)-1,"")</f>
        <v>0.26473684210526316</v>
      </c>
      <c r="U1223" s="19">
        <f ca="1">IF('Stock Price'!$I$11="OK",H1223/INDEX(H$5:H$1258,'Stock Price'!$I$9)-1,"")</f>
        <v>0.27336777829967129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150.88</v>
      </c>
      <c r="C1224" s="18">
        <v>156.44999999999999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8.9071748231557724E-2</v>
      </c>
      <c r="P1224" s="19">
        <f ca="1">IF('Stock Price'!$I$11="OK",C1224/INDEX(C$5:C$1258,'Stock Price'!$I$9)-1,"")</f>
        <v>-0.14356096893389914</v>
      </c>
      <c r="Q1224" s="19">
        <f ca="1">IF('Stock Price'!$I$11="OK",D1224/INDEX(D$5:D$1258,'Stock Price'!$I$9)-1,"")</f>
        <v>-2.2164013701390095E-3</v>
      </c>
      <c r="R1224" s="19">
        <f ca="1">IF('Stock Price'!$I$11="OK",E1224/INDEX(E$5:E$1258,'Stock Price'!$I$9)-1,"")</f>
        <v>5.966958211856177E-2</v>
      </c>
      <c r="S1224" s="19">
        <f ca="1">IF('Stock Price'!$I$11="OK",F1224/INDEX(F$5:F$1258,'Stock Price'!$I$9)-1,"")</f>
        <v>-9.3510263321584075E-2</v>
      </c>
      <c r="T1224" s="19">
        <f ca="1">IF('Stock Price'!$I$11="OK",G1224/INDEX(G$5:G$1258,'Stock Price'!$I$9)-1,"")</f>
        <v>0.25763157894736843</v>
      </c>
      <c r="U1224" s="19">
        <f ca="1">IF('Stock Price'!$I$11="OK",H1224/INDEX(H$5:H$1258,'Stock Price'!$I$9)-1,"")</f>
        <v>0.2760920620009395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151.97</v>
      </c>
      <c r="C1225" s="18">
        <v>156.88999999999999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9.6939512054280419E-2</v>
      </c>
      <c r="P1225" s="19">
        <f ca="1">IF('Stock Price'!$I$11="OK",C1225/INDEX(C$5:C$1258,'Stock Price'!$I$9)-1,"")</f>
        <v>-0.14115231969344477</v>
      </c>
      <c r="Q1225" s="19">
        <f ca="1">IF('Stock Price'!$I$11="OK",D1225/INDEX(D$5:D$1258,'Stock Price'!$I$9)-1,"")</f>
        <v>1.3096917187185086E-2</v>
      </c>
      <c r="R1225" s="19">
        <f ca="1">IF('Stock Price'!$I$11="OK",E1225/INDEX(E$5:E$1258,'Stock Price'!$I$9)-1,"")</f>
        <v>6.1418853255587935E-2</v>
      </c>
      <c r="S1225" s="19">
        <f ca="1">IF('Stock Price'!$I$11="OK",F1225/INDEX(F$5:F$1258,'Stock Price'!$I$9)-1,"")</f>
        <v>-7.9203815052871662E-2</v>
      </c>
      <c r="T1225" s="19">
        <f ca="1">IF('Stock Price'!$I$11="OK",G1225/INDEX(G$5:G$1258,'Stock Price'!$I$9)-1,"")</f>
        <v>0.26052631578947372</v>
      </c>
      <c r="U1225" s="19">
        <f ca="1">IF('Stock Price'!$I$11="OK",H1225/INDEX(H$5:H$1258,'Stock Price'!$I$9)-1,"")</f>
        <v>0.27731329262564586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154.55000000000001</v>
      </c>
      <c r="C1226" s="18">
        <v>160.1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0.11556229247870675</v>
      </c>
      <c r="P1226" s="19">
        <f ca="1">IF('Stock Price'!$I$11="OK",C1226/INDEX(C$5:C$1258,'Stock Price'!$I$9)-1,"")</f>
        <v>-0.12358012864376633</v>
      </c>
      <c r="Q1226" s="19">
        <f ca="1">IF('Stock Price'!$I$11="OK",D1226/INDEX(D$5:D$1258,'Stock Price'!$I$9)-1,"")</f>
        <v>3.0626637114648414E-2</v>
      </c>
      <c r="R1226" s="19">
        <f ca="1">IF('Stock Price'!$I$11="OK",E1226/INDEX(E$5:E$1258,'Stock Price'!$I$9)-1,"")</f>
        <v>7.9300291545189472E-2</v>
      </c>
      <c r="S1226" s="19">
        <f ca="1">IF('Stock Price'!$I$11="OK",F1226/INDEX(F$5:F$1258,'Stock Price'!$I$9)-1,"")</f>
        <v>-6.7592784573916598E-2</v>
      </c>
      <c r="T1226" s="19">
        <f ca="1">IF('Stock Price'!$I$11="OK",G1226/INDEX(G$5:G$1258,'Stock Price'!$I$9)-1,"")</f>
        <v>0.28263157894736857</v>
      </c>
      <c r="U1226" s="19">
        <f ca="1">IF('Stock Price'!$I$11="OK",H1226/INDEX(H$5:H$1258,'Stock Price'!$I$9)-1,"")</f>
        <v>0.26979802724283686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160.31</v>
      </c>
      <c r="C1227" s="18">
        <v>164.95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0.15713873249603005</v>
      </c>
      <c r="P1227" s="19">
        <f ca="1">IF('Stock Price'!$I$11="OK",C1227/INDEX(C$5:C$1258,'Stock Price'!$I$9)-1,"")</f>
        <v>-9.7030244970576329E-2</v>
      </c>
      <c r="Q1227" s="19">
        <f ca="1">IF('Stock Price'!$I$11="OK",D1227/INDEX(D$5:D$1258,'Stock Price'!$I$9)-1,"")</f>
        <v>6.5484585935925876E-2</v>
      </c>
      <c r="R1227" s="19">
        <f ca="1">IF('Stock Price'!$I$11="OK",E1227/INDEX(E$5:E$1258,'Stock Price'!$I$9)-1,"")</f>
        <v>0.13119533527696792</v>
      </c>
      <c r="S1227" s="19">
        <f ca="1">IF('Stock Price'!$I$11="OK",F1227/INDEX(F$5:F$1258,'Stock Price'!$I$9)-1,"")</f>
        <v>-4.9761559195521388E-2</v>
      </c>
      <c r="T1227" s="19">
        <f ca="1">IF('Stock Price'!$I$11="OK",G1227/INDEX(G$5:G$1258,'Stock Price'!$I$9)-1,"")</f>
        <v>0.28973684210526307</v>
      </c>
      <c r="U1227" s="19">
        <f ca="1">IF('Stock Price'!$I$11="OK",H1227/INDEX(H$5:H$1258,'Stock Price'!$I$9)-1,"")</f>
        <v>0.42977923907937976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156.24</v>
      </c>
      <c r="C1228" s="18">
        <v>164.49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0.12776093546990053</v>
      </c>
      <c r="P1228" s="19">
        <f ca="1">IF('Stock Price'!$I$11="OK",C1228/INDEX(C$5:C$1258,'Stock Price'!$I$9)-1,"")</f>
        <v>-9.9548378267414805E-2</v>
      </c>
      <c r="Q1228" s="19">
        <f ca="1">IF('Stock Price'!$I$11="OK",D1228/INDEX(D$5:D$1258,'Stock Price'!$I$9)-1,"")</f>
        <v>4.6947410840217474E-2</v>
      </c>
      <c r="R1228" s="19">
        <f ca="1">IF('Stock Price'!$I$11="OK",E1228/INDEX(E$5:E$1258,'Stock Price'!$I$9)-1,"")</f>
        <v>0.11273080660835766</v>
      </c>
      <c r="S1228" s="19">
        <f ca="1">IF('Stock Price'!$I$11="OK",F1228/INDEX(F$5:F$1258,'Stock Price'!$I$9)-1,"")</f>
        <v>-6.3860667634252466E-2</v>
      </c>
      <c r="T1228" s="19">
        <f ca="1">IF('Stock Price'!$I$11="OK",G1228/INDEX(G$5:G$1258,'Stock Price'!$I$9)-1,"")</f>
        <v>0.27921052631578935</v>
      </c>
      <c r="U1228" s="19">
        <f ca="1">IF('Stock Price'!$I$11="OK",H1228/INDEX(H$5:H$1258,'Stock Price'!$I$9)-1,"")</f>
        <v>0.39962423673085956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158.86000000000001</v>
      </c>
      <c r="C1229" s="18">
        <v>165.98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0.14667244117222489</v>
      </c>
      <c r="P1229" s="19">
        <f ca="1">IF('Stock Price'!$I$11="OK",C1229/INDEX(C$5:C$1258,'Stock Price'!$I$9)-1,"")</f>
        <v>-9.139181606678537E-2</v>
      </c>
      <c r="Q1229" s="19">
        <f ca="1">IF('Stock Price'!$I$11="OK",D1229/INDEX(D$5:D$1258,'Stock Price'!$I$9)-1,"")</f>
        <v>5.6014507354422705E-2</v>
      </c>
      <c r="R1229" s="19">
        <f ca="1">IF('Stock Price'!$I$11="OK",E1229/INDEX(E$5:E$1258,'Stock Price'!$I$9)-1,"")</f>
        <v>0.12925170068027203</v>
      </c>
      <c r="S1229" s="19">
        <f ca="1">IF('Stock Price'!$I$11="OK",F1229/INDEX(F$5:F$1258,'Stock Price'!$I$9)-1,"")</f>
        <v>-4.9346879535558719E-2</v>
      </c>
      <c r="T1229" s="19">
        <f ca="1">IF('Stock Price'!$I$11="OK",G1229/INDEX(G$5:G$1258,'Stock Price'!$I$9)-1,"")</f>
        <v>0.26421052631578945</v>
      </c>
      <c r="U1229" s="19">
        <f ca="1">IF('Stock Price'!$I$11="OK",H1229/INDEX(H$5:H$1258,'Stock Price'!$I$9)-1,"")</f>
        <v>0.43306716768435893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158.02000000000001</v>
      </c>
      <c r="C1230" s="18">
        <v>166.71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0.1406092103363652</v>
      </c>
      <c r="P1230" s="19">
        <f ca="1">IF('Stock Price'!$I$11="OK",C1230/INDEX(C$5:C$1258,'Stock Price'!$I$9)-1,"")</f>
        <v>-8.7395648008758764E-2</v>
      </c>
      <c r="Q1230" s="19">
        <f ca="1">IF('Stock Price'!$I$11="OK",D1230/INDEX(D$5:D$1258,'Stock Price'!$I$9)-1,"")</f>
        <v>4.3320572234535559E-2</v>
      </c>
      <c r="R1230" s="19">
        <f ca="1">IF('Stock Price'!$I$11="OK",E1230/INDEX(E$5:E$1258,'Stock Price'!$I$9)-1,"")</f>
        <v>0.11700680272108843</v>
      </c>
      <c r="S1230" s="19">
        <f ca="1">IF('Stock Price'!$I$11="OK",F1230/INDEX(F$5:F$1258,'Stock Price'!$I$9)-1,"")</f>
        <v>-5.2664316815260181E-2</v>
      </c>
      <c r="T1230" s="19">
        <f ca="1">IF('Stock Price'!$I$11="OK",G1230/INDEX(G$5:G$1258,'Stock Price'!$I$9)-1,"")</f>
        <v>0.27578947368421036</v>
      </c>
      <c r="U1230" s="19">
        <f ca="1">IF('Stock Price'!$I$11="OK",H1230/INDEX(H$5:H$1258,'Stock Price'!$I$9)-1,"")</f>
        <v>0.41531235321747295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159.97999999999999</v>
      </c>
      <c r="C1231" s="18">
        <v>169.66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0.15475674895337077</v>
      </c>
      <c r="P1231" s="19">
        <f ca="1">IF('Stock Price'!$I$11="OK",C1231/INDEX(C$5:C$1258,'Stock Price'!$I$9)-1,"")</f>
        <v>-7.1246749692076117E-2</v>
      </c>
      <c r="Q1231" s="19">
        <f ca="1">IF('Stock Price'!$I$11="OK",D1231/INDEX(D$5:D$1258,'Stock Price'!$I$9)-1,"")</f>
        <v>4.9163812210356594E-2</v>
      </c>
      <c r="R1231" s="19">
        <f ca="1">IF('Stock Price'!$I$11="OK",E1231/INDEX(E$5:E$1258,'Stock Price'!$I$9)-1,"")</f>
        <v>0.13644314868804663</v>
      </c>
      <c r="S1231" s="19">
        <f ca="1">IF('Stock Price'!$I$11="OK",F1231/INDEX(F$5:F$1258,'Stock Price'!$I$9)-1,"")</f>
        <v>-4.5822102425875921E-2</v>
      </c>
      <c r="T1231" s="19">
        <f ca="1">IF('Stock Price'!$I$11="OK",G1231/INDEX(G$5:G$1258,'Stock Price'!$I$9)-1,"")</f>
        <v>0.29631578947368409</v>
      </c>
      <c r="U1231" s="19">
        <f ca="1">IF('Stock Price'!$I$11="OK",H1231/INDEX(H$5:H$1258,'Stock Price'!$I$9)-1,"")</f>
        <v>0.46970408642555173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157.54</v>
      </c>
      <c r="C1232" s="18">
        <v>166.27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0.13714450700158798</v>
      </c>
      <c r="P1232" s="19">
        <f ca="1">IF('Stock Price'!$I$11="OK",C1232/INDEX(C$5:C$1258,'Stock Price'!$I$9)-1,"")</f>
        <v>-8.9804297249213128E-2</v>
      </c>
      <c r="Q1232" s="19">
        <f ca="1">IF('Stock Price'!$I$11="OK",D1232/INDEX(D$5:D$1258,'Stock Price'!$I$9)-1,"")</f>
        <v>3.6268386056820479E-2</v>
      </c>
      <c r="R1232" s="19">
        <f ca="1">IF('Stock Price'!$I$11="OK",E1232/INDEX(E$5:E$1258,'Stock Price'!$I$9)-1,"")</f>
        <v>0.10573372206025256</v>
      </c>
      <c r="S1232" s="19">
        <f ca="1">IF('Stock Price'!$I$11="OK",F1232/INDEX(F$5:F$1258,'Stock Price'!$I$9)-1,"")</f>
        <v>-5.8262492224756324E-2</v>
      </c>
      <c r="T1232" s="19">
        <f ca="1">IF('Stock Price'!$I$11="OK",G1232/INDEX(G$5:G$1258,'Stock Price'!$I$9)-1,"")</f>
        <v>0.29236842105263161</v>
      </c>
      <c r="U1232" s="19">
        <f ca="1">IF('Stock Price'!$I$11="OK",H1232/INDEX(H$5:H$1258,'Stock Price'!$I$9)-1,"")</f>
        <v>0.43823391263503986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154.65</v>
      </c>
      <c r="C1233" s="18">
        <v>164.52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0.11628410567345182</v>
      </c>
      <c r="P1233" s="19">
        <f ca="1">IF('Stock Price'!$I$11="OK",C1233/INDEX(C$5:C$1258,'Stock Price'!$I$9)-1,"")</f>
        <v>-9.9384152182838359E-2</v>
      </c>
      <c r="Q1233" s="19">
        <f ca="1">IF('Stock Price'!$I$11="OK",D1233/INDEX(D$5:D$1258,'Stock Price'!$I$9)-1,"")</f>
        <v>1.2895426153536116E-2</v>
      </c>
      <c r="R1233" s="19">
        <f ca="1">IF('Stock Price'!$I$11="OK",E1233/INDEX(E$5:E$1258,'Stock Price'!$I$9)-1,"")</f>
        <v>9.6015549076773565E-2</v>
      </c>
      <c r="S1233" s="19">
        <f ca="1">IF('Stock Price'!$I$11="OK",F1233/INDEX(F$5:F$1258,'Stock Price'!$I$9)-1,"")</f>
        <v>-7.0288202363673946E-2</v>
      </c>
      <c r="T1233" s="19">
        <f ca="1">IF('Stock Price'!$I$11="OK",G1233/INDEX(G$5:G$1258,'Stock Price'!$I$9)-1,"")</f>
        <v>0.27578947368421036</v>
      </c>
      <c r="U1233" s="19">
        <f ca="1">IF('Stock Price'!$I$11="OK",H1233/INDEX(H$5:H$1258,'Stock Price'!$I$9)-1,"")</f>
        <v>0.40479098168154048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153.81</v>
      </c>
      <c r="C1234" s="18">
        <v>162.69999999999999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0.11022087483759213</v>
      </c>
      <c r="P1234" s="19">
        <f ca="1">IF('Stock Price'!$I$11="OK",C1234/INDEX(C$5:C$1258,'Stock Price'!$I$9)-1,"")</f>
        <v>-0.10934720131380882</v>
      </c>
      <c r="Q1234" s="19">
        <f ca="1">IF('Stock Price'!$I$11="OK",D1234/INDEX(D$5:D$1258,'Stock Price'!$I$9)-1,"")</f>
        <v>2.3977433004231274E-2</v>
      </c>
      <c r="R1234" s="19">
        <f ca="1">IF('Stock Price'!$I$11="OK",E1234/INDEX(E$5:E$1258,'Stock Price'!$I$9)-1,"")</f>
        <v>7.269193391642359E-2</v>
      </c>
      <c r="S1234" s="19">
        <f ca="1">IF('Stock Price'!$I$11="OK",F1234/INDEX(F$5:F$1258,'Stock Price'!$I$9)-1,"")</f>
        <v>-7.0702882023636726E-2</v>
      </c>
      <c r="T1234" s="19">
        <f ca="1">IF('Stock Price'!$I$11="OK",G1234/INDEX(G$5:G$1258,'Stock Price'!$I$9)-1,"")</f>
        <v>0.28078947368421048</v>
      </c>
      <c r="U1234" s="19">
        <f ca="1">IF('Stock Price'!$I$11="OK",H1234/INDEX(H$5:H$1258,'Stock Price'!$I$9)-1,"")</f>
        <v>0.39361202442461241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152.06</v>
      </c>
      <c r="C1235" s="18">
        <v>162.13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9.7589143929551092E-2</v>
      </c>
      <c r="P1235" s="19">
        <f ca="1">IF('Stock Price'!$I$11="OK",C1235/INDEX(C$5:C$1258,'Stock Price'!$I$9)-1,"")</f>
        <v>-0.11246749692076097</v>
      </c>
      <c r="Q1235" s="19">
        <f ca="1">IF('Stock Price'!$I$11="OK",D1235/INDEX(D$5:D$1258,'Stock Price'!$I$9)-1,"")</f>
        <v>1.2492444086238175E-2</v>
      </c>
      <c r="R1235" s="19">
        <f ca="1">IF('Stock Price'!$I$11="OK",E1235/INDEX(E$5:E$1258,'Stock Price'!$I$9)-1,"")</f>
        <v>4.3731778425655898E-2</v>
      </c>
      <c r="S1235" s="19">
        <f ca="1">IF('Stock Price'!$I$11="OK",F1235/INDEX(F$5:F$1258,'Stock Price'!$I$9)-1,"")</f>
        <v>-8.0240514202778335E-2</v>
      </c>
      <c r="T1235" s="19">
        <f ca="1">IF('Stock Price'!$I$11="OK",G1235/INDEX(G$5:G$1258,'Stock Price'!$I$9)-1,"")</f>
        <v>0.29052631578947374</v>
      </c>
      <c r="U1235" s="19">
        <f ca="1">IF('Stock Price'!$I$11="OK",H1235/INDEX(H$5:H$1258,'Stock Price'!$I$9)-1,"")</f>
        <v>0.38806951620479091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161.25</v>
      </c>
      <c r="C1236" s="18">
        <v>162.47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0.16392377652663503</v>
      </c>
      <c r="P1236" s="19">
        <f ca="1">IF('Stock Price'!$I$11="OK",C1236/INDEX(C$5:C$1258,'Stock Price'!$I$9)-1,"")</f>
        <v>-0.11060626796222806</v>
      </c>
      <c r="Q1236" s="19">
        <f ca="1">IF('Stock Price'!$I$11="OK",D1236/INDEX(D$5:D$1258,'Stock Price'!$I$9)-1,"")</f>
        <v>2.0753576465847079E-2</v>
      </c>
      <c r="R1236" s="19">
        <f ca="1">IF('Stock Price'!$I$11="OK",E1236/INDEX(E$5:E$1258,'Stock Price'!$I$9)-1,"")</f>
        <v>3.1875607385811522E-2</v>
      </c>
      <c r="S1236" s="19">
        <f ca="1">IF('Stock Price'!$I$11="OK",F1236/INDEX(F$5:F$1258,'Stock Price'!$I$9)-1,"")</f>
        <v>-8.0033174372797E-2</v>
      </c>
      <c r="T1236" s="19">
        <f ca="1">IF('Stock Price'!$I$11="OK",G1236/INDEX(G$5:G$1258,'Stock Price'!$I$9)-1,"")</f>
        <v>0.2863157894736843</v>
      </c>
      <c r="U1236" s="19">
        <f ca="1">IF('Stock Price'!$I$11="OK",H1236/INDEX(H$5:H$1258,'Stock Price'!$I$9)-1,"")</f>
        <v>0.40779708783466417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162.46</v>
      </c>
      <c r="C1237" s="18">
        <v>161.63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0.17265771618305203</v>
      </c>
      <c r="P1237" s="19">
        <f ca="1">IF('Stock Price'!$I$11="OK",C1237/INDEX(C$5:C$1258,'Stock Price'!$I$9)-1,"")</f>
        <v>-0.11520459833036822</v>
      </c>
      <c r="Q1237" s="19">
        <f ca="1">IF('Stock Price'!$I$11="OK",D1237/INDEX(D$5:D$1258,'Stock Price'!$I$9)-1,"")</f>
        <v>1.632077372556906E-2</v>
      </c>
      <c r="R1237" s="19">
        <f ca="1">IF('Stock Price'!$I$11="OK",E1237/INDEX(E$5:E$1258,'Stock Price'!$I$9)-1,"")</f>
        <v>4.6258503401360507E-2</v>
      </c>
      <c r="S1237" s="19">
        <f ca="1">IF('Stock Price'!$I$11="OK",F1237/INDEX(F$5:F$1258,'Stock Price'!$I$9)-1,"")</f>
        <v>-7.7959776072983544E-2</v>
      </c>
      <c r="T1237" s="19">
        <f ca="1">IF('Stock Price'!$I$11="OK",G1237/INDEX(G$5:G$1258,'Stock Price'!$I$9)-1,"")</f>
        <v>0.29421052631578948</v>
      </c>
      <c r="U1237" s="19">
        <f ca="1">IF('Stock Price'!$I$11="OK",H1237/INDEX(H$5:H$1258,'Stock Price'!$I$9)-1,"")</f>
        <v>0.42451855331141375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163.09</v>
      </c>
      <c r="C1238" s="18">
        <v>164.77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0.17720513930994675</v>
      </c>
      <c r="P1238" s="19">
        <f ca="1">IF('Stock Price'!$I$11="OK",C1238/INDEX(C$5:C$1258,'Stock Price'!$I$9)-1,"")</f>
        <v>-9.8015601478034786E-2</v>
      </c>
      <c r="Q1238" s="19">
        <f ca="1">IF('Stock Price'!$I$11="OK",D1238/INDEX(D$5:D$1258,'Stock Price'!$I$9)-1,"")</f>
        <v>2.4984888172476127E-2</v>
      </c>
      <c r="R1238" s="19">
        <f ca="1">IF('Stock Price'!$I$11="OK",E1238/INDEX(E$5:E$1258,'Stock Price'!$I$9)-1,"")</f>
        <v>7.3275024295432312E-2</v>
      </c>
      <c r="S1238" s="19">
        <f ca="1">IF('Stock Price'!$I$11="OK",F1238/INDEX(F$5:F$1258,'Stock Price'!$I$9)-1,"")</f>
        <v>-8.0862533692722338E-2</v>
      </c>
      <c r="T1238" s="19">
        <f ca="1">IF('Stock Price'!$I$11="OK",G1238/INDEX(G$5:G$1258,'Stock Price'!$I$9)-1,"")</f>
        <v>0.29842105263157914</v>
      </c>
      <c r="U1238" s="19">
        <f ca="1">IF('Stock Price'!$I$11="OK",H1238/INDEX(H$5:H$1258,'Stock Price'!$I$9)-1,"")</f>
        <v>0.43109441052137143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159.99</v>
      </c>
      <c r="C1239" s="18">
        <v>162.69999999999999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0.15482893027284561</v>
      </c>
      <c r="P1239" s="19">
        <f ca="1">IF('Stock Price'!$I$11="OK",C1239/INDEX(C$5:C$1258,'Stock Price'!$I$9)-1,"")</f>
        <v>-0.10934720131380882</v>
      </c>
      <c r="Q1239" s="19">
        <f ca="1">IF('Stock Price'!$I$11="OK",D1239/INDEX(D$5:D$1258,'Stock Price'!$I$9)-1,"")</f>
        <v>5.2387668748741234E-3</v>
      </c>
      <c r="R1239" s="19">
        <f ca="1">IF('Stock Price'!$I$11="OK",E1239/INDEX(E$5:E$1258,'Stock Price'!$I$9)-1,"")</f>
        <v>6.8415937803692817E-2</v>
      </c>
      <c r="S1239" s="19">
        <f ca="1">IF('Stock Price'!$I$11="OK",F1239/INDEX(F$5:F$1258,'Stock Price'!$I$9)-1,"")</f>
        <v>-8.2728592162554349E-2</v>
      </c>
      <c r="T1239" s="19">
        <f ca="1">IF('Stock Price'!$I$11="OK",G1239/INDEX(G$5:G$1258,'Stock Price'!$I$9)-1,"")</f>
        <v>0.28552631578947363</v>
      </c>
      <c r="U1239" s="19">
        <f ca="1">IF('Stock Price'!$I$11="OK",H1239/INDEX(H$5:H$1258,'Stock Price'!$I$9)-1,"")</f>
        <v>0.4122123062470644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137.69999999999999</v>
      </c>
      <c r="C1240" s="18">
        <v>160.04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-6.0632308358596898E-3</v>
      </c>
      <c r="P1240" s="19">
        <f ca="1">IF('Stock Price'!$I$11="OK",C1240/INDEX(C$5:C$1258,'Stock Price'!$I$9)-1,"")</f>
        <v>-0.12390858081291922</v>
      </c>
      <c r="Q1240" s="19">
        <f ca="1">IF('Stock Price'!$I$11="OK",D1240/INDEX(D$5:D$1258,'Stock Price'!$I$9)-1,"")</f>
        <v>-2.1962522667741347E-2</v>
      </c>
      <c r="R1240" s="19">
        <f ca="1">IF('Stock Price'!$I$11="OK",E1240/INDEX(E$5:E$1258,'Stock Price'!$I$9)-1,"")</f>
        <v>5.0923226433430502E-2</v>
      </c>
      <c r="S1240" s="19">
        <f ca="1">IF('Stock Price'!$I$11="OK",F1240/INDEX(F$5:F$1258,'Stock Price'!$I$9)-1,"")</f>
        <v>-0.1052249637155297</v>
      </c>
      <c r="T1240" s="19">
        <f ca="1">IF('Stock Price'!$I$11="OK",G1240/INDEX(G$5:G$1258,'Stock Price'!$I$9)-1,"")</f>
        <v>0.30026315789473679</v>
      </c>
      <c r="U1240" s="19">
        <f ca="1">IF('Stock Price'!$I$11="OK",H1240/INDEX(H$5:H$1258,'Stock Price'!$I$9)-1,"")</f>
        <v>0.39464537341474881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137.47999999999999</v>
      </c>
      <c r="C1241" s="18">
        <v>156.94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-7.6512198642991747E-3</v>
      </c>
      <c r="P1241" s="19">
        <f ca="1">IF('Stock Price'!$I$11="OK",C1241/INDEX(C$5:C$1258,'Stock Price'!$I$9)-1,"")</f>
        <v>-0.14087860955248399</v>
      </c>
      <c r="Q1241" s="19">
        <f ca="1">IF('Stock Price'!$I$11="OK",D1241/INDEX(D$5:D$1258,'Stock Price'!$I$9)-1,"")</f>
        <v>-2.0149103364900278E-2</v>
      </c>
      <c r="R1241" s="19">
        <f ca="1">IF('Stock Price'!$I$11="OK",E1241/INDEX(E$5:E$1258,'Stock Price'!$I$9)-1,"")</f>
        <v>3.7512147716229238E-2</v>
      </c>
      <c r="S1241" s="19">
        <f ca="1">IF('Stock Price'!$I$11="OK",F1241/INDEX(F$5:F$1258,'Stock Price'!$I$9)-1,"")</f>
        <v>-0.11154882852996051</v>
      </c>
      <c r="T1241" s="19">
        <f ca="1">IF('Stock Price'!$I$11="OK",G1241/INDEX(G$5:G$1258,'Stock Price'!$I$9)-1,"")</f>
        <v>0.29631578947368409</v>
      </c>
      <c r="U1241" s="19">
        <f ca="1">IF('Stock Price'!$I$11="OK",H1241/INDEX(H$5:H$1258,'Stock Price'!$I$9)-1,"")</f>
        <v>0.38590887740723345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137.47999999999999</v>
      </c>
      <c r="C1242" s="18">
        <v>159.63999999999999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-7.6512198642991747E-3</v>
      </c>
      <c r="P1242" s="19">
        <f ca="1">IF('Stock Price'!$I$11="OK",C1242/INDEX(C$5:C$1258,'Stock Price'!$I$9)-1,"")</f>
        <v>-0.12609826194060503</v>
      </c>
      <c r="Q1242" s="19">
        <f ca="1">IF('Stock Price'!$I$11="OK",D1242/INDEX(D$5:D$1258,'Stock Price'!$I$9)-1,"")</f>
        <v>-3.0425146080999443E-2</v>
      </c>
      <c r="R1242" s="19">
        <f ca="1">IF('Stock Price'!$I$11="OK",E1242/INDEX(E$5:E$1258,'Stock Price'!$I$9)-1,"")</f>
        <v>3.3819241982507187E-2</v>
      </c>
      <c r="S1242" s="19">
        <f ca="1">IF('Stock Price'!$I$11="OK",F1242/INDEX(F$5:F$1258,'Stock Price'!$I$9)-1,"")</f>
        <v>-0.11424424631971797</v>
      </c>
      <c r="T1242" s="19">
        <f ca="1">IF('Stock Price'!$I$11="OK",G1242/INDEX(G$5:G$1258,'Stock Price'!$I$9)-1,"")</f>
        <v>0.28157894736842115</v>
      </c>
      <c r="U1242" s="19">
        <f ca="1">IF('Stock Price'!$I$11="OK",H1242/INDEX(H$5:H$1258,'Stock Price'!$I$9)-1,"")</f>
        <v>0.35941756693283233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137.16</v>
      </c>
      <c r="C1243" s="18">
        <v>160.16999999999999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-9.9610220874837285E-3</v>
      </c>
      <c r="P1243" s="19">
        <f ca="1">IF('Stock Price'!$I$11="OK",C1243/INDEX(C$5:C$1258,'Stock Price'!$I$9)-1,"")</f>
        <v>-0.12319693444642132</v>
      </c>
      <c r="Q1243" s="19">
        <f ca="1">IF('Stock Price'!$I$11="OK",D1243/INDEX(D$5:D$1258,'Stock Price'!$I$9)-1,"")</f>
        <v>-3.0223655047350362E-2</v>
      </c>
      <c r="R1243" s="19">
        <f ca="1">IF('Stock Price'!$I$11="OK",E1243/INDEX(E$5:E$1258,'Stock Price'!$I$9)-1,"")</f>
        <v>2.526724975704564E-2</v>
      </c>
      <c r="S1243" s="19">
        <f ca="1">IF('Stock Price'!$I$11="OK",F1243/INDEX(F$5:F$1258,'Stock Price'!$I$9)-1,"")</f>
        <v>-0.11320754716981118</v>
      </c>
      <c r="T1243" s="19">
        <f ca="1">IF('Stock Price'!$I$11="OK",G1243/INDEX(G$5:G$1258,'Stock Price'!$I$9)-1,"")</f>
        <v>0.26763157894736844</v>
      </c>
      <c r="U1243" s="19">
        <f ca="1">IF('Stock Price'!$I$11="OK",H1243/INDEX(H$5:H$1258,'Stock Price'!$I$9)-1,"")</f>
        <v>0.35209018318459373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138.99</v>
      </c>
      <c r="C1244" s="18">
        <v>163.78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3.2481593763535876E-3</v>
      </c>
      <c r="P1244" s="19">
        <f ca="1">IF('Stock Price'!$I$11="OK",C1244/INDEX(C$5:C$1258,'Stock Price'!$I$9)-1,"")</f>
        <v>-0.10343506226905708</v>
      </c>
      <c r="Q1244" s="19">
        <f ca="1">IF('Stock Price'!$I$11="OK",D1244/INDEX(D$5:D$1258,'Stock Price'!$I$9)-1,"")</f>
        <v>8.4626234132580969E-3</v>
      </c>
      <c r="R1244" s="19">
        <f ca="1">IF('Stock Price'!$I$11="OK",E1244/INDEX(E$5:E$1258,'Stock Price'!$I$9)-1,"")</f>
        <v>6.5111758989309987E-2</v>
      </c>
      <c r="S1244" s="19">
        <f ca="1">IF('Stock Price'!$I$11="OK",F1244/INDEX(F$5:F$1258,'Stock Price'!$I$9)-1,"")</f>
        <v>-0.10159651669085634</v>
      </c>
      <c r="T1244" s="19">
        <f ca="1">IF('Stock Price'!$I$11="OK",G1244/INDEX(G$5:G$1258,'Stock Price'!$I$9)-1,"")</f>
        <v>0.29815789473684196</v>
      </c>
      <c r="U1244" s="19">
        <f ca="1">IF('Stock Price'!$I$11="OK",H1244/INDEX(H$5:H$1258,'Stock Price'!$I$9)-1,"")</f>
        <v>0.36073273837482378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138.62</v>
      </c>
      <c r="C1245" s="18">
        <v>161.85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5.7745055579627724E-4</v>
      </c>
      <c r="P1245" s="19">
        <f ca="1">IF('Stock Price'!$I$11="OK",C1245/INDEX(C$5:C$1258,'Stock Price'!$I$9)-1,"")</f>
        <v>-0.1140002737101411</v>
      </c>
      <c r="Q1245" s="19">
        <f ca="1">IF('Stock Price'!$I$11="OK",D1245/INDEX(D$5:D$1258,'Stock Price'!$I$9)-1,"")</f>
        <v>7.6566592786619925E-3</v>
      </c>
      <c r="R1245" s="19">
        <f ca="1">IF('Stock Price'!$I$11="OK",E1245/INDEX(E$5:E$1258,'Stock Price'!$I$9)-1,"")</f>
        <v>6.8027210884353817E-2</v>
      </c>
      <c r="S1245" s="19">
        <f ca="1">IF('Stock Price'!$I$11="OK",F1245/INDEX(F$5:F$1258,'Stock Price'!$I$9)-1,"")</f>
        <v>-0.12087912087912089</v>
      </c>
      <c r="T1245" s="19">
        <f ca="1">IF('Stock Price'!$I$11="OK",G1245/INDEX(G$5:G$1258,'Stock Price'!$I$9)-1,"")</f>
        <v>0.28184210526315789</v>
      </c>
      <c r="U1245" s="19">
        <f ca="1">IF('Stock Price'!$I$11="OK",H1245/INDEX(H$5:H$1258,'Stock Price'!$I$9)-1,"")</f>
        <v>0.35077501174260206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138.69999999999999</v>
      </c>
      <c r="C1246" s="18">
        <v>162.88999999999999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1.1549011115923324E-3</v>
      </c>
      <c r="P1246" s="19">
        <f ca="1">IF('Stock Price'!$I$11="OK",C1246/INDEX(C$5:C$1258,'Stock Price'!$I$9)-1,"")</f>
        <v>-0.10830710277815803</v>
      </c>
      <c r="Q1246" s="19">
        <f ca="1">IF('Stock Price'!$I$11="OK",D1246/INDEX(D$5:D$1258,'Stock Price'!$I$9)-1,"")</f>
        <v>1.3298408220834057E-2</v>
      </c>
      <c r="R1246" s="19">
        <f ca="1">IF('Stock Price'!$I$11="OK",E1246/INDEX(E$5:E$1258,'Stock Price'!$I$9)-1,"")</f>
        <v>7.1914480077745369E-2</v>
      </c>
      <c r="S1246" s="19">
        <f ca="1">IF('Stock Price'!$I$11="OK",F1246/INDEX(F$5:F$1258,'Stock Price'!$I$9)-1,"")</f>
        <v>-0.11693966410947532</v>
      </c>
      <c r="T1246" s="19">
        <f ca="1">IF('Stock Price'!$I$11="OK",G1246/INDEX(G$5:G$1258,'Stock Price'!$I$9)-1,"")</f>
        <v>0.28894736842105262</v>
      </c>
      <c r="U1246" s="19">
        <f ca="1">IF('Stock Price'!$I$11="OK",H1246/INDEX(H$5:H$1258,'Stock Price'!$I$9)-1,"")</f>
        <v>0.36129638327853453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140.91999999999999</v>
      </c>
      <c r="C1247" s="18">
        <v>166.14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1.7179154034935751E-2</v>
      </c>
      <c r="P1247" s="19">
        <f ca="1">IF('Stock Price'!$I$11="OK",C1247/INDEX(C$5:C$1258,'Stock Price'!$I$9)-1,"")</f>
        <v>-9.0515943615711136E-2</v>
      </c>
      <c r="Q1247" s="19">
        <f ca="1">IF('Stock Price'!$I$11="OK",D1247/INDEX(D$5:D$1258,'Stock Price'!$I$9)-1,"")</f>
        <v>2.8813217811807457E-2</v>
      </c>
      <c r="R1247" s="19">
        <f ca="1">IF('Stock Price'!$I$11="OK",E1247/INDEX(E$5:E$1258,'Stock Price'!$I$9)-1,"")</f>
        <v>6.1807580174927157E-2</v>
      </c>
      <c r="S1247" s="19">
        <f ca="1">IF('Stock Price'!$I$11="OK",F1247/INDEX(F$5:F$1258,'Stock Price'!$I$9)-1,"")</f>
        <v>-0.1055359734605017</v>
      </c>
      <c r="T1247" s="19">
        <f ca="1">IF('Stock Price'!$I$11="OK",G1247/INDEX(G$5:G$1258,'Stock Price'!$I$9)-1,"")</f>
        <v>0.29052631578947374</v>
      </c>
      <c r="U1247" s="19">
        <f ca="1">IF('Stock Price'!$I$11="OK",H1247/INDEX(H$5:H$1258,'Stock Price'!$I$9)-1,"")</f>
        <v>0.38233912635039924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140.37</v>
      </c>
      <c r="C1248" s="18">
        <v>166.08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1.3209181463837316E-2</v>
      </c>
      <c r="P1248" s="19">
        <f ca="1">IF('Stock Price'!$I$11="OK",C1248/INDEX(C$5:C$1258,'Stock Price'!$I$9)-1,"")</f>
        <v>-9.0844395784863807E-2</v>
      </c>
      <c r="Q1248" s="19">
        <f ca="1">IF('Stock Price'!$I$11="OK",D1248/INDEX(D$5:D$1258,'Stock Price'!$I$9)-1,"")</f>
        <v>1.1887970985291041E-2</v>
      </c>
      <c r="R1248" s="19">
        <f ca="1">IF('Stock Price'!$I$11="OK",E1248/INDEX(E$5:E$1258,'Stock Price'!$I$9)-1,"")</f>
        <v>5.2478134110787167E-2</v>
      </c>
      <c r="S1248" s="19">
        <f ca="1">IF('Stock Price'!$I$11="OK",F1248/INDEX(F$5:F$1258,'Stock Price'!$I$9)-1,"")</f>
        <v>-0.11922040223927022</v>
      </c>
      <c r="T1248" s="19">
        <f ca="1">IF('Stock Price'!$I$11="OK",G1248/INDEX(G$5:G$1258,'Stock Price'!$I$9)-1,"")</f>
        <v>0.26552631578947383</v>
      </c>
      <c r="U1248" s="19">
        <f ca="1">IF('Stock Price'!$I$11="OK",H1248/INDEX(H$5:H$1258,'Stock Price'!$I$9)-1,"")</f>
        <v>0.37970878346641612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140.97999999999999</v>
      </c>
      <c r="C1249" s="18">
        <v>168.1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1.7612241951782792E-2</v>
      </c>
      <c r="P1249" s="19">
        <f ca="1">IF('Stock Price'!$I$11="OK",C1249/INDEX(C$5:C$1258,'Stock Price'!$I$9)-1,"")</f>
        <v>-7.9786506090050779E-2</v>
      </c>
      <c r="Q1249" s="19">
        <f ca="1">IF('Stock Price'!$I$11="OK",D1249/INDEX(D$5:D$1258,'Stock Price'!$I$9)-1,"")</f>
        <v>2.9216199879105398E-2</v>
      </c>
      <c r="R1249" s="19">
        <f ca="1">IF('Stock Price'!$I$11="OK",E1249/INDEX(E$5:E$1258,'Stock Price'!$I$9)-1,"")</f>
        <v>7.4829931972788977E-2</v>
      </c>
      <c r="S1249" s="19">
        <f ca="1">IF('Stock Price'!$I$11="OK",F1249/INDEX(F$5:F$1258,'Stock Price'!$I$9)-1,"")</f>
        <v>-0.11880572257930744</v>
      </c>
      <c r="T1249" s="19">
        <f ca="1">IF('Stock Price'!$I$11="OK",G1249/INDEX(G$5:G$1258,'Stock Price'!$I$9)-1,"")</f>
        <v>0.29026315789473678</v>
      </c>
      <c r="U1249" s="19">
        <f ca="1">IF('Stock Price'!$I$11="OK",H1249/INDEX(H$5:H$1258,'Stock Price'!$I$9)-1,"")</f>
        <v>0.40441521841240013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141.28</v>
      </c>
      <c r="C1250" s="18">
        <v>168.37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1.9777681536018443E-2</v>
      </c>
      <c r="P1250" s="19">
        <f ca="1">IF('Stock Price'!$I$11="OK",C1250/INDEX(C$5:C$1258,'Stock Price'!$I$9)-1,"")</f>
        <v>-7.8308471328862761E-2</v>
      </c>
      <c r="Q1250" s="19">
        <f ca="1">IF('Stock Price'!$I$11="OK",D1250/INDEX(D$5:D$1258,'Stock Price'!$I$9)-1,"")</f>
        <v>2.1962522667741124E-2</v>
      </c>
      <c r="R1250" s="19">
        <f ca="1">IF('Stock Price'!$I$11="OK",E1250/INDEX(E$5:E$1258,'Stock Price'!$I$9)-1,"")</f>
        <v>8.1827016520893858E-2</v>
      </c>
      <c r="S1250" s="19">
        <f ca="1">IF('Stock Price'!$I$11="OK",F1250/INDEX(F$5:F$1258,'Stock Price'!$I$9)-1,"")</f>
        <v>-0.1185983827493261</v>
      </c>
      <c r="T1250" s="19">
        <f ca="1">IF('Stock Price'!$I$11="OK",G1250/INDEX(G$5:G$1258,'Stock Price'!$I$9)-1,"")</f>
        <v>0.30394736842105252</v>
      </c>
      <c r="U1250" s="19">
        <f ca="1">IF('Stock Price'!$I$11="OK",H1250/INDEX(H$5:H$1258,'Stock Price'!$I$9)-1,"")</f>
        <v>0.41766087364960058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142.71</v>
      </c>
      <c r="C1251" s="18">
        <v>163.33000000000001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3.0099610220875039E-2</v>
      </c>
      <c r="P1251" s="19">
        <f ca="1">IF('Stock Price'!$I$11="OK",C1251/INDEX(C$5:C$1258,'Stock Price'!$I$9)-1,"")</f>
        <v>-0.10589845353770355</v>
      </c>
      <c r="Q1251" s="19">
        <f ca="1">IF('Stock Price'!$I$11="OK",D1251/INDEX(D$5:D$1258,'Stock Price'!$I$9)-1,"")</f>
        <v>1.6119282691919867E-3</v>
      </c>
      <c r="R1251" s="19">
        <f ca="1">IF('Stock Price'!$I$11="OK",E1251/INDEX(E$5:E$1258,'Stock Price'!$I$9)-1,"")</f>
        <v>7.0165208940719204E-2</v>
      </c>
      <c r="S1251" s="19">
        <f ca="1">IF('Stock Price'!$I$11="OK",F1251/INDEX(F$5:F$1258,'Stock Price'!$I$9)-1,"")</f>
        <v>-0.13622226829773998</v>
      </c>
      <c r="T1251" s="19">
        <f ca="1">IF('Stock Price'!$I$11="OK",G1251/INDEX(G$5:G$1258,'Stock Price'!$I$9)-1,"")</f>
        <v>0.29763157894736847</v>
      </c>
      <c r="U1251" s="19">
        <f ca="1">IF('Stock Price'!$I$11="OK",H1251/INDEX(H$5:H$1258,'Stock Price'!$I$9)-1,"")</f>
        <v>0.3910756223579146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143.57</v>
      </c>
      <c r="C1252" s="18">
        <v>164.56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3.6307203695683521E-2</v>
      </c>
      <c r="P1252" s="19">
        <f ca="1">IF('Stock Price'!$I$11="OK",C1252/INDEX(C$5:C$1258,'Stock Price'!$I$9)-1,"")</f>
        <v>-9.9165184070069801E-2</v>
      </c>
      <c r="Q1252" s="19">
        <f ca="1">IF('Stock Price'!$I$11="OK",D1252/INDEX(D$5:D$1258,'Stock Price'!$I$9)-1,"")</f>
        <v>4.0298206729794117E-4</v>
      </c>
      <c r="R1252" s="19">
        <f ca="1">IF('Stock Price'!$I$11="OK",E1252/INDEX(E$5:E$1258,'Stock Price'!$I$9)-1,"")</f>
        <v>6.5111758989309987E-2</v>
      </c>
      <c r="S1252" s="19">
        <f ca="1">IF('Stock Price'!$I$11="OK",F1252/INDEX(F$5:F$1258,'Stock Price'!$I$9)-1,"")</f>
        <v>-0.1511507360563964</v>
      </c>
      <c r="T1252" s="19">
        <f ca="1">IF('Stock Price'!$I$11="OK",G1252/INDEX(G$5:G$1258,'Stock Price'!$I$9)-1,"")</f>
        <v>0.29947368421052634</v>
      </c>
      <c r="U1252" s="19">
        <f ca="1">IF('Stock Price'!$I$11="OK",H1252/INDEX(H$5:H$1258,'Stock Price'!$I$9)-1,"")</f>
        <v>0.39013621418506328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145.46</v>
      </c>
      <c r="C1253" s="18">
        <v>166.58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4.9949473076367878E-2</v>
      </c>
      <c r="P1253" s="19">
        <f ca="1">IF('Stock Price'!$I$11="OK",C1253/INDEX(C$5:C$1258,'Stock Price'!$I$9)-1,"")</f>
        <v>-8.8107294375256551E-2</v>
      </c>
      <c r="Q1253" s="19">
        <f ca="1">IF('Stock Price'!$I$11="OK",D1253/INDEX(D$5:D$1258,'Stock Price'!$I$9)-1,"")</f>
        <v>-7.8581503123110741E-3</v>
      </c>
      <c r="R1253" s="19">
        <f ca="1">IF('Stock Price'!$I$11="OK",E1253/INDEX(E$5:E$1258,'Stock Price'!$I$9)-1,"")</f>
        <v>5.8309037900874605E-2</v>
      </c>
      <c r="S1253" s="19">
        <f ca="1">IF('Stock Price'!$I$11="OK",F1253/INDEX(F$5:F$1258,'Stock Price'!$I$9)-1,"")</f>
        <v>-0.1476259589467136</v>
      </c>
      <c r="T1253" s="19">
        <f ca="1">IF('Stock Price'!$I$11="OK",G1253/INDEX(G$5:G$1258,'Stock Price'!$I$9)-1,"")</f>
        <v>0.31631578947368433</v>
      </c>
      <c r="U1253" s="19">
        <f ca="1">IF('Stock Price'!$I$11="OK",H1253/INDEX(H$5:H$1258,'Stock Price'!$I$9)-1,"")</f>
        <v>0.39765147956787228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146.88</v>
      </c>
      <c r="C1254" s="18">
        <v>166.15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6.0199220441749635E-2</v>
      </c>
      <c r="P1254" s="19">
        <f ca="1">IF('Stock Price'!$I$11="OK",C1254/INDEX(C$5:C$1258,'Stock Price'!$I$9)-1,"")</f>
        <v>-9.0461201587518802E-2</v>
      </c>
      <c r="Q1254" s="19">
        <f ca="1">IF('Stock Price'!$I$11="OK",D1254/INDEX(D$5:D$1258,'Stock Price'!$I$9)-1,"")</f>
        <v>1.4104372355430161E-3</v>
      </c>
      <c r="R1254" s="19">
        <f ca="1">IF('Stock Price'!$I$11="OK",E1254/INDEX(E$5:E$1258,'Stock Price'!$I$9)-1,"")</f>
        <v>3.7317784256559738E-2</v>
      </c>
      <c r="S1254" s="19">
        <f ca="1">IF('Stock Price'!$I$11="OK",F1254/INDEX(F$5:F$1258,'Stock Price'!$I$9)-1,"")</f>
        <v>-0.14617458013684426</v>
      </c>
      <c r="T1254" s="19">
        <f ca="1">IF('Stock Price'!$I$11="OK",G1254/INDEX(G$5:G$1258,'Stock Price'!$I$9)-1,"")</f>
        <v>0.33684210526315783</v>
      </c>
      <c r="U1254" s="19">
        <f ca="1">IF('Stock Price'!$I$11="OK",H1254/INDEX(H$5:H$1258,'Stock Price'!$I$9)-1,"")</f>
        <v>0.39680601221230627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145.71</v>
      </c>
      <c r="C1255" s="18">
        <v>164.21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5.1754006063230884E-2</v>
      </c>
      <c r="P1255" s="19">
        <f ca="1">IF('Stock Price'!$I$11="OK",C1255/INDEX(C$5:C$1258,'Stock Price'!$I$9)-1,"")</f>
        <v>-0.10108115505679482</v>
      </c>
      <c r="Q1255" s="19">
        <f ca="1">IF('Stock Price'!$I$11="OK",D1255/INDEX(D$5:D$1258,'Stock Price'!$I$9)-1,"")</f>
        <v>-5.6417489421720646E-3</v>
      </c>
      <c r="R1255" s="19">
        <f ca="1">IF('Stock Price'!$I$11="OK",E1255/INDEX(E$5:E$1258,'Stock Price'!$I$9)-1,"")</f>
        <v>1.5549076773566428E-2</v>
      </c>
      <c r="S1255" s="19">
        <f ca="1">IF('Stock Price'!$I$11="OK",F1255/INDEX(F$5:F$1258,'Stock Price'!$I$9)-1,"")</f>
        <v>-0.15529753265602309</v>
      </c>
      <c r="T1255" s="19">
        <f ca="1">IF('Stock Price'!$I$11="OK",G1255/INDEX(G$5:G$1258,'Stock Price'!$I$9)-1,"")</f>
        <v>0.2863157894736843</v>
      </c>
      <c r="U1255" s="19">
        <f ca="1">IF('Stock Price'!$I$11="OK",H1255/INDEX(H$5:H$1258,'Stock Price'!$I$9)-1,"")</f>
        <v>0.40234852043212777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142.57</v>
      </c>
      <c r="C1256" s="18">
        <v>161.47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2.9089071748231499E-2</v>
      </c>
      <c r="P1256" s="19">
        <f ca="1">IF('Stock Price'!$I$11="OK",C1256/INDEX(C$5:C$1258,'Stock Price'!$I$9)-1,"")</f>
        <v>-0.11608047078144257</v>
      </c>
      <c r="Q1256" s="19">
        <f ca="1">IF('Stock Price'!$I$11="OK",D1256/INDEX(D$5:D$1258,'Stock Price'!$I$9)-1,"")</f>
        <v>-2.9417690912754368E-2</v>
      </c>
      <c r="R1256" s="19">
        <f ca="1">IF('Stock Price'!$I$11="OK",E1256/INDEX(E$5:E$1258,'Stock Price'!$I$9)-1,"")</f>
        <v>8.3576287657920467E-3</v>
      </c>
      <c r="S1256" s="19">
        <f ca="1">IF('Stock Price'!$I$11="OK",F1256/INDEX(F$5:F$1258,'Stock Price'!$I$9)-1,"")</f>
        <v>-0.14513788098693758</v>
      </c>
      <c r="T1256" s="19">
        <f ca="1">IF('Stock Price'!$I$11="OK",G1256/INDEX(G$5:G$1258,'Stock Price'!$I$9)-1,"")</f>
        <v>0.26184210526315788</v>
      </c>
      <c r="U1256" s="19">
        <f ca="1">IF('Stock Price'!$I$11="OK",H1256/INDEX(H$5:H$1258,'Stock Price'!$I$9)-1,"")</f>
        <v>0.36505401596993892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141.05000000000001</v>
      </c>
      <c r="C1257" s="18">
        <v>157.69999999999999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1.8117511188104674E-2</v>
      </c>
      <c r="P1257" s="19">
        <f ca="1">IF('Stock Price'!$I$11="OK",C1257/INDEX(C$5:C$1258,'Stock Price'!$I$9)-1,"")</f>
        <v>-0.13671821540988105</v>
      </c>
      <c r="Q1257" s="19">
        <f ca="1">IF('Stock Price'!$I$11="OK",D1257/INDEX(D$5:D$1258,'Stock Price'!$I$9)-1,"")</f>
        <v>-4.9365303244005676E-2</v>
      </c>
      <c r="R1257" s="19">
        <f ca="1">IF('Stock Price'!$I$11="OK",E1257/INDEX(E$5:E$1258,'Stock Price'!$I$9)-1,"")</f>
        <v>1.7492711370262315E-2</v>
      </c>
      <c r="S1257" s="19">
        <f ca="1">IF('Stock Price'!$I$11="OK",F1257/INDEX(F$5:F$1258,'Stock Price'!$I$9)-1,"")</f>
        <v>-0.15674891146589254</v>
      </c>
      <c r="T1257" s="19">
        <f ca="1">IF('Stock Price'!$I$11="OK",G1257/INDEX(G$5:G$1258,'Stock Price'!$I$9)-1,"")</f>
        <v>0.1947368421052631</v>
      </c>
      <c r="U1257" s="19">
        <f ca="1">IF('Stock Price'!$I$11="OK",H1257/INDEX(H$5:H$1258,'Stock Price'!$I$9)-1,"")</f>
        <v>0.35096289337717246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141</v>
      </c>
      <c r="C1258" s="18">
        <v>156.9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1.7756604590732028E-2</v>
      </c>
      <c r="P1258" s="19">
        <f ca="1">IF('Stock Price'!$I$11="OK",C1258/INDEX(C$5:C$1258,'Stock Price'!$I$9)-1,"")</f>
        <v>-0.14109757766525255</v>
      </c>
      <c r="Q1258" s="19">
        <f ca="1">IF('Stock Price'!$I$11="OK",D1258/INDEX(D$5:D$1258,'Stock Price'!$I$9)-1,"")</f>
        <v>-5.2387668748740679E-2</v>
      </c>
      <c r="R1258" s="19">
        <f ca="1">IF('Stock Price'!$I$11="OK",E1258/INDEX(E$5:E$1258,'Stock Price'!$I$9)-1,"")</f>
        <v>1.5549076773566428E-2</v>
      </c>
      <c r="S1258" s="19">
        <f ca="1">IF('Stock Price'!$I$11="OK",F1258/INDEX(F$5:F$1258,'Stock Price'!$I$9)-1,"")</f>
        <v>-0.17229939871449296</v>
      </c>
      <c r="T1258" s="19">
        <f ca="1">IF('Stock Price'!$I$11="OK",G1258/INDEX(G$5:G$1258,'Stock Price'!$I$9)-1,"")</f>
        <v>0.18263157894736826</v>
      </c>
      <c r="U1258" s="19">
        <f ca="1">IF('Stock Price'!$I$11="OK",H1258/INDEX(H$5:H$1258,'Stock Price'!$I$9)-1,"")</f>
        <v>0.35556599342414286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2026-10-05T18:28:46Z</dcterms:created>
  <dcterms:modified xsi:type="dcterms:W3CDTF">2026-10-05T18:29:12Z</dcterms:modified>
</cp:coreProperties>
</file>