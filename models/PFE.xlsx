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984AAADB-3788-4A75-89EE-907C1785514F}" xr6:coauthVersionLast="47" xr6:coauthVersionMax="47" xr10:uidLastSave="{00000000-0000-0000-0000-000000000000}"/>
  <bookViews>
    <workbookView xWindow="37395" yWindow="435" windowWidth="27555" windowHeight="14520" xr2:uid="{400447E9-D4A3-4711-BAEB-CE5C2641E47C}"/>
  </bookViews>
  <sheets>
    <sheet name="Stock Price" sheetId="1" r:id="rId1"/>
    <sheet name="Peer Data" sheetId="2" state="hidden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Data'!$V$5:$V$1258,MIN('Stock Price'!$I$9,1254)):INDEX('Peer Data'!$V$5:$V$1258,MAX('Stock Price'!$I$10,1))</definedName>
    <definedName name="PeerPct_NVS">INDEX('Peer Data'!$P$5:$P$1258,MIN('Stock Price'!$I$9,1254)):INDEX('Peer Data'!$P$5:$P$1258,MAX('Stock Price'!$I$10,1))</definedName>
    <definedName name="PeerPct_PFE">INDEX('Peer Data'!$O$5:$O$1258,MIN('Stock Price'!$I$9,1254)):INDEX('Peer Data'!$O$5:$O$1258,MAX('Stock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I11" i="1" l="1"/>
  <c r="Z5" i="2" l="1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5" i="2"/>
  <c r="Z280" i="2"/>
  <c r="Z291" i="2"/>
  <c r="Z305" i="2"/>
  <c r="Z319" i="2"/>
  <c r="Z330" i="2"/>
  <c r="Z344" i="2"/>
  <c r="Z355" i="2"/>
  <c r="Z369" i="2"/>
  <c r="Z383" i="2"/>
  <c r="Z394" i="2"/>
  <c r="Z408" i="2"/>
  <c r="Z419" i="2"/>
  <c r="Z431" i="2"/>
  <c r="Z440" i="2"/>
  <c r="Z449" i="2"/>
  <c r="Z458" i="2"/>
  <c r="Z467" i="2"/>
  <c r="Z477" i="2"/>
  <c r="Z486" i="2"/>
  <c r="Z495" i="2"/>
  <c r="Z504" i="2"/>
  <c r="Z513" i="2"/>
  <c r="Z522" i="2"/>
  <c r="Z531" i="2"/>
  <c r="Z541" i="2"/>
  <c r="Z550" i="2"/>
  <c r="Z559" i="2"/>
  <c r="Z568" i="2"/>
  <c r="Z577" i="2"/>
  <c r="Z586" i="2"/>
  <c r="Z595" i="2"/>
  <c r="Z605" i="2"/>
  <c r="Z614" i="2"/>
  <c r="Z623" i="2"/>
  <c r="Z632" i="2"/>
  <c r="Z641" i="2"/>
  <c r="Z650" i="2"/>
  <c r="Z659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6" i="2"/>
  <c r="Z281" i="2"/>
  <c r="Z295" i="2"/>
  <c r="Z306" i="2"/>
  <c r="Z320" i="2"/>
  <c r="Z331" i="2"/>
  <c r="Z345" i="2"/>
  <c r="Z359" i="2"/>
  <c r="Z370" i="2"/>
  <c r="Z384" i="2"/>
  <c r="Z395" i="2"/>
  <c r="Z409" i="2"/>
  <c r="Z423" i="2"/>
  <c r="Z432" i="2"/>
  <c r="Z441" i="2"/>
  <c r="Z450" i="2"/>
  <c r="Z459" i="2"/>
  <c r="Z469" i="2"/>
  <c r="Z478" i="2"/>
  <c r="Z487" i="2"/>
  <c r="Z496" i="2"/>
  <c r="Z505" i="2"/>
  <c r="Z514" i="2"/>
  <c r="Z523" i="2"/>
  <c r="Z533" i="2"/>
  <c r="Z542" i="2"/>
  <c r="Z551" i="2"/>
  <c r="Z560" i="2"/>
  <c r="Z569" i="2"/>
  <c r="Z578" i="2"/>
  <c r="Z587" i="2"/>
  <c r="Z597" i="2"/>
  <c r="Z606" i="2"/>
  <c r="Z615" i="2"/>
  <c r="Z624" i="2"/>
  <c r="Z633" i="2"/>
  <c r="Z642" i="2"/>
  <c r="Z651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7" i="2"/>
  <c r="Z273" i="2"/>
  <c r="Z287" i="2"/>
  <c r="Z298" i="2"/>
  <c r="Z312" i="2"/>
  <c r="Z323" i="2"/>
  <c r="Z337" i="2"/>
  <c r="Z351" i="2"/>
  <c r="Z362" i="2"/>
  <c r="Z376" i="2"/>
  <c r="Z387" i="2"/>
  <c r="Z401" i="2"/>
  <c r="Z415" i="2"/>
  <c r="Z426" i="2"/>
  <c r="Z435" i="2"/>
  <c r="Z445" i="2"/>
  <c r="Z454" i="2"/>
  <c r="Z463" i="2"/>
  <c r="Z472" i="2"/>
  <c r="Z481" i="2"/>
  <c r="Z490" i="2"/>
  <c r="Z499" i="2"/>
  <c r="Z509" i="2"/>
  <c r="Z518" i="2"/>
  <c r="Z527" i="2"/>
  <c r="Z536" i="2"/>
  <c r="Z545" i="2"/>
  <c r="Z554" i="2"/>
  <c r="Z563" i="2"/>
  <c r="Z573" i="2"/>
  <c r="Z582" i="2"/>
  <c r="Z591" i="2"/>
  <c r="Z600" i="2"/>
  <c r="Z609" i="2"/>
  <c r="Z618" i="2"/>
  <c r="Z627" i="2"/>
  <c r="Z637" i="2"/>
  <c r="Z646" i="2"/>
  <c r="Z655" i="2"/>
  <c r="Z664" i="2"/>
  <c r="Z673" i="2"/>
  <c r="Z682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8" i="2"/>
  <c r="Z274" i="2"/>
  <c r="Z288" i="2"/>
  <c r="Z299" i="2"/>
  <c r="Z313" i="2"/>
  <c r="Z327" i="2"/>
  <c r="Z338" i="2"/>
  <c r="Z352" i="2"/>
  <c r="Z363" i="2"/>
  <c r="Z377" i="2"/>
  <c r="Z391" i="2"/>
  <c r="Z402" i="2"/>
  <c r="Z416" i="2"/>
  <c r="Z427" i="2"/>
  <c r="Z437" i="2"/>
  <c r="Z446" i="2"/>
  <c r="Z455" i="2"/>
  <c r="Z464" i="2"/>
  <c r="Z473" i="2"/>
  <c r="Z482" i="2"/>
  <c r="Z491" i="2"/>
  <c r="Z501" i="2"/>
  <c r="Z510" i="2"/>
  <c r="Z519" i="2"/>
  <c r="Z528" i="2"/>
  <c r="Z537" i="2"/>
  <c r="Z546" i="2"/>
  <c r="Z555" i="2"/>
  <c r="Z565" i="2"/>
  <c r="Z574" i="2"/>
  <c r="Z583" i="2"/>
  <c r="Z592" i="2"/>
  <c r="Z601" i="2"/>
  <c r="Z610" i="2"/>
  <c r="Z619" i="2"/>
  <c r="Z629" i="2"/>
  <c r="Z638" i="2"/>
  <c r="Z647" i="2"/>
  <c r="Z656" i="2"/>
  <c r="Z665" i="2"/>
  <c r="Z674" i="2"/>
  <c r="Z683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7" i="2"/>
  <c r="Z39" i="2"/>
  <c r="Z71" i="2"/>
  <c r="Z103" i="2"/>
  <c r="Z135" i="2"/>
  <c r="Z167" i="2"/>
  <c r="Z199" i="2"/>
  <c r="Z231" i="2"/>
  <c r="Z263" i="2"/>
  <c r="Z289" i="2"/>
  <c r="Z314" i="2"/>
  <c r="Z339" i="2"/>
  <c r="Z367" i="2"/>
  <c r="Z392" i="2"/>
  <c r="Z417" i="2"/>
  <c r="Z438" i="2"/>
  <c r="Z456" i="2"/>
  <c r="Z474" i="2"/>
  <c r="Z493" i="2"/>
  <c r="Z511" i="2"/>
  <c r="Z529" i="2"/>
  <c r="Z547" i="2"/>
  <c r="Z566" i="2"/>
  <c r="Z584" i="2"/>
  <c r="Z602" i="2"/>
  <c r="Z621" i="2"/>
  <c r="Z639" i="2"/>
  <c r="Z657" i="2"/>
  <c r="Z672" i="2"/>
  <c r="Z687" i="2"/>
  <c r="Z701" i="2"/>
  <c r="Z713" i="2"/>
  <c r="Z726" i="2"/>
  <c r="Z738" i="2"/>
  <c r="Z751" i="2"/>
  <c r="Z765" i="2"/>
  <c r="Z777" i="2"/>
  <c r="Z790" i="2"/>
  <c r="Z802" i="2"/>
  <c r="Z815" i="2"/>
  <c r="Z829" i="2"/>
  <c r="Z841" i="2"/>
  <c r="Z853" i="2"/>
  <c r="Z863" i="2"/>
  <c r="Z873" i="2"/>
  <c r="Z882" i="2"/>
  <c r="Z891" i="2"/>
  <c r="Z900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24" i="2"/>
  <c r="Z56" i="2"/>
  <c r="Z88" i="2"/>
  <c r="Z120" i="2"/>
  <c r="Z152" i="2"/>
  <c r="Z184" i="2"/>
  <c r="Z216" i="2"/>
  <c r="Z248" i="2"/>
  <c r="Z279" i="2"/>
  <c r="Z304" i="2"/>
  <c r="Z329" i="2"/>
  <c r="Z354" i="2"/>
  <c r="Z379" i="2"/>
  <c r="Z407" i="2"/>
  <c r="Z430" i="2"/>
  <c r="Z448" i="2"/>
  <c r="Z466" i="2"/>
  <c r="Z485" i="2"/>
  <c r="Z503" i="2"/>
  <c r="Z521" i="2"/>
  <c r="Z539" i="2"/>
  <c r="Z558" i="2"/>
  <c r="Z576" i="2"/>
  <c r="Z594" i="2"/>
  <c r="Z613" i="2"/>
  <c r="Z631" i="2"/>
  <c r="Z649" i="2"/>
  <c r="Z667" i="2"/>
  <c r="Z681" i="2"/>
  <c r="Z695" i="2"/>
  <c r="Z709" i="2"/>
  <c r="Z721" i="2"/>
  <c r="Z734" i="2"/>
  <c r="Z746" i="2"/>
  <c r="Z759" i="2"/>
  <c r="Z773" i="2"/>
  <c r="Z785" i="2"/>
  <c r="Z798" i="2"/>
  <c r="Z810" i="2"/>
  <c r="Z823" i="2"/>
  <c r="Z837" i="2"/>
  <c r="Z849" i="2"/>
  <c r="Z31" i="2"/>
  <c r="Z63" i="2"/>
  <c r="Z95" i="2"/>
  <c r="Z127" i="2"/>
  <c r="Z159" i="2"/>
  <c r="Z191" i="2"/>
  <c r="Z223" i="2"/>
  <c r="Z255" i="2"/>
  <c r="Z282" i="2"/>
  <c r="Z307" i="2"/>
  <c r="Z335" i="2"/>
  <c r="Z360" i="2"/>
  <c r="Z385" i="2"/>
  <c r="Z410" i="2"/>
  <c r="Z433" i="2"/>
  <c r="Z451" i="2"/>
  <c r="Z470" i="2"/>
  <c r="Z488" i="2"/>
  <c r="Z506" i="2"/>
  <c r="Z525" i="2"/>
  <c r="Z543" i="2"/>
  <c r="Z561" i="2"/>
  <c r="Z579" i="2"/>
  <c r="Z598" i="2"/>
  <c r="Z616" i="2"/>
  <c r="Z634" i="2"/>
  <c r="Z653" i="2"/>
  <c r="Z669" i="2"/>
  <c r="Z685" i="2"/>
  <c r="Z697" i="2"/>
  <c r="Z710" i="2"/>
  <c r="Z722" i="2"/>
  <c r="Z735" i="2"/>
  <c r="Z749" i="2"/>
  <c r="Z761" i="2"/>
  <c r="Z774" i="2"/>
  <c r="Z786" i="2"/>
  <c r="Z799" i="2"/>
  <c r="Z813" i="2"/>
  <c r="Z825" i="2"/>
  <c r="Z838" i="2"/>
  <c r="Z850" i="2"/>
  <c r="Z8" i="2"/>
  <c r="Z55" i="2"/>
  <c r="Z111" i="2"/>
  <c r="Z160" i="2"/>
  <c r="Z208" i="2"/>
  <c r="Z264" i="2"/>
  <c r="Z303" i="2"/>
  <c r="Z346" i="2"/>
  <c r="Z386" i="2"/>
  <c r="Z425" i="2"/>
  <c r="Z457" i="2"/>
  <c r="Z483" i="2"/>
  <c r="Z515" i="2"/>
  <c r="Z544" i="2"/>
  <c r="Z571" i="2"/>
  <c r="Z603" i="2"/>
  <c r="Z630" i="2"/>
  <c r="Z662" i="2"/>
  <c r="Z686" i="2"/>
  <c r="Z705" i="2"/>
  <c r="Z727" i="2"/>
  <c r="Z745" i="2"/>
  <c r="Z767" i="2"/>
  <c r="Z789" i="2"/>
  <c r="Z807" i="2"/>
  <c r="Z830" i="2"/>
  <c r="Z847" i="2"/>
  <c r="Z862" i="2"/>
  <c r="Z874" i="2"/>
  <c r="Z884" i="2"/>
  <c r="Z894" i="2"/>
  <c r="Z905" i="2"/>
  <c r="Z914" i="2"/>
  <c r="Z923" i="2"/>
  <c r="Z932" i="2"/>
  <c r="Z942" i="2"/>
  <c r="Z951" i="2"/>
  <c r="Z960" i="2"/>
  <c r="Z969" i="2"/>
  <c r="Z978" i="2"/>
  <c r="Z987" i="2"/>
  <c r="Z996" i="2"/>
  <c r="Z1006" i="2"/>
  <c r="Z1015" i="2"/>
  <c r="Z1024" i="2"/>
  <c r="Z1033" i="2"/>
  <c r="Z1042" i="2"/>
  <c r="Z1051" i="2"/>
  <c r="Z1060" i="2"/>
  <c r="Z1070" i="2"/>
  <c r="Z1079" i="2"/>
  <c r="Z1088" i="2"/>
  <c r="Z1097" i="2"/>
  <c r="Z1106" i="2"/>
  <c r="Z1115" i="2"/>
  <c r="Z1124" i="2"/>
  <c r="Z1134" i="2"/>
  <c r="Z1143" i="2"/>
  <c r="Z1152" i="2"/>
  <c r="Z1161" i="2"/>
  <c r="Z1170" i="2"/>
  <c r="Z1179" i="2"/>
  <c r="Z1188" i="2"/>
  <c r="Z1198" i="2"/>
  <c r="Z1206" i="2"/>
  <c r="Z1214" i="2"/>
  <c r="Z1222" i="2"/>
  <c r="Z1230" i="2"/>
  <c r="Z1238" i="2"/>
  <c r="Z1246" i="2"/>
  <c r="Z1254" i="2"/>
  <c r="Z15" i="2"/>
  <c r="Z961" i="2"/>
  <c r="Z1052" i="2"/>
  <c r="Z1107" i="2"/>
  <c r="Z1144" i="2"/>
  <c r="Z1180" i="2"/>
  <c r="Z1215" i="2"/>
  <c r="Z1239" i="2"/>
  <c r="Z112" i="2"/>
  <c r="Z168" i="2"/>
  <c r="Z215" i="2"/>
  <c r="Z271" i="2"/>
  <c r="Z311" i="2"/>
  <c r="Z347" i="2"/>
  <c r="Z393" i="2"/>
  <c r="Z429" i="2"/>
  <c r="Z461" i="2"/>
  <c r="Z489" i="2"/>
  <c r="Z517" i="2"/>
  <c r="Z549" i="2"/>
  <c r="Z575" i="2"/>
  <c r="Z607" i="2"/>
  <c r="Z635" i="2"/>
  <c r="Z663" i="2"/>
  <c r="Z689" i="2"/>
  <c r="Z706" i="2"/>
  <c r="Z729" i="2"/>
  <c r="Z750" i="2"/>
  <c r="Z769" i="2"/>
  <c r="Z791" i="2"/>
  <c r="Z809" i="2"/>
  <c r="Z831" i="2"/>
  <c r="Z851" i="2"/>
  <c r="Z865" i="2"/>
  <c r="Z875" i="2"/>
  <c r="Z885" i="2"/>
  <c r="Z895" i="2"/>
  <c r="Z915" i="2"/>
  <c r="Z924" i="2"/>
  <c r="Z934" i="2"/>
  <c r="Z943" i="2"/>
  <c r="Z952" i="2"/>
  <c r="Z970" i="2"/>
  <c r="Z988" i="2"/>
  <c r="Z998" i="2"/>
  <c r="Z1016" i="2"/>
  <c r="Z1043" i="2"/>
  <c r="Z1071" i="2"/>
  <c r="Z1098" i="2"/>
  <c r="Z1126" i="2"/>
  <c r="Z1162" i="2"/>
  <c r="Z1199" i="2"/>
  <c r="Z1223" i="2"/>
  <c r="Z1247" i="2"/>
  <c r="Z16" i="2"/>
  <c r="Z72" i="2"/>
  <c r="Z119" i="2"/>
  <c r="Z175" i="2"/>
  <c r="Z224" i="2"/>
  <c r="Z272" i="2"/>
  <c r="Z315" i="2"/>
  <c r="Z353" i="2"/>
  <c r="Z399" i="2"/>
  <c r="Z434" i="2"/>
  <c r="Z462" i="2"/>
  <c r="Z494" i="2"/>
  <c r="Z520" i="2"/>
  <c r="Z552" i="2"/>
  <c r="Z581" i="2"/>
  <c r="Z608" i="2"/>
  <c r="Z640" i="2"/>
  <c r="Z666" i="2"/>
  <c r="Z690" i="2"/>
  <c r="Z711" i="2"/>
  <c r="Z730" i="2"/>
  <c r="Z753" i="2"/>
  <c r="Z770" i="2"/>
  <c r="Z793" i="2"/>
  <c r="Z814" i="2"/>
  <c r="Z833" i="2"/>
  <c r="Z854" i="2"/>
  <c r="Z866" i="2"/>
  <c r="Z876" i="2"/>
  <c r="Z886" i="2"/>
  <c r="Z897" i="2"/>
  <c r="Z907" i="2"/>
  <c r="Z916" i="2"/>
  <c r="Z926" i="2"/>
  <c r="Z935" i="2"/>
  <c r="Z944" i="2"/>
  <c r="Z953" i="2"/>
  <c r="Z962" i="2"/>
  <c r="Z971" i="2"/>
  <c r="Z980" i="2"/>
  <c r="Z990" i="2"/>
  <c r="Z999" i="2"/>
  <c r="Z1008" i="2"/>
  <c r="Z1017" i="2"/>
  <c r="Z1026" i="2"/>
  <c r="Z1035" i="2"/>
  <c r="Z1044" i="2"/>
  <c r="Z1054" i="2"/>
  <c r="Z1063" i="2"/>
  <c r="Z1072" i="2"/>
  <c r="Z1081" i="2"/>
  <c r="Z1090" i="2"/>
  <c r="Z1099" i="2"/>
  <c r="Z1108" i="2"/>
  <c r="Z1118" i="2"/>
  <c r="Z1127" i="2"/>
  <c r="Z1136" i="2"/>
  <c r="Z1145" i="2"/>
  <c r="Z1154" i="2"/>
  <c r="Z1163" i="2"/>
  <c r="Z1172" i="2"/>
  <c r="Z1182" i="2"/>
  <c r="Z1191" i="2"/>
  <c r="Z1200" i="2"/>
  <c r="Z1208" i="2"/>
  <c r="Z1216" i="2"/>
  <c r="Z1224" i="2"/>
  <c r="Z1232" i="2"/>
  <c r="Z1240" i="2"/>
  <c r="Z1248" i="2"/>
  <c r="Z1256" i="2"/>
  <c r="Z23" i="2"/>
  <c r="Z79" i="2"/>
  <c r="Z128" i="2"/>
  <c r="Z176" i="2"/>
  <c r="Z232" i="2"/>
  <c r="Z275" i="2"/>
  <c r="Z321" i="2"/>
  <c r="Z361" i="2"/>
  <c r="Z400" i="2"/>
  <c r="Z439" i="2"/>
  <c r="Z465" i="2"/>
  <c r="Z497" i="2"/>
  <c r="Z526" i="2"/>
  <c r="Z553" i="2"/>
  <c r="Z585" i="2"/>
  <c r="Z611" i="2"/>
  <c r="Z643" i="2"/>
  <c r="Z671" i="2"/>
  <c r="Z693" i="2"/>
  <c r="Z714" i="2"/>
  <c r="Z733" i="2"/>
  <c r="Z754" i="2"/>
  <c r="Z775" i="2"/>
  <c r="Z794" i="2"/>
  <c r="Z817" i="2"/>
  <c r="Z834" i="2"/>
  <c r="Z855" i="2"/>
  <c r="Z867" i="2"/>
  <c r="Z877" i="2"/>
  <c r="Z887" i="2"/>
  <c r="Z898" i="2"/>
  <c r="Z908" i="2"/>
  <c r="Z918" i="2"/>
  <c r="Z927" i="2"/>
  <c r="Z936" i="2"/>
  <c r="Z945" i="2"/>
  <c r="Z954" i="2"/>
  <c r="Z963" i="2"/>
  <c r="Z972" i="2"/>
  <c r="Z982" i="2"/>
  <c r="Z991" i="2"/>
  <c r="Z1000" i="2"/>
  <c r="Z1009" i="2"/>
  <c r="Z1018" i="2"/>
  <c r="Z1027" i="2"/>
  <c r="Z1036" i="2"/>
  <c r="Z1046" i="2"/>
  <c r="Z1055" i="2"/>
  <c r="Z1064" i="2"/>
  <c r="Z1073" i="2"/>
  <c r="Z1082" i="2"/>
  <c r="Z1091" i="2"/>
  <c r="Z1100" i="2"/>
  <c r="Z1110" i="2"/>
  <c r="Z1119" i="2"/>
  <c r="Z1128" i="2"/>
  <c r="Z1137" i="2"/>
  <c r="Z1146" i="2"/>
  <c r="Z1155" i="2"/>
  <c r="Z1164" i="2"/>
  <c r="Z1174" i="2"/>
  <c r="Z1183" i="2"/>
  <c r="Z1192" i="2"/>
  <c r="Z1201" i="2"/>
  <c r="Z1209" i="2"/>
  <c r="Z1217" i="2"/>
  <c r="Z1225" i="2"/>
  <c r="Z1233" i="2"/>
  <c r="Z1241" i="2"/>
  <c r="Z1249" i="2"/>
  <c r="Z1257" i="2"/>
  <c r="Z32" i="2"/>
  <c r="Z80" i="2"/>
  <c r="Z136" i="2"/>
  <c r="Z183" i="2"/>
  <c r="Z239" i="2"/>
  <c r="Z283" i="2"/>
  <c r="Z322" i="2"/>
  <c r="Z368" i="2"/>
  <c r="Z403" i="2"/>
  <c r="Z442" i="2"/>
  <c r="Z471" i="2"/>
  <c r="Z498" i="2"/>
  <c r="Z530" i="2"/>
  <c r="Z557" i="2"/>
  <c r="Z589" i="2"/>
  <c r="Z617" i="2"/>
  <c r="Z645" i="2"/>
  <c r="Z675" i="2"/>
  <c r="Z694" i="2"/>
  <c r="Z717" i="2"/>
  <c r="Z737" i="2"/>
  <c r="Z757" i="2"/>
  <c r="Z778" i="2"/>
  <c r="Z797" i="2"/>
  <c r="Z818" i="2"/>
  <c r="Z839" i="2"/>
  <c r="Z857" i="2"/>
  <c r="Z868" i="2"/>
  <c r="Z878" i="2"/>
  <c r="Z889" i="2"/>
  <c r="Z899" i="2"/>
  <c r="Z910" i="2"/>
  <c r="Z919" i="2"/>
  <c r="Z928" i="2"/>
  <c r="Z937" i="2"/>
  <c r="Z946" i="2"/>
  <c r="Z955" i="2"/>
  <c r="Z964" i="2"/>
  <c r="Z974" i="2"/>
  <c r="Z983" i="2"/>
  <c r="Z992" i="2"/>
  <c r="Z1001" i="2"/>
  <c r="Z1010" i="2"/>
  <c r="Z1019" i="2"/>
  <c r="Z1028" i="2"/>
  <c r="Z1038" i="2"/>
  <c r="Z1047" i="2"/>
  <c r="Z1056" i="2"/>
  <c r="Z1065" i="2"/>
  <c r="Z1074" i="2"/>
  <c r="Z1083" i="2"/>
  <c r="Z1092" i="2"/>
  <c r="Z1102" i="2"/>
  <c r="Z1111" i="2"/>
  <c r="Z1120" i="2"/>
  <c r="Z1129" i="2"/>
  <c r="Z1138" i="2"/>
  <c r="Z1147" i="2"/>
  <c r="Z1156" i="2"/>
  <c r="Z1166" i="2"/>
  <c r="Z1175" i="2"/>
  <c r="Z1184" i="2"/>
  <c r="Z1193" i="2"/>
  <c r="Z1202" i="2"/>
  <c r="Z1210" i="2"/>
  <c r="Z1218" i="2"/>
  <c r="Z1226" i="2"/>
  <c r="Z1234" i="2"/>
  <c r="Z1242" i="2"/>
  <c r="Z1250" i="2"/>
  <c r="Z1258" i="2"/>
  <c r="V60" i="1" s="1"/>
  <c r="AC16" i="2" s="1"/>
  <c r="Z40" i="2"/>
  <c r="Z87" i="2"/>
  <c r="Z143" i="2"/>
  <c r="Z192" i="2"/>
  <c r="Z240" i="2"/>
  <c r="Z290" i="2"/>
  <c r="Z328" i="2"/>
  <c r="Z371" i="2"/>
  <c r="Z411" i="2"/>
  <c r="Z443" i="2"/>
  <c r="Z475" i="2"/>
  <c r="Z502" i="2"/>
  <c r="Z534" i="2"/>
  <c r="Z562" i="2"/>
  <c r="Z590" i="2"/>
  <c r="Z622" i="2"/>
  <c r="Z648" i="2"/>
  <c r="Z677" i="2"/>
  <c r="Z698" i="2"/>
  <c r="Z718" i="2"/>
  <c r="Z741" i="2"/>
  <c r="Z758" i="2"/>
  <c r="Z781" i="2"/>
  <c r="Z801" i="2"/>
  <c r="Z821" i="2"/>
  <c r="Z842" i="2"/>
  <c r="Z858" i="2"/>
  <c r="Z869" i="2"/>
  <c r="Z879" i="2"/>
  <c r="Z890" i="2"/>
  <c r="Z901" i="2"/>
  <c r="Z911" i="2"/>
  <c r="Z920" i="2"/>
  <c r="Z929" i="2"/>
  <c r="Z938" i="2"/>
  <c r="Z947" i="2"/>
  <c r="Z956" i="2"/>
  <c r="Z966" i="2"/>
  <c r="Z975" i="2"/>
  <c r="Z984" i="2"/>
  <c r="Z993" i="2"/>
  <c r="Z1002" i="2"/>
  <c r="Z1011" i="2"/>
  <c r="Z1020" i="2"/>
  <c r="Z1030" i="2"/>
  <c r="Z1039" i="2"/>
  <c r="Z1048" i="2"/>
  <c r="Z1057" i="2"/>
  <c r="Z1066" i="2"/>
  <c r="Z1075" i="2"/>
  <c r="Z1084" i="2"/>
  <c r="Z1094" i="2"/>
  <c r="Z1103" i="2"/>
  <c r="Z1112" i="2"/>
  <c r="Z1121" i="2"/>
  <c r="Z1130" i="2"/>
  <c r="Z1139" i="2"/>
  <c r="Z1148" i="2"/>
  <c r="Z1158" i="2"/>
  <c r="Z1167" i="2"/>
  <c r="Z1176" i="2"/>
  <c r="Z1185" i="2"/>
  <c r="Z1194" i="2"/>
  <c r="Z1203" i="2"/>
  <c r="Z1211" i="2"/>
  <c r="Z1219" i="2"/>
  <c r="Z1227" i="2"/>
  <c r="Z1235" i="2"/>
  <c r="Z1243" i="2"/>
  <c r="Z1251" i="2"/>
  <c r="Z625" i="2"/>
  <c r="Z1186" i="2"/>
  <c r="Z47" i="2"/>
  <c r="Z96" i="2"/>
  <c r="Z144" i="2"/>
  <c r="Z200" i="2"/>
  <c r="Z247" i="2"/>
  <c r="Z296" i="2"/>
  <c r="Z336" i="2"/>
  <c r="Z375" i="2"/>
  <c r="Z418" i="2"/>
  <c r="Z447" i="2"/>
  <c r="Z479" i="2"/>
  <c r="Z507" i="2"/>
  <c r="Z535" i="2"/>
  <c r="Z567" i="2"/>
  <c r="Z593" i="2"/>
  <c r="Z654" i="2"/>
  <c r="Z678" i="2"/>
  <c r="Z702" i="2"/>
  <c r="Z719" i="2"/>
  <c r="Z742" i="2"/>
  <c r="Z762" i="2"/>
  <c r="Z782" i="2"/>
  <c r="Z805" i="2"/>
  <c r="Z822" i="2"/>
  <c r="Z845" i="2"/>
  <c r="Z859" i="2"/>
  <c r="Z870" i="2"/>
  <c r="Z881" i="2"/>
  <c r="Z892" i="2"/>
  <c r="Z902" i="2"/>
  <c r="Z912" i="2"/>
  <c r="Z921" i="2"/>
  <c r="Z930" i="2"/>
  <c r="Z939" i="2"/>
  <c r="Z948" i="2"/>
  <c r="Z958" i="2"/>
  <c r="Z967" i="2"/>
  <c r="Z976" i="2"/>
  <c r="Z985" i="2"/>
  <c r="Z994" i="2"/>
  <c r="Z1003" i="2"/>
  <c r="Z1012" i="2"/>
  <c r="Z1022" i="2"/>
  <c r="Z1031" i="2"/>
  <c r="Z1040" i="2"/>
  <c r="Z1049" i="2"/>
  <c r="Z1058" i="2"/>
  <c r="Z1067" i="2"/>
  <c r="Z1076" i="2"/>
  <c r="Z1086" i="2"/>
  <c r="Z1095" i="2"/>
  <c r="Z1104" i="2"/>
  <c r="Z1113" i="2"/>
  <c r="Z1122" i="2"/>
  <c r="Z1131" i="2"/>
  <c r="Z1140" i="2"/>
  <c r="Z1150" i="2"/>
  <c r="Z1159" i="2"/>
  <c r="Z1168" i="2"/>
  <c r="Z1177" i="2"/>
  <c r="Z1195" i="2"/>
  <c r="Z1204" i="2"/>
  <c r="Z1212" i="2"/>
  <c r="Z1220" i="2"/>
  <c r="Z1228" i="2"/>
  <c r="Z1236" i="2"/>
  <c r="Z1244" i="2"/>
  <c r="Z1252" i="2"/>
  <c r="Z48" i="2"/>
  <c r="Z104" i="2"/>
  <c r="Z151" i="2"/>
  <c r="Z207" i="2"/>
  <c r="Z256" i="2"/>
  <c r="Z297" i="2"/>
  <c r="Z343" i="2"/>
  <c r="Z378" i="2"/>
  <c r="Z424" i="2"/>
  <c r="Z453" i="2"/>
  <c r="Z480" i="2"/>
  <c r="Z512" i="2"/>
  <c r="Z538" i="2"/>
  <c r="Z570" i="2"/>
  <c r="Z599" i="2"/>
  <c r="Z626" i="2"/>
  <c r="Z658" i="2"/>
  <c r="Z680" i="2"/>
  <c r="Z703" i="2"/>
  <c r="Z725" i="2"/>
  <c r="Z743" i="2"/>
  <c r="Z766" i="2"/>
  <c r="Z783" i="2"/>
  <c r="Z806" i="2"/>
  <c r="Z826" i="2"/>
  <c r="Z846" i="2"/>
  <c r="Z861" i="2"/>
  <c r="Z871" i="2"/>
  <c r="Z883" i="2"/>
  <c r="Z893" i="2"/>
  <c r="Z903" i="2"/>
  <c r="Z913" i="2"/>
  <c r="Z922" i="2"/>
  <c r="Z931" i="2"/>
  <c r="Z940" i="2"/>
  <c r="Z950" i="2"/>
  <c r="Z959" i="2"/>
  <c r="Z968" i="2"/>
  <c r="Z977" i="2"/>
  <c r="Z986" i="2"/>
  <c r="Z995" i="2"/>
  <c r="Z1004" i="2"/>
  <c r="Z1014" i="2"/>
  <c r="Z1023" i="2"/>
  <c r="Z1032" i="2"/>
  <c r="Z1041" i="2"/>
  <c r="Z1050" i="2"/>
  <c r="Z1059" i="2"/>
  <c r="Z1068" i="2"/>
  <c r="Z1078" i="2"/>
  <c r="Z1087" i="2"/>
  <c r="Z1096" i="2"/>
  <c r="Z1105" i="2"/>
  <c r="Z1114" i="2"/>
  <c r="Z1123" i="2"/>
  <c r="Z1132" i="2"/>
  <c r="Z1142" i="2"/>
  <c r="Z1151" i="2"/>
  <c r="Z1160" i="2"/>
  <c r="Z1169" i="2"/>
  <c r="Z1178" i="2"/>
  <c r="Z1187" i="2"/>
  <c r="Z1196" i="2"/>
  <c r="Z1205" i="2"/>
  <c r="Z1213" i="2"/>
  <c r="Z1221" i="2"/>
  <c r="Z1229" i="2"/>
  <c r="Z1237" i="2"/>
  <c r="Z1245" i="2"/>
  <c r="Z1253" i="2"/>
  <c r="Z64" i="2"/>
  <c r="Z906" i="2"/>
  <c r="Z979" i="2"/>
  <c r="Z1007" i="2"/>
  <c r="Z1025" i="2"/>
  <c r="Z1034" i="2"/>
  <c r="Z1062" i="2"/>
  <c r="Z1080" i="2"/>
  <c r="Z1089" i="2"/>
  <c r="Z1116" i="2"/>
  <c r="Z1135" i="2"/>
  <c r="Z1153" i="2"/>
  <c r="Z1171" i="2"/>
  <c r="Z1190" i="2"/>
  <c r="Z1207" i="2"/>
  <c r="Z1231" i="2"/>
  <c r="Z1255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43" i="2"/>
  <c r="Y651" i="2"/>
  <c r="Y659" i="2"/>
  <c r="Y667" i="2"/>
  <c r="Y675" i="2"/>
  <c r="Y68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7" i="2"/>
  <c r="Y39" i="2"/>
  <c r="Y71" i="2"/>
  <c r="Y103" i="2"/>
  <c r="Y135" i="2"/>
  <c r="Y167" i="2"/>
  <c r="Y199" i="2"/>
  <c r="Y231" i="2"/>
  <c r="Y247" i="2"/>
  <c r="Y263" i="2"/>
  <c r="Y279" i="2"/>
  <c r="Y295" i="2"/>
  <c r="Y311" i="2"/>
  <c r="Y327" i="2"/>
  <c r="Y343" i="2"/>
  <c r="Y359" i="2"/>
  <c r="Y375" i="2"/>
  <c r="Y391" i="2"/>
  <c r="Y407" i="2"/>
  <c r="Y423" i="2"/>
  <c r="Y439" i="2"/>
  <c r="Y455" i="2"/>
  <c r="Y471" i="2"/>
  <c r="Y487" i="2"/>
  <c r="Y503" i="2"/>
  <c r="Y519" i="2"/>
  <c r="Y535" i="2"/>
  <c r="Y551" i="2"/>
  <c r="Y567" i="2"/>
  <c r="Y583" i="2"/>
  <c r="Y599" i="2"/>
  <c r="Y615" i="2"/>
  <c r="Y631" i="2"/>
  <c r="Y647" i="2"/>
  <c r="Y663" i="2"/>
  <c r="Y679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8" i="2"/>
  <c r="Y40" i="2"/>
  <c r="Y72" i="2"/>
  <c r="Y104" i="2"/>
  <c r="Y136" i="2"/>
  <c r="Y168" i="2"/>
  <c r="Y200" i="2"/>
  <c r="Y232" i="2"/>
  <c r="Y248" i="2"/>
  <c r="Y264" i="2"/>
  <c r="Y280" i="2"/>
  <c r="Y296" i="2"/>
  <c r="Y312" i="2"/>
  <c r="Y328" i="2"/>
  <c r="Y344" i="2"/>
  <c r="Y360" i="2"/>
  <c r="Y376" i="2"/>
  <c r="Y392" i="2"/>
  <c r="Y408" i="2"/>
  <c r="Y424" i="2"/>
  <c r="Y440" i="2"/>
  <c r="Y456" i="2"/>
  <c r="Y472" i="2"/>
  <c r="Y488" i="2"/>
  <c r="Y504" i="2"/>
  <c r="Y520" i="2"/>
  <c r="Y536" i="2"/>
  <c r="Y552" i="2"/>
  <c r="Y568" i="2"/>
  <c r="Y584" i="2"/>
  <c r="Y600" i="2"/>
  <c r="Y616" i="2"/>
  <c r="Y632" i="2"/>
  <c r="Y648" i="2"/>
  <c r="Y664" i="2"/>
  <c r="Y680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5" i="2"/>
  <c r="Y47" i="2"/>
  <c r="Y79" i="2"/>
  <c r="Y111" i="2"/>
  <c r="Y143" i="2"/>
  <c r="Y175" i="2"/>
  <c r="Y207" i="2"/>
  <c r="Y237" i="2"/>
  <c r="Y253" i="2"/>
  <c r="Y269" i="2"/>
  <c r="Y285" i="2"/>
  <c r="Y301" i="2"/>
  <c r="Y317" i="2"/>
  <c r="Y333" i="2"/>
  <c r="Y349" i="2"/>
  <c r="Y365" i="2"/>
  <c r="Y381" i="2"/>
  <c r="Y397" i="2"/>
  <c r="Y413" i="2"/>
  <c r="Y429" i="2"/>
  <c r="Y445" i="2"/>
  <c r="Y461" i="2"/>
  <c r="Y477" i="2"/>
  <c r="Y16" i="2"/>
  <c r="Y48" i="2"/>
  <c r="Y80" i="2"/>
  <c r="Y112" i="2"/>
  <c r="Y144" i="2"/>
  <c r="Y176" i="2"/>
  <c r="Y208" i="2"/>
  <c r="Y238" i="2"/>
  <c r="Y254" i="2"/>
  <c r="Y270" i="2"/>
  <c r="Y286" i="2"/>
  <c r="Y302" i="2"/>
  <c r="Y318" i="2"/>
  <c r="Y334" i="2"/>
  <c r="Y350" i="2"/>
  <c r="Y366" i="2"/>
  <c r="Y382" i="2"/>
  <c r="Y398" i="2"/>
  <c r="Y414" i="2"/>
  <c r="Y430" i="2"/>
  <c r="Y446" i="2"/>
  <c r="Y462" i="2"/>
  <c r="Y478" i="2"/>
  <c r="Y23" i="2"/>
  <c r="Y55" i="2"/>
  <c r="Y87" i="2"/>
  <c r="Y119" i="2"/>
  <c r="Y151" i="2"/>
  <c r="Y183" i="2"/>
  <c r="Y215" i="2"/>
  <c r="Y239" i="2"/>
  <c r="Y255" i="2"/>
  <c r="Y271" i="2"/>
  <c r="Y287" i="2"/>
  <c r="Y303" i="2"/>
  <c r="Y319" i="2"/>
  <c r="Y335" i="2"/>
  <c r="Y351" i="2"/>
  <c r="Y367" i="2"/>
  <c r="Y383" i="2"/>
  <c r="Y399" i="2"/>
  <c r="Y415" i="2"/>
  <c r="Y431" i="2"/>
  <c r="Y447" i="2"/>
  <c r="Y463" i="2"/>
  <c r="Y479" i="2"/>
  <c r="Y495" i="2"/>
  <c r="Y511" i="2"/>
  <c r="Y527" i="2"/>
  <c r="Y543" i="2"/>
  <c r="Y559" i="2"/>
  <c r="Y575" i="2"/>
  <c r="Y591" i="2"/>
  <c r="Y607" i="2"/>
  <c r="Y623" i="2"/>
  <c r="Y639" i="2"/>
  <c r="Y655" i="2"/>
  <c r="Y671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24" i="2"/>
  <c r="Y56" i="2"/>
  <c r="Y88" i="2"/>
  <c r="Y120" i="2"/>
  <c r="Y152" i="2"/>
  <c r="Y184" i="2"/>
  <c r="Y216" i="2"/>
  <c r="Y240" i="2"/>
  <c r="Y256" i="2"/>
  <c r="Y272" i="2"/>
  <c r="Y288" i="2"/>
  <c r="Y304" i="2"/>
  <c r="Y320" i="2"/>
  <c r="Y336" i="2"/>
  <c r="Y352" i="2"/>
  <c r="Y368" i="2"/>
  <c r="Y384" i="2"/>
  <c r="Y400" i="2"/>
  <c r="Y416" i="2"/>
  <c r="Y432" i="2"/>
  <c r="Y448" i="2"/>
  <c r="Y464" i="2"/>
  <c r="Y480" i="2"/>
  <c r="Y496" i="2"/>
  <c r="Y512" i="2"/>
  <c r="Y528" i="2"/>
  <c r="Y544" i="2"/>
  <c r="Y560" i="2"/>
  <c r="Y576" i="2"/>
  <c r="Y592" i="2"/>
  <c r="Y608" i="2"/>
  <c r="Y624" i="2"/>
  <c r="Y640" i="2"/>
  <c r="Y656" i="2"/>
  <c r="Y672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31" i="2"/>
  <c r="Y63" i="2"/>
  <c r="Y95" i="2"/>
  <c r="Y127" i="2"/>
  <c r="Y159" i="2"/>
  <c r="Y191" i="2"/>
  <c r="Y223" i="2"/>
  <c r="Y245" i="2"/>
  <c r="Y261" i="2"/>
  <c r="Y277" i="2"/>
  <c r="Y293" i="2"/>
  <c r="Y309" i="2"/>
  <c r="Y325" i="2"/>
  <c r="Y341" i="2"/>
  <c r="Y357" i="2"/>
  <c r="Y373" i="2"/>
  <c r="Y389" i="2"/>
  <c r="Y405" i="2"/>
  <c r="Y421" i="2"/>
  <c r="Y437" i="2"/>
  <c r="Y453" i="2"/>
  <c r="Y469" i="2"/>
  <c r="Y485" i="2"/>
  <c r="Y501" i="2"/>
  <c r="Y517" i="2"/>
  <c r="Y533" i="2"/>
  <c r="Y549" i="2"/>
  <c r="Y565" i="2"/>
  <c r="Y581" i="2"/>
  <c r="Y597" i="2"/>
  <c r="Y613" i="2"/>
  <c r="Y629" i="2"/>
  <c r="Y645" i="2"/>
  <c r="Y661" i="2"/>
  <c r="Y677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32" i="2"/>
  <c r="Y64" i="2"/>
  <c r="Y96" i="2"/>
  <c r="Y128" i="2"/>
  <c r="Y160" i="2"/>
  <c r="Y192" i="2"/>
  <c r="Y224" i="2"/>
  <c r="Y246" i="2"/>
  <c r="Y262" i="2"/>
  <c r="Y278" i="2"/>
  <c r="Y294" i="2"/>
  <c r="Y310" i="2"/>
  <c r="Y326" i="2"/>
  <c r="Y342" i="2"/>
  <c r="Y358" i="2"/>
  <c r="Y374" i="2"/>
  <c r="Y390" i="2"/>
  <c r="Y406" i="2"/>
  <c r="Y422" i="2"/>
  <c r="Y438" i="2"/>
  <c r="Y454" i="2"/>
  <c r="Y470" i="2"/>
  <c r="Y486" i="2"/>
  <c r="Y502" i="2"/>
  <c r="Y518" i="2"/>
  <c r="Y534" i="2"/>
  <c r="Y550" i="2"/>
  <c r="Y566" i="2"/>
  <c r="Y582" i="2"/>
  <c r="Y598" i="2"/>
  <c r="Y614" i="2"/>
  <c r="Y630" i="2"/>
  <c r="Y646" i="2"/>
  <c r="Y662" i="2"/>
  <c r="Y678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493" i="2"/>
  <c r="Y557" i="2"/>
  <c r="Y621" i="2"/>
  <c r="Y685" i="2"/>
  <c r="Y717" i="2"/>
  <c r="Y749" i="2"/>
  <c r="Y781" i="2"/>
  <c r="Y813" i="2"/>
  <c r="Y845" i="2"/>
  <c r="Y877" i="2"/>
  <c r="Y909" i="2"/>
  <c r="Y941" i="2"/>
  <c r="Y973" i="2"/>
  <c r="Y1005" i="2"/>
  <c r="Y1037" i="2"/>
  <c r="Y1069" i="2"/>
  <c r="Y1091" i="2"/>
  <c r="Y1107" i="2"/>
  <c r="Y1123" i="2"/>
  <c r="Y1139" i="2"/>
  <c r="Y1155" i="2"/>
  <c r="Y1171" i="2"/>
  <c r="Y1187" i="2"/>
  <c r="Y1203" i="2"/>
  <c r="Y1219" i="2"/>
  <c r="Y1235" i="2"/>
  <c r="Y1251" i="2"/>
  <c r="Y494" i="2"/>
  <c r="Y1092" i="2"/>
  <c r="Y1188" i="2"/>
  <c r="Y1236" i="2"/>
  <c r="Y558" i="2"/>
  <c r="Y750" i="2"/>
  <c r="Y782" i="2"/>
  <c r="Y814" i="2"/>
  <c r="Y846" i="2"/>
  <c r="Y878" i="2"/>
  <c r="Y910" i="2"/>
  <c r="Y942" i="2"/>
  <c r="Y974" i="2"/>
  <c r="Y1006" i="2"/>
  <c r="Y1038" i="2"/>
  <c r="Y1070" i="2"/>
  <c r="Y1108" i="2"/>
  <c r="Y1124" i="2"/>
  <c r="Y1140" i="2"/>
  <c r="Y1156" i="2"/>
  <c r="Y1172" i="2"/>
  <c r="Y1204" i="2"/>
  <c r="Y1220" i="2"/>
  <c r="Y1252" i="2"/>
  <c r="Y509" i="2"/>
  <c r="Y573" i="2"/>
  <c r="Y637" i="2"/>
  <c r="Y693" i="2"/>
  <c r="Y725" i="2"/>
  <c r="Y757" i="2"/>
  <c r="Y789" i="2"/>
  <c r="Y821" i="2"/>
  <c r="Y853" i="2"/>
  <c r="Y885" i="2"/>
  <c r="Y917" i="2"/>
  <c r="Y949" i="2"/>
  <c r="Y981" i="2"/>
  <c r="Y1013" i="2"/>
  <c r="Y1045" i="2"/>
  <c r="Y1077" i="2"/>
  <c r="Y1093" i="2"/>
  <c r="Y1109" i="2"/>
  <c r="Y1125" i="2"/>
  <c r="Y1141" i="2"/>
  <c r="Y1157" i="2"/>
  <c r="Y1173" i="2"/>
  <c r="Y1189" i="2"/>
  <c r="Y1205" i="2"/>
  <c r="Y1221" i="2"/>
  <c r="Y1237" i="2"/>
  <c r="Y1253" i="2"/>
  <c r="Y510" i="2"/>
  <c r="Y574" i="2"/>
  <c r="Y638" i="2"/>
  <c r="Y694" i="2"/>
  <c r="Y726" i="2"/>
  <c r="Y758" i="2"/>
  <c r="Y790" i="2"/>
  <c r="Y822" i="2"/>
  <c r="Y854" i="2"/>
  <c r="Y886" i="2"/>
  <c r="Y918" i="2"/>
  <c r="Y950" i="2"/>
  <c r="Y982" i="2"/>
  <c r="Y1014" i="2"/>
  <c r="Y1046" i="2"/>
  <c r="Y1078" i="2"/>
  <c r="Y1094" i="2"/>
  <c r="Y1110" i="2"/>
  <c r="Y1126" i="2"/>
  <c r="Y1142" i="2"/>
  <c r="Y1158" i="2"/>
  <c r="Y1174" i="2"/>
  <c r="Y1190" i="2"/>
  <c r="Y1206" i="2"/>
  <c r="Y1222" i="2"/>
  <c r="Y1238" i="2"/>
  <c r="Y1254" i="2"/>
  <c r="Y525" i="2"/>
  <c r="Y589" i="2"/>
  <c r="Y653" i="2"/>
  <c r="Y701" i="2"/>
  <c r="Y733" i="2"/>
  <c r="Y765" i="2"/>
  <c r="Y797" i="2"/>
  <c r="Y829" i="2"/>
  <c r="Y861" i="2"/>
  <c r="Y893" i="2"/>
  <c r="Y925" i="2"/>
  <c r="Y957" i="2"/>
  <c r="Y989" i="2"/>
  <c r="Y1021" i="2"/>
  <c r="Y1053" i="2"/>
  <c r="Y1083" i="2"/>
  <c r="Y1099" i="2"/>
  <c r="Y1115" i="2"/>
  <c r="Y1131" i="2"/>
  <c r="Y1147" i="2"/>
  <c r="Y1163" i="2"/>
  <c r="Y1179" i="2"/>
  <c r="Y1195" i="2"/>
  <c r="Y1211" i="2"/>
  <c r="Y1227" i="2"/>
  <c r="Y1243" i="2"/>
  <c r="Y526" i="2"/>
  <c r="Y590" i="2"/>
  <c r="Y654" i="2"/>
  <c r="Y702" i="2"/>
  <c r="Y734" i="2"/>
  <c r="Y766" i="2"/>
  <c r="Y798" i="2"/>
  <c r="Y830" i="2"/>
  <c r="Y862" i="2"/>
  <c r="Y894" i="2"/>
  <c r="Y926" i="2"/>
  <c r="Y958" i="2"/>
  <c r="Y990" i="2"/>
  <c r="Y1022" i="2"/>
  <c r="Y1054" i="2"/>
  <c r="Y1084" i="2"/>
  <c r="Y1100" i="2"/>
  <c r="Y1116" i="2"/>
  <c r="Y1132" i="2"/>
  <c r="Y1148" i="2"/>
  <c r="Y1164" i="2"/>
  <c r="Y1180" i="2"/>
  <c r="Y1196" i="2"/>
  <c r="Y1212" i="2"/>
  <c r="Y1228" i="2"/>
  <c r="Y1244" i="2"/>
  <c r="Y622" i="2"/>
  <c r="Y541" i="2"/>
  <c r="Y605" i="2"/>
  <c r="Y669" i="2"/>
  <c r="Y709" i="2"/>
  <c r="Y741" i="2"/>
  <c r="Y773" i="2"/>
  <c r="Y805" i="2"/>
  <c r="Y837" i="2"/>
  <c r="Y869" i="2"/>
  <c r="Y901" i="2"/>
  <c r="Y933" i="2"/>
  <c r="Y965" i="2"/>
  <c r="Y997" i="2"/>
  <c r="Y1029" i="2"/>
  <c r="Y1061" i="2"/>
  <c r="Y1085" i="2"/>
  <c r="Y1101" i="2"/>
  <c r="Y1117" i="2"/>
  <c r="Y1133" i="2"/>
  <c r="Y1149" i="2"/>
  <c r="Y1165" i="2"/>
  <c r="Y1181" i="2"/>
  <c r="Y1197" i="2"/>
  <c r="Y1213" i="2"/>
  <c r="Y1229" i="2"/>
  <c r="Y1245" i="2"/>
  <c r="Y686" i="2"/>
  <c r="Y542" i="2"/>
  <c r="Y606" i="2"/>
  <c r="Y670" i="2"/>
  <c r="Y710" i="2"/>
  <c r="Y742" i="2"/>
  <c r="Y774" i="2"/>
  <c r="Y806" i="2"/>
  <c r="Y838" i="2"/>
  <c r="Y870" i="2"/>
  <c r="Y902" i="2"/>
  <c r="Y934" i="2"/>
  <c r="Y966" i="2"/>
  <c r="Y998" i="2"/>
  <c r="Y1030" i="2"/>
  <c r="Y1062" i="2"/>
  <c r="Y1086" i="2"/>
  <c r="Y1102" i="2"/>
  <c r="Y1118" i="2"/>
  <c r="Y1134" i="2"/>
  <c r="Y1150" i="2"/>
  <c r="Y1166" i="2"/>
  <c r="Y1182" i="2"/>
  <c r="Y1198" i="2"/>
  <c r="Y1214" i="2"/>
  <c r="Y1230" i="2"/>
  <c r="Y1246" i="2"/>
  <c r="Y718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20" i="2"/>
  <c r="X43" i="2"/>
  <c r="X66" i="2"/>
  <c r="X84" i="2"/>
  <c r="X107" i="2"/>
  <c r="X130" i="2"/>
  <c r="X148" i="2"/>
  <c r="X171" i="2"/>
  <c r="X194" i="2"/>
  <c r="X212" i="2"/>
  <c r="X235" i="2"/>
  <c r="X258" i="2"/>
  <c r="X276" i="2"/>
  <c r="X299" i="2"/>
  <c r="X322" i="2"/>
  <c r="X340" i="2"/>
  <c r="X363" i="2"/>
  <c r="X386" i="2"/>
  <c r="X404" i="2"/>
  <c r="X427" i="2"/>
  <c r="X450" i="2"/>
  <c r="X468" i="2"/>
  <c r="X491" i="2"/>
  <c r="X514" i="2"/>
  <c r="X532" i="2"/>
  <c r="X555" i="2"/>
  <c r="X578" i="2"/>
  <c r="X596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26" i="2"/>
  <c r="X44" i="2"/>
  <c r="X67" i="2"/>
  <c r="X90" i="2"/>
  <c r="X108" i="2"/>
  <c r="X131" i="2"/>
  <c r="X154" i="2"/>
  <c r="X172" i="2"/>
  <c r="X195" i="2"/>
  <c r="X218" i="2"/>
  <c r="X236" i="2"/>
  <c r="X259" i="2"/>
  <c r="X282" i="2"/>
  <c r="X300" i="2"/>
  <c r="X323" i="2"/>
  <c r="X346" i="2"/>
  <c r="X364" i="2"/>
  <c r="X387" i="2"/>
  <c r="X410" i="2"/>
  <c r="X428" i="2"/>
  <c r="X451" i="2"/>
  <c r="X474" i="2"/>
  <c r="X492" i="2"/>
  <c r="X515" i="2"/>
  <c r="X538" i="2"/>
  <c r="X556" i="2"/>
  <c r="X579" i="2"/>
  <c r="X602" i="2"/>
  <c r="X620" i="2"/>
  <c r="X643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28" i="2"/>
  <c r="X51" i="2"/>
  <c r="X74" i="2"/>
  <c r="X92" i="2"/>
  <c r="X115" i="2"/>
  <c r="X138" i="2"/>
  <c r="X156" i="2"/>
  <c r="X179" i="2"/>
  <c r="X202" i="2"/>
  <c r="X220" i="2"/>
  <c r="X243" i="2"/>
  <c r="X266" i="2"/>
  <c r="X284" i="2"/>
  <c r="X307" i="2"/>
  <c r="X330" i="2"/>
  <c r="X348" i="2"/>
  <c r="X371" i="2"/>
  <c r="X394" i="2"/>
  <c r="X412" i="2"/>
  <c r="X435" i="2"/>
  <c r="X458" i="2"/>
  <c r="X476" i="2"/>
  <c r="X499" i="2"/>
  <c r="X522" i="2"/>
  <c r="X540" i="2"/>
  <c r="X563" i="2"/>
  <c r="X586" i="2"/>
  <c r="X604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1" i="2"/>
  <c r="X42" i="2"/>
  <c r="X76" i="2"/>
  <c r="X114" i="2"/>
  <c r="X146" i="2"/>
  <c r="X180" i="2"/>
  <c r="X211" i="2"/>
  <c r="X250" i="2"/>
  <c r="X283" i="2"/>
  <c r="X315" i="2"/>
  <c r="X354" i="2"/>
  <c r="X380" i="2"/>
  <c r="X419" i="2"/>
  <c r="X452" i="2"/>
  <c r="X484" i="2"/>
  <c r="X523" i="2"/>
  <c r="X554" i="2"/>
  <c r="X588" i="2"/>
  <c r="X626" i="2"/>
  <c r="X658" i="2"/>
  <c r="X687" i="2"/>
  <c r="X698" i="2"/>
  <c r="X712" i="2"/>
  <c r="X725" i="2"/>
  <c r="X737" i="2"/>
  <c r="X751" i="2"/>
  <c r="X762" i="2"/>
  <c r="X776" i="2"/>
  <c r="X789" i="2"/>
  <c r="X801" i="2"/>
  <c r="X815" i="2"/>
  <c r="X826" i="2"/>
  <c r="X840" i="2"/>
  <c r="X853" i="2"/>
  <c r="X865" i="2"/>
  <c r="X879" i="2"/>
  <c r="X890" i="2"/>
  <c r="X904" i="2"/>
  <c r="X917" i="2"/>
  <c r="X929" i="2"/>
  <c r="X943" i="2"/>
  <c r="X954" i="2"/>
  <c r="X968" i="2"/>
  <c r="X981" i="2"/>
  <c r="X993" i="2"/>
  <c r="X1007" i="2"/>
  <c r="X1018" i="2"/>
  <c r="X1030" i="2"/>
  <c r="X1040" i="2"/>
  <c r="X1050" i="2"/>
  <c r="X1062" i="2"/>
  <c r="X1072" i="2"/>
  <c r="X1082" i="2"/>
  <c r="X1094" i="2"/>
  <c r="X1104" i="2"/>
  <c r="X1114" i="2"/>
  <c r="X1124" i="2"/>
  <c r="X1133" i="2"/>
  <c r="X1142" i="2"/>
  <c r="X1151" i="2"/>
  <c r="X1160" i="2"/>
  <c r="X1169" i="2"/>
  <c r="X1178" i="2"/>
  <c r="X1188" i="2"/>
  <c r="X1197" i="2"/>
  <c r="X1206" i="2"/>
  <c r="X1214" i="2"/>
  <c r="X1222" i="2"/>
  <c r="X1230" i="2"/>
  <c r="X1238" i="2"/>
  <c r="X1246" i="2"/>
  <c r="X1254" i="2"/>
  <c r="X210" i="2"/>
  <c r="X314" i="2"/>
  <c r="X483" i="2"/>
  <c r="X618" i="2"/>
  <c r="X711" i="2"/>
  <c r="X775" i="2"/>
  <c r="X877" i="2"/>
  <c r="X928" i="2"/>
  <c r="X978" i="2"/>
  <c r="X1005" i="2"/>
  <c r="X1049" i="2"/>
  <c r="X1081" i="2"/>
  <c r="X1132" i="2"/>
  <c r="X1196" i="2"/>
  <c r="X1245" i="2"/>
  <c r="X12" i="2"/>
  <c r="X50" i="2"/>
  <c r="X82" i="2"/>
  <c r="X116" i="2"/>
  <c r="X147" i="2"/>
  <c r="X186" i="2"/>
  <c r="X219" i="2"/>
  <c r="X251" i="2"/>
  <c r="X290" i="2"/>
  <c r="X316" i="2"/>
  <c r="X355" i="2"/>
  <c r="X388" i="2"/>
  <c r="X420" i="2"/>
  <c r="X459" i="2"/>
  <c r="X490" i="2"/>
  <c r="X524" i="2"/>
  <c r="X562" i="2"/>
  <c r="X594" i="2"/>
  <c r="X628" i="2"/>
  <c r="X659" i="2"/>
  <c r="X688" i="2"/>
  <c r="X701" i="2"/>
  <c r="X713" i="2"/>
  <c r="X727" i="2"/>
  <c r="X738" i="2"/>
  <c r="X752" i="2"/>
  <c r="X765" i="2"/>
  <c r="X777" i="2"/>
  <c r="X791" i="2"/>
  <c r="X802" i="2"/>
  <c r="X816" i="2"/>
  <c r="X829" i="2"/>
  <c r="X841" i="2"/>
  <c r="X855" i="2"/>
  <c r="X866" i="2"/>
  <c r="X880" i="2"/>
  <c r="X893" i="2"/>
  <c r="X905" i="2"/>
  <c r="X919" i="2"/>
  <c r="X930" i="2"/>
  <c r="X944" i="2"/>
  <c r="X957" i="2"/>
  <c r="X969" i="2"/>
  <c r="X983" i="2"/>
  <c r="X994" i="2"/>
  <c r="X1008" i="2"/>
  <c r="X1021" i="2"/>
  <c r="X1031" i="2"/>
  <c r="X1041" i="2"/>
  <c r="X1053" i="2"/>
  <c r="X1063" i="2"/>
  <c r="X1073" i="2"/>
  <c r="X1085" i="2"/>
  <c r="X1095" i="2"/>
  <c r="X1105" i="2"/>
  <c r="X1116" i="2"/>
  <c r="X1125" i="2"/>
  <c r="X1134" i="2"/>
  <c r="X1143" i="2"/>
  <c r="X1152" i="2"/>
  <c r="X1161" i="2"/>
  <c r="X1170" i="2"/>
  <c r="X1180" i="2"/>
  <c r="X1189" i="2"/>
  <c r="X1198" i="2"/>
  <c r="X1207" i="2"/>
  <c r="X1215" i="2"/>
  <c r="X1223" i="2"/>
  <c r="X1231" i="2"/>
  <c r="X1239" i="2"/>
  <c r="X1247" i="2"/>
  <c r="X1255" i="2"/>
  <c r="X178" i="2"/>
  <c r="X379" i="2"/>
  <c r="X516" i="2"/>
  <c r="X697" i="2"/>
  <c r="X761" i="2"/>
  <c r="X800" i="2"/>
  <c r="X864" i="2"/>
  <c r="X914" i="2"/>
  <c r="X967" i="2"/>
  <c r="X1017" i="2"/>
  <c r="X1061" i="2"/>
  <c r="X1093" i="2"/>
  <c r="X1141" i="2"/>
  <c r="X1205" i="2"/>
  <c r="X18" i="2"/>
  <c r="X52" i="2"/>
  <c r="X83" i="2"/>
  <c r="X122" i="2"/>
  <c r="X155" i="2"/>
  <c r="X187" i="2"/>
  <c r="X226" i="2"/>
  <c r="X252" i="2"/>
  <c r="X291" i="2"/>
  <c r="X324" i="2"/>
  <c r="X356" i="2"/>
  <c r="X395" i="2"/>
  <c r="X426" i="2"/>
  <c r="X460" i="2"/>
  <c r="X498" i="2"/>
  <c r="X530" i="2"/>
  <c r="X564" i="2"/>
  <c r="X595" i="2"/>
  <c r="X634" i="2"/>
  <c r="X667" i="2"/>
  <c r="X689" i="2"/>
  <c r="X703" i="2"/>
  <c r="X714" i="2"/>
  <c r="X728" i="2"/>
  <c r="X741" i="2"/>
  <c r="X753" i="2"/>
  <c r="X767" i="2"/>
  <c r="X778" i="2"/>
  <c r="X792" i="2"/>
  <c r="X805" i="2"/>
  <c r="X817" i="2"/>
  <c r="X831" i="2"/>
  <c r="X842" i="2"/>
  <c r="X856" i="2"/>
  <c r="X869" i="2"/>
  <c r="X881" i="2"/>
  <c r="X895" i="2"/>
  <c r="X906" i="2"/>
  <c r="X920" i="2"/>
  <c r="X933" i="2"/>
  <c r="X945" i="2"/>
  <c r="X959" i="2"/>
  <c r="X970" i="2"/>
  <c r="X984" i="2"/>
  <c r="X997" i="2"/>
  <c r="X1009" i="2"/>
  <c r="X1022" i="2"/>
  <c r="X1032" i="2"/>
  <c r="X1042" i="2"/>
  <c r="X1054" i="2"/>
  <c r="X1064" i="2"/>
  <c r="X1074" i="2"/>
  <c r="X1086" i="2"/>
  <c r="X1096" i="2"/>
  <c r="X1106" i="2"/>
  <c r="X1117" i="2"/>
  <c r="X1126" i="2"/>
  <c r="X1135" i="2"/>
  <c r="X1144" i="2"/>
  <c r="X1153" i="2"/>
  <c r="X1162" i="2"/>
  <c r="X1172" i="2"/>
  <c r="X1181" i="2"/>
  <c r="X1190" i="2"/>
  <c r="X1199" i="2"/>
  <c r="X1208" i="2"/>
  <c r="X1216" i="2"/>
  <c r="X1224" i="2"/>
  <c r="X1232" i="2"/>
  <c r="X1240" i="2"/>
  <c r="X1248" i="2"/>
  <c r="X1256" i="2"/>
  <c r="X19" i="2"/>
  <c r="X58" i="2"/>
  <c r="X91" i="2"/>
  <c r="X123" i="2"/>
  <c r="X162" i="2"/>
  <c r="X188" i="2"/>
  <c r="X227" i="2"/>
  <c r="X260" i="2"/>
  <c r="X292" i="2"/>
  <c r="X331" i="2"/>
  <c r="X362" i="2"/>
  <c r="X396" i="2"/>
  <c r="X434" i="2"/>
  <c r="X466" i="2"/>
  <c r="X500" i="2"/>
  <c r="X531" i="2"/>
  <c r="X570" i="2"/>
  <c r="X603" i="2"/>
  <c r="X635" i="2"/>
  <c r="X674" i="2"/>
  <c r="X690" i="2"/>
  <c r="X704" i="2"/>
  <c r="X717" i="2"/>
  <c r="X729" i="2"/>
  <c r="X743" i="2"/>
  <c r="X754" i="2"/>
  <c r="X768" i="2"/>
  <c r="X781" i="2"/>
  <c r="X793" i="2"/>
  <c r="X807" i="2"/>
  <c r="X818" i="2"/>
  <c r="X832" i="2"/>
  <c r="X845" i="2"/>
  <c r="X857" i="2"/>
  <c r="X871" i="2"/>
  <c r="X882" i="2"/>
  <c r="X896" i="2"/>
  <c r="X909" i="2"/>
  <c r="X921" i="2"/>
  <c r="X935" i="2"/>
  <c r="X946" i="2"/>
  <c r="X960" i="2"/>
  <c r="X973" i="2"/>
  <c r="X985" i="2"/>
  <c r="X999" i="2"/>
  <c r="X1010" i="2"/>
  <c r="X1023" i="2"/>
  <c r="X1033" i="2"/>
  <c r="X1045" i="2"/>
  <c r="X1055" i="2"/>
  <c r="X1065" i="2"/>
  <c r="X1077" i="2"/>
  <c r="X1087" i="2"/>
  <c r="X1097" i="2"/>
  <c r="X1109" i="2"/>
  <c r="X1118" i="2"/>
  <c r="X1127" i="2"/>
  <c r="X1136" i="2"/>
  <c r="X1145" i="2"/>
  <c r="X1154" i="2"/>
  <c r="X1164" i="2"/>
  <c r="X1173" i="2"/>
  <c r="X1182" i="2"/>
  <c r="X1191" i="2"/>
  <c r="X1200" i="2"/>
  <c r="X1209" i="2"/>
  <c r="X1217" i="2"/>
  <c r="X1225" i="2"/>
  <c r="X1233" i="2"/>
  <c r="X1241" i="2"/>
  <c r="X1249" i="2"/>
  <c r="X1257" i="2"/>
  <c r="X36" i="2"/>
  <c r="X244" i="2"/>
  <c r="X275" i="2"/>
  <c r="X347" i="2"/>
  <c r="X418" i="2"/>
  <c r="X444" i="2"/>
  <c r="X548" i="2"/>
  <c r="X685" i="2"/>
  <c r="X722" i="2"/>
  <c r="X786" i="2"/>
  <c r="X813" i="2"/>
  <c r="X850" i="2"/>
  <c r="X941" i="2"/>
  <c r="X1029" i="2"/>
  <c r="X1103" i="2"/>
  <c r="X1168" i="2"/>
  <c r="X1237" i="2"/>
  <c r="X27" i="2"/>
  <c r="X59" i="2"/>
  <c r="X98" i="2"/>
  <c r="X124" i="2"/>
  <c r="X163" i="2"/>
  <c r="X196" i="2"/>
  <c r="X228" i="2"/>
  <c r="X267" i="2"/>
  <c r="X298" i="2"/>
  <c r="X332" i="2"/>
  <c r="X370" i="2"/>
  <c r="X402" i="2"/>
  <c r="X436" i="2"/>
  <c r="X467" i="2"/>
  <c r="X506" i="2"/>
  <c r="X539" i="2"/>
  <c r="X571" i="2"/>
  <c r="X610" i="2"/>
  <c r="X636" i="2"/>
  <c r="X675" i="2"/>
  <c r="X693" i="2"/>
  <c r="X705" i="2"/>
  <c r="X719" i="2"/>
  <c r="X730" i="2"/>
  <c r="X744" i="2"/>
  <c r="X757" i="2"/>
  <c r="X769" i="2"/>
  <c r="X783" i="2"/>
  <c r="X794" i="2"/>
  <c r="X808" i="2"/>
  <c r="X821" i="2"/>
  <c r="X833" i="2"/>
  <c r="X847" i="2"/>
  <c r="X858" i="2"/>
  <c r="X872" i="2"/>
  <c r="X885" i="2"/>
  <c r="X897" i="2"/>
  <c r="X911" i="2"/>
  <c r="X922" i="2"/>
  <c r="X936" i="2"/>
  <c r="X949" i="2"/>
  <c r="X961" i="2"/>
  <c r="X975" i="2"/>
  <c r="X986" i="2"/>
  <c r="X1000" i="2"/>
  <c r="X1013" i="2"/>
  <c r="X1024" i="2"/>
  <c r="X1034" i="2"/>
  <c r="X1046" i="2"/>
  <c r="X1056" i="2"/>
  <c r="X1066" i="2"/>
  <c r="X1078" i="2"/>
  <c r="X1088" i="2"/>
  <c r="X1098" i="2"/>
  <c r="X1110" i="2"/>
  <c r="X1119" i="2"/>
  <c r="X1128" i="2"/>
  <c r="X1137" i="2"/>
  <c r="X1146" i="2"/>
  <c r="X1156" i="2"/>
  <c r="X1165" i="2"/>
  <c r="X1174" i="2"/>
  <c r="X1183" i="2"/>
  <c r="X1192" i="2"/>
  <c r="X1201" i="2"/>
  <c r="X1210" i="2"/>
  <c r="X1218" i="2"/>
  <c r="X1226" i="2"/>
  <c r="X1234" i="2"/>
  <c r="X1242" i="2"/>
  <c r="X1250" i="2"/>
  <c r="X1258" i="2"/>
  <c r="V58" i="1" s="1"/>
  <c r="AC14" i="2" s="1"/>
  <c r="X140" i="2"/>
  <c r="X587" i="2"/>
  <c r="X736" i="2"/>
  <c r="X839" i="2"/>
  <c r="X903" i="2"/>
  <c r="X992" i="2"/>
  <c r="X1071" i="2"/>
  <c r="X1113" i="2"/>
  <c r="X1150" i="2"/>
  <c r="X1177" i="2"/>
  <c r="X1213" i="2"/>
  <c r="X34" i="2"/>
  <c r="X60" i="2"/>
  <c r="X99" i="2"/>
  <c r="X132" i="2"/>
  <c r="X164" i="2"/>
  <c r="X203" i="2"/>
  <c r="X234" i="2"/>
  <c r="X268" i="2"/>
  <c r="X306" i="2"/>
  <c r="X338" i="2"/>
  <c r="X372" i="2"/>
  <c r="X403" i="2"/>
  <c r="X442" i="2"/>
  <c r="X475" i="2"/>
  <c r="X507" i="2"/>
  <c r="X546" i="2"/>
  <c r="X572" i="2"/>
  <c r="X611" i="2"/>
  <c r="X644" i="2"/>
  <c r="X676" i="2"/>
  <c r="X695" i="2"/>
  <c r="X706" i="2"/>
  <c r="X720" i="2"/>
  <c r="X733" i="2"/>
  <c r="X745" i="2"/>
  <c r="X759" i="2"/>
  <c r="X770" i="2"/>
  <c r="X784" i="2"/>
  <c r="X797" i="2"/>
  <c r="X809" i="2"/>
  <c r="X823" i="2"/>
  <c r="X834" i="2"/>
  <c r="X848" i="2"/>
  <c r="X861" i="2"/>
  <c r="X873" i="2"/>
  <c r="X887" i="2"/>
  <c r="X898" i="2"/>
  <c r="X912" i="2"/>
  <c r="X925" i="2"/>
  <c r="X937" i="2"/>
  <c r="X951" i="2"/>
  <c r="X962" i="2"/>
  <c r="X976" i="2"/>
  <c r="X989" i="2"/>
  <c r="X1001" i="2"/>
  <c r="X1015" i="2"/>
  <c r="X1025" i="2"/>
  <c r="X1037" i="2"/>
  <c r="X1047" i="2"/>
  <c r="X1057" i="2"/>
  <c r="X1069" i="2"/>
  <c r="X1079" i="2"/>
  <c r="X1089" i="2"/>
  <c r="X1101" i="2"/>
  <c r="X1111" i="2"/>
  <c r="X1120" i="2"/>
  <c r="X1129" i="2"/>
  <c r="X1138" i="2"/>
  <c r="X1148" i="2"/>
  <c r="X1157" i="2"/>
  <c r="X1166" i="2"/>
  <c r="X1175" i="2"/>
  <c r="X1184" i="2"/>
  <c r="X1193" i="2"/>
  <c r="X1202" i="2"/>
  <c r="X1211" i="2"/>
  <c r="X1219" i="2"/>
  <c r="X1227" i="2"/>
  <c r="X1235" i="2"/>
  <c r="X1243" i="2"/>
  <c r="X1251" i="2"/>
  <c r="X75" i="2"/>
  <c r="X1229" i="2"/>
  <c r="X35" i="2"/>
  <c r="X68" i="2"/>
  <c r="X100" i="2"/>
  <c r="X139" i="2"/>
  <c r="X170" i="2"/>
  <c r="X204" i="2"/>
  <c r="X242" i="2"/>
  <c r="X274" i="2"/>
  <c r="X308" i="2"/>
  <c r="X339" i="2"/>
  <c r="X378" i="2"/>
  <c r="X411" i="2"/>
  <c r="X443" i="2"/>
  <c r="X482" i="2"/>
  <c r="X508" i="2"/>
  <c r="X547" i="2"/>
  <c r="X580" i="2"/>
  <c r="X612" i="2"/>
  <c r="X651" i="2"/>
  <c r="X682" i="2"/>
  <c r="X696" i="2"/>
  <c r="X709" i="2"/>
  <c r="X721" i="2"/>
  <c r="X735" i="2"/>
  <c r="X746" i="2"/>
  <c r="X760" i="2"/>
  <c r="X773" i="2"/>
  <c r="X785" i="2"/>
  <c r="X799" i="2"/>
  <c r="X810" i="2"/>
  <c r="X824" i="2"/>
  <c r="X837" i="2"/>
  <c r="X849" i="2"/>
  <c r="X863" i="2"/>
  <c r="X874" i="2"/>
  <c r="X888" i="2"/>
  <c r="X901" i="2"/>
  <c r="X913" i="2"/>
  <c r="X927" i="2"/>
  <c r="X938" i="2"/>
  <c r="X952" i="2"/>
  <c r="X965" i="2"/>
  <c r="X977" i="2"/>
  <c r="X991" i="2"/>
  <c r="X1002" i="2"/>
  <c r="X1016" i="2"/>
  <c r="X1026" i="2"/>
  <c r="X1038" i="2"/>
  <c r="X1048" i="2"/>
  <c r="X1058" i="2"/>
  <c r="X1070" i="2"/>
  <c r="X1080" i="2"/>
  <c r="X1090" i="2"/>
  <c r="X1102" i="2"/>
  <c r="X1112" i="2"/>
  <c r="X1121" i="2"/>
  <c r="X1130" i="2"/>
  <c r="X1140" i="2"/>
  <c r="X1149" i="2"/>
  <c r="X1158" i="2"/>
  <c r="X1167" i="2"/>
  <c r="X1176" i="2"/>
  <c r="X1185" i="2"/>
  <c r="X1194" i="2"/>
  <c r="X1204" i="2"/>
  <c r="X1212" i="2"/>
  <c r="X1220" i="2"/>
  <c r="X1228" i="2"/>
  <c r="X1236" i="2"/>
  <c r="X1244" i="2"/>
  <c r="X1252" i="2"/>
  <c r="X106" i="2"/>
  <c r="X652" i="2"/>
  <c r="X749" i="2"/>
  <c r="X825" i="2"/>
  <c r="X889" i="2"/>
  <c r="X953" i="2"/>
  <c r="X1039" i="2"/>
  <c r="X1122" i="2"/>
  <c r="X1159" i="2"/>
  <c r="X1186" i="2"/>
  <c r="X1221" i="2"/>
  <c r="X1253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5" i="2"/>
  <c r="W27" i="2"/>
  <c r="W46" i="2"/>
  <c r="W69" i="2"/>
  <c r="W91" i="2"/>
  <c r="W110" i="2"/>
  <c r="W133" i="2"/>
  <c r="W155" i="2"/>
  <c r="W174" i="2"/>
  <c r="W197" i="2"/>
  <c r="W219" i="2"/>
  <c r="W238" i="2"/>
  <c r="W261" i="2"/>
  <c r="W283" i="2"/>
  <c r="W302" i="2"/>
  <c r="W325" i="2"/>
  <c r="W347" i="2"/>
  <c r="W366" i="2"/>
  <c r="W389" i="2"/>
  <c r="W411" i="2"/>
  <c r="W430" i="2"/>
  <c r="W453" i="2"/>
  <c r="W475" i="2"/>
  <c r="W494" i="2"/>
  <c r="W517" i="2"/>
  <c r="W539" i="2"/>
  <c r="W558" i="2"/>
  <c r="W581" i="2"/>
  <c r="W603" i="2"/>
  <c r="W622" i="2"/>
  <c r="W645" i="2"/>
  <c r="W659" i="2"/>
  <c r="W668" i="2"/>
  <c r="W67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6" i="2"/>
  <c r="W29" i="2"/>
  <c r="W51" i="2"/>
  <c r="W70" i="2"/>
  <c r="W93" i="2"/>
  <c r="W115" i="2"/>
  <c r="W134" i="2"/>
  <c r="W157" i="2"/>
  <c r="W179" i="2"/>
  <c r="W198" i="2"/>
  <c r="W221" i="2"/>
  <c r="W243" i="2"/>
  <c r="W262" i="2"/>
  <c r="W285" i="2"/>
  <c r="W307" i="2"/>
  <c r="W326" i="2"/>
  <c r="W349" i="2"/>
  <c r="W371" i="2"/>
  <c r="W390" i="2"/>
  <c r="W413" i="2"/>
  <c r="W435" i="2"/>
  <c r="W454" i="2"/>
  <c r="W477" i="2"/>
  <c r="W499" i="2"/>
  <c r="W518" i="2"/>
  <c r="W541" i="2"/>
  <c r="W563" i="2"/>
  <c r="W582" i="2"/>
  <c r="W605" i="2"/>
  <c r="W627" i="2"/>
  <c r="W646" i="2"/>
  <c r="W660" i="2"/>
  <c r="W669" i="2"/>
  <c r="W67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11" i="2"/>
  <c r="W30" i="2"/>
  <c r="W53" i="2"/>
  <c r="W75" i="2"/>
  <c r="W94" i="2"/>
  <c r="W117" i="2"/>
  <c r="W139" i="2"/>
  <c r="W158" i="2"/>
  <c r="W181" i="2"/>
  <c r="W203" i="2"/>
  <c r="W222" i="2"/>
  <c r="W245" i="2"/>
  <c r="W267" i="2"/>
  <c r="W286" i="2"/>
  <c r="W309" i="2"/>
  <c r="W331" i="2"/>
  <c r="W350" i="2"/>
  <c r="W373" i="2"/>
  <c r="W395" i="2"/>
  <c r="W414" i="2"/>
  <c r="W437" i="2"/>
  <c r="W459" i="2"/>
  <c r="W478" i="2"/>
  <c r="W501" i="2"/>
  <c r="W523" i="2"/>
  <c r="W542" i="2"/>
  <c r="W565" i="2"/>
  <c r="W587" i="2"/>
  <c r="W606" i="2"/>
  <c r="W629" i="2"/>
  <c r="W650" i="2"/>
  <c r="W661" i="2"/>
  <c r="W670" i="2"/>
  <c r="W679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13" i="2"/>
  <c r="W35" i="2"/>
  <c r="W54" i="2"/>
  <c r="W77" i="2"/>
  <c r="W99" i="2"/>
  <c r="W118" i="2"/>
  <c r="W141" i="2"/>
  <c r="W163" i="2"/>
  <c r="W182" i="2"/>
  <c r="W205" i="2"/>
  <c r="W227" i="2"/>
  <c r="W246" i="2"/>
  <c r="W269" i="2"/>
  <c r="W291" i="2"/>
  <c r="W310" i="2"/>
  <c r="W333" i="2"/>
  <c r="W355" i="2"/>
  <c r="W374" i="2"/>
  <c r="W397" i="2"/>
  <c r="W419" i="2"/>
  <c r="W438" i="2"/>
  <c r="W461" i="2"/>
  <c r="W483" i="2"/>
  <c r="W502" i="2"/>
  <c r="W525" i="2"/>
  <c r="W547" i="2"/>
  <c r="W566" i="2"/>
  <c r="W589" i="2"/>
  <c r="W611" i="2"/>
  <c r="W630" i="2"/>
  <c r="W651" i="2"/>
  <c r="W662" i="2"/>
  <c r="W671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4" i="2"/>
  <c r="W37" i="2"/>
  <c r="W59" i="2"/>
  <c r="W78" i="2"/>
  <c r="W101" i="2"/>
  <c r="W123" i="2"/>
  <c r="W142" i="2"/>
  <c r="W165" i="2"/>
  <c r="W187" i="2"/>
  <c r="W206" i="2"/>
  <c r="W229" i="2"/>
  <c r="W251" i="2"/>
  <c r="W270" i="2"/>
  <c r="W293" i="2"/>
  <c r="W315" i="2"/>
  <c r="W334" i="2"/>
  <c r="W357" i="2"/>
  <c r="W379" i="2"/>
  <c r="W398" i="2"/>
  <c r="W421" i="2"/>
  <c r="W443" i="2"/>
  <c r="W462" i="2"/>
  <c r="W485" i="2"/>
  <c r="W507" i="2"/>
  <c r="W526" i="2"/>
  <c r="W549" i="2"/>
  <c r="W571" i="2"/>
  <c r="W590" i="2"/>
  <c r="W613" i="2"/>
  <c r="W635" i="2"/>
  <c r="W653" i="2"/>
  <c r="W663" i="2"/>
  <c r="W673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19" i="2"/>
  <c r="W38" i="2"/>
  <c r="W61" i="2"/>
  <c r="W83" i="2"/>
  <c r="W102" i="2"/>
  <c r="W125" i="2"/>
  <c r="W147" i="2"/>
  <c r="W166" i="2"/>
  <c r="W189" i="2"/>
  <c r="W211" i="2"/>
  <c r="W230" i="2"/>
  <c r="W253" i="2"/>
  <c r="W275" i="2"/>
  <c r="W294" i="2"/>
  <c r="W317" i="2"/>
  <c r="W339" i="2"/>
  <c r="W358" i="2"/>
  <c r="W381" i="2"/>
  <c r="W403" i="2"/>
  <c r="W422" i="2"/>
  <c r="W445" i="2"/>
  <c r="W467" i="2"/>
  <c r="W486" i="2"/>
  <c r="W509" i="2"/>
  <c r="W531" i="2"/>
  <c r="W550" i="2"/>
  <c r="W573" i="2"/>
  <c r="W595" i="2"/>
  <c r="W614" i="2"/>
  <c r="W637" i="2"/>
  <c r="W654" i="2"/>
  <c r="W665" i="2"/>
  <c r="W674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21" i="2"/>
  <c r="W43" i="2"/>
  <c r="W62" i="2"/>
  <c r="W85" i="2"/>
  <c r="W107" i="2"/>
  <c r="W126" i="2"/>
  <c r="W149" i="2"/>
  <c r="W171" i="2"/>
  <c r="W190" i="2"/>
  <c r="W213" i="2"/>
  <c r="W22" i="2"/>
  <c r="W195" i="2"/>
  <c r="W299" i="2"/>
  <c r="W382" i="2"/>
  <c r="W469" i="2"/>
  <c r="W555" i="2"/>
  <c r="W638" i="2"/>
  <c r="W684" i="2"/>
  <c r="W716" i="2"/>
  <c r="W748" i="2"/>
  <c r="W780" i="2"/>
  <c r="W802" i="2"/>
  <c r="W821" i="2"/>
  <c r="W844" i="2"/>
  <c r="W866" i="2"/>
  <c r="W885" i="2"/>
  <c r="W908" i="2"/>
  <c r="W925" i="2"/>
  <c r="W941" i="2"/>
  <c r="W955" i="2"/>
  <c r="W965" i="2"/>
  <c r="W976" i="2"/>
  <c r="W987" i="2"/>
  <c r="W997" i="2"/>
  <c r="W1008" i="2"/>
  <c r="W1019" i="2"/>
  <c r="W1029" i="2"/>
  <c r="W1040" i="2"/>
  <c r="W1051" i="2"/>
  <c r="W1061" i="2"/>
  <c r="W1072" i="2"/>
  <c r="W1083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5" i="2"/>
  <c r="W1197" i="2"/>
  <c r="W301" i="2"/>
  <c r="W387" i="2"/>
  <c r="W470" i="2"/>
  <c r="W557" i="2"/>
  <c r="W643" i="2"/>
  <c r="W685" i="2"/>
  <c r="W717" i="2"/>
  <c r="W749" i="2"/>
  <c r="W781" i="2"/>
  <c r="W804" i="2"/>
  <c r="W826" i="2"/>
  <c r="W845" i="2"/>
  <c r="W868" i="2"/>
  <c r="W890" i="2"/>
  <c r="W909" i="2"/>
  <c r="W930" i="2"/>
  <c r="W946" i="2"/>
  <c r="W956" i="2"/>
  <c r="W967" i="2"/>
  <c r="W978" i="2"/>
  <c r="W988" i="2"/>
  <c r="W999" i="2"/>
  <c r="W1010" i="2"/>
  <c r="W1020" i="2"/>
  <c r="W1031" i="2"/>
  <c r="W1042" i="2"/>
  <c r="W1052" i="2"/>
  <c r="W1063" i="2"/>
  <c r="W1074" i="2"/>
  <c r="W1084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205" i="2"/>
  <c r="W1213" i="2"/>
  <c r="W1221" i="2"/>
  <c r="W1229" i="2"/>
  <c r="W1237" i="2"/>
  <c r="W1245" i="2"/>
  <c r="W1253" i="2"/>
  <c r="W67" i="2"/>
  <c r="W235" i="2"/>
  <c r="W318" i="2"/>
  <c r="W405" i="2"/>
  <c r="W491" i="2"/>
  <c r="W574" i="2"/>
  <c r="W657" i="2"/>
  <c r="W692" i="2"/>
  <c r="W724" i="2"/>
  <c r="W756" i="2"/>
  <c r="W786" i="2"/>
  <c r="W805" i="2"/>
  <c r="W828" i="2"/>
  <c r="W850" i="2"/>
  <c r="W869" i="2"/>
  <c r="W892" i="2"/>
  <c r="W914" i="2"/>
  <c r="W931" i="2"/>
  <c r="W947" i="2"/>
  <c r="W957" i="2"/>
  <c r="W968" i="2"/>
  <c r="W979" i="2"/>
  <c r="W989" i="2"/>
  <c r="W1000" i="2"/>
  <c r="W1011" i="2"/>
  <c r="W1021" i="2"/>
  <c r="W1032" i="2"/>
  <c r="W1043" i="2"/>
  <c r="W1053" i="2"/>
  <c r="W1064" i="2"/>
  <c r="W1075" i="2"/>
  <c r="W1085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86" i="2"/>
  <c r="W237" i="2"/>
  <c r="W323" i="2"/>
  <c r="W406" i="2"/>
  <c r="W493" i="2"/>
  <c r="W579" i="2"/>
  <c r="W658" i="2"/>
  <c r="W693" i="2"/>
  <c r="W725" i="2"/>
  <c r="W757" i="2"/>
  <c r="W788" i="2"/>
  <c r="W810" i="2"/>
  <c r="W829" i="2"/>
  <c r="W852" i="2"/>
  <c r="W874" i="2"/>
  <c r="W893" i="2"/>
  <c r="W916" i="2"/>
  <c r="W932" i="2"/>
  <c r="W948" i="2"/>
  <c r="W959" i="2"/>
  <c r="W970" i="2"/>
  <c r="W980" i="2"/>
  <c r="W991" i="2"/>
  <c r="W1002" i="2"/>
  <c r="W1012" i="2"/>
  <c r="W1023" i="2"/>
  <c r="W1034" i="2"/>
  <c r="W1044" i="2"/>
  <c r="W1055" i="2"/>
  <c r="W1066" i="2"/>
  <c r="W1076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77" i="2"/>
  <c r="W901" i="2"/>
  <c r="W973" i="2"/>
  <c r="W1005" i="2"/>
  <c r="W1027" i="2"/>
  <c r="W1059" i="2"/>
  <c r="W1080" i="2"/>
  <c r="W1098" i="2"/>
  <c r="W1114" i="2"/>
  <c r="W1138" i="2"/>
  <c r="W1146" i="2"/>
  <c r="W1162" i="2"/>
  <c r="W1178" i="2"/>
  <c r="W1194" i="2"/>
  <c r="W1210" i="2"/>
  <c r="W1226" i="2"/>
  <c r="W109" i="2"/>
  <c r="W254" i="2"/>
  <c r="W341" i="2"/>
  <c r="W427" i="2"/>
  <c r="W510" i="2"/>
  <c r="W597" i="2"/>
  <c r="W666" i="2"/>
  <c r="W700" i="2"/>
  <c r="W732" i="2"/>
  <c r="W764" i="2"/>
  <c r="W789" i="2"/>
  <c r="W812" i="2"/>
  <c r="W834" i="2"/>
  <c r="W853" i="2"/>
  <c r="W876" i="2"/>
  <c r="W898" i="2"/>
  <c r="W917" i="2"/>
  <c r="W933" i="2"/>
  <c r="W949" i="2"/>
  <c r="W960" i="2"/>
  <c r="W971" i="2"/>
  <c r="W981" i="2"/>
  <c r="W992" i="2"/>
  <c r="W1003" i="2"/>
  <c r="W1013" i="2"/>
  <c r="W1024" i="2"/>
  <c r="W1035" i="2"/>
  <c r="W1045" i="2"/>
  <c r="W1056" i="2"/>
  <c r="W1067" i="2"/>
  <c r="W1077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131" i="2"/>
  <c r="W259" i="2"/>
  <c r="W342" i="2"/>
  <c r="W429" i="2"/>
  <c r="W515" i="2"/>
  <c r="W598" i="2"/>
  <c r="W667" i="2"/>
  <c r="W701" i="2"/>
  <c r="W733" i="2"/>
  <c r="W765" i="2"/>
  <c r="W794" i="2"/>
  <c r="W813" i="2"/>
  <c r="W836" i="2"/>
  <c r="W858" i="2"/>
  <c r="W877" i="2"/>
  <c r="W900" i="2"/>
  <c r="W922" i="2"/>
  <c r="W938" i="2"/>
  <c r="W951" i="2"/>
  <c r="W962" i="2"/>
  <c r="W972" i="2"/>
  <c r="W983" i="2"/>
  <c r="W994" i="2"/>
  <c r="W1004" i="2"/>
  <c r="W1015" i="2"/>
  <c r="W1026" i="2"/>
  <c r="W1036" i="2"/>
  <c r="W1047" i="2"/>
  <c r="W1058" i="2"/>
  <c r="W1068" i="2"/>
  <c r="W1079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150" i="2"/>
  <c r="W363" i="2"/>
  <c r="W446" i="2"/>
  <c r="W533" i="2"/>
  <c r="W619" i="2"/>
  <c r="W675" i="2"/>
  <c r="W708" i="2"/>
  <c r="W740" i="2"/>
  <c r="W772" i="2"/>
  <c r="W796" i="2"/>
  <c r="W818" i="2"/>
  <c r="W837" i="2"/>
  <c r="W860" i="2"/>
  <c r="W882" i="2"/>
  <c r="W923" i="2"/>
  <c r="W939" i="2"/>
  <c r="W952" i="2"/>
  <c r="W963" i="2"/>
  <c r="W984" i="2"/>
  <c r="W995" i="2"/>
  <c r="W1016" i="2"/>
  <c r="W1037" i="2"/>
  <c r="W1048" i="2"/>
  <c r="W1069" i="2"/>
  <c r="W1090" i="2"/>
  <c r="W1106" i="2"/>
  <c r="W1122" i="2"/>
  <c r="W1130" i="2"/>
  <c r="W1154" i="2"/>
  <c r="W1170" i="2"/>
  <c r="W1186" i="2"/>
  <c r="W1202" i="2"/>
  <c r="W173" i="2"/>
  <c r="W278" i="2"/>
  <c r="W365" i="2"/>
  <c r="W451" i="2"/>
  <c r="W534" i="2"/>
  <c r="W621" i="2"/>
  <c r="W676" i="2"/>
  <c r="W709" i="2"/>
  <c r="W741" i="2"/>
  <c r="W773" i="2"/>
  <c r="W797" i="2"/>
  <c r="W820" i="2"/>
  <c r="W842" i="2"/>
  <c r="W861" i="2"/>
  <c r="W884" i="2"/>
  <c r="W906" i="2"/>
  <c r="W924" i="2"/>
  <c r="W940" i="2"/>
  <c r="W954" i="2"/>
  <c r="W964" i="2"/>
  <c r="W975" i="2"/>
  <c r="W986" i="2"/>
  <c r="W996" i="2"/>
  <c r="W1007" i="2"/>
  <c r="W1018" i="2"/>
  <c r="W1028" i="2"/>
  <c r="W1039" i="2"/>
  <c r="W1050" i="2"/>
  <c r="W1060" i="2"/>
  <c r="W1071" i="2"/>
  <c r="W1082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214" i="2"/>
  <c r="W1218" i="2"/>
  <c r="W1234" i="2"/>
  <c r="W1242" i="2"/>
  <c r="W1250" i="2"/>
  <c r="W1258" i="2"/>
  <c r="V57" i="1" s="1"/>
  <c r="AC13" i="2" s="1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27" i="2"/>
  <c r="V59" i="2"/>
  <c r="V91" i="2"/>
  <c r="V123" i="2"/>
  <c r="V155" i="2"/>
  <c r="V187" i="2"/>
  <c r="V219" i="2"/>
  <c r="V251" i="2"/>
  <c r="V283" i="2"/>
  <c r="V315" i="2"/>
  <c r="V347" i="2"/>
  <c r="V379" i="2"/>
  <c r="V411" i="2"/>
  <c r="V443" i="2"/>
  <c r="V475" i="2"/>
  <c r="V494" i="2"/>
  <c r="V510" i="2"/>
  <c r="V526" i="2"/>
  <c r="V542" i="2"/>
  <c r="V558" i="2"/>
  <c r="V574" i="2"/>
  <c r="V590" i="2"/>
  <c r="V606" i="2"/>
  <c r="V622" i="2"/>
  <c r="V638" i="2"/>
  <c r="V654" i="2"/>
  <c r="V67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36" i="2"/>
  <c r="V68" i="2"/>
  <c r="V100" i="2"/>
  <c r="V132" i="2"/>
  <c r="V164" i="2"/>
  <c r="V196" i="2"/>
  <c r="V228" i="2"/>
  <c r="V260" i="2"/>
  <c r="V292" i="2"/>
  <c r="V324" i="2"/>
  <c r="V356" i="2"/>
  <c r="V388" i="2"/>
  <c r="V420" i="2"/>
  <c r="V452" i="2"/>
  <c r="V484" i="2"/>
  <c r="V501" i="2"/>
  <c r="V517" i="2"/>
  <c r="V533" i="2"/>
  <c r="V549" i="2"/>
  <c r="V565" i="2"/>
  <c r="V581" i="2"/>
  <c r="V597" i="2"/>
  <c r="V613" i="2"/>
  <c r="V629" i="2"/>
  <c r="V645" i="2"/>
  <c r="V661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" i="2"/>
  <c r="V51" i="2"/>
  <c r="V92" i="2"/>
  <c r="V139" i="2"/>
  <c r="V179" i="2"/>
  <c r="V220" i="2"/>
  <c r="V267" i="2"/>
  <c r="V307" i="2"/>
  <c r="V348" i="2"/>
  <c r="V395" i="2"/>
  <c r="V435" i="2"/>
  <c r="V476" i="2"/>
  <c r="V502" i="2"/>
  <c r="V524" i="2"/>
  <c r="V547" i="2"/>
  <c r="V566" i="2"/>
  <c r="V588" i="2"/>
  <c r="V611" i="2"/>
  <c r="V630" i="2"/>
  <c r="V652" i="2"/>
  <c r="V675" i="2"/>
  <c r="V690" i="2"/>
  <c r="V700" i="2"/>
  <c r="V711" i="2"/>
  <c r="V722" i="2"/>
  <c r="V732" i="2"/>
  <c r="V743" i="2"/>
  <c r="V754" i="2"/>
  <c r="V764" i="2"/>
  <c r="V775" i="2"/>
  <c r="V786" i="2"/>
  <c r="V796" i="2"/>
  <c r="V807" i="2"/>
  <c r="V818" i="2"/>
  <c r="V828" i="2"/>
  <c r="V839" i="2"/>
  <c r="V850" i="2"/>
  <c r="V860" i="2"/>
  <c r="V871" i="2"/>
  <c r="V882" i="2"/>
  <c r="V892" i="2"/>
  <c r="V903" i="2"/>
  <c r="V914" i="2"/>
  <c r="V924" i="2"/>
  <c r="V935" i="2"/>
  <c r="V946" i="2"/>
  <c r="V956" i="2"/>
  <c r="V967" i="2"/>
  <c r="V978" i="2"/>
  <c r="V988" i="2"/>
  <c r="V999" i="2"/>
  <c r="V1010" i="2"/>
  <c r="V1020" i="2"/>
  <c r="V1031" i="2"/>
  <c r="V1042" i="2"/>
  <c r="V1052" i="2"/>
  <c r="V1063" i="2"/>
  <c r="V1074" i="2"/>
  <c r="V1084" i="2"/>
  <c r="V1095" i="2"/>
  <c r="V1106" i="2"/>
  <c r="V1116" i="2"/>
  <c r="V1127" i="2"/>
  <c r="V1138" i="2"/>
  <c r="V1148" i="2"/>
  <c r="V1157" i="2"/>
  <c r="V1167" i="2"/>
  <c r="V1176" i="2"/>
  <c r="V1185" i="2"/>
  <c r="V1194" i="2"/>
  <c r="V1203" i="2"/>
  <c r="V1212" i="2"/>
  <c r="V1221" i="2"/>
  <c r="V1231" i="2"/>
  <c r="V1240" i="2"/>
  <c r="V1249" i="2"/>
  <c r="V1258" i="2"/>
  <c r="V56" i="1" s="1"/>
  <c r="AC12" i="2" s="1"/>
  <c r="V730" i="2"/>
  <c r="V172" i="2"/>
  <c r="V731" i="2"/>
  <c r="V827" i="2"/>
  <c r="V891" i="2"/>
  <c r="V933" i="2"/>
  <c r="V976" i="2"/>
  <c r="V997" i="2"/>
  <c r="V12" i="2"/>
  <c r="V52" i="2"/>
  <c r="V99" i="2"/>
  <c r="V140" i="2"/>
  <c r="V180" i="2"/>
  <c r="V227" i="2"/>
  <c r="V268" i="2"/>
  <c r="V308" i="2"/>
  <c r="V355" i="2"/>
  <c r="V396" i="2"/>
  <c r="V436" i="2"/>
  <c r="V483" i="2"/>
  <c r="V507" i="2"/>
  <c r="V525" i="2"/>
  <c r="V548" i="2"/>
  <c r="V571" i="2"/>
  <c r="V589" i="2"/>
  <c r="V612" i="2"/>
  <c r="V635" i="2"/>
  <c r="V653" i="2"/>
  <c r="V676" i="2"/>
  <c r="V691" i="2"/>
  <c r="V701" i="2"/>
  <c r="V712" i="2"/>
  <c r="V723" i="2"/>
  <c r="V733" i="2"/>
  <c r="V744" i="2"/>
  <c r="V755" i="2"/>
  <c r="V765" i="2"/>
  <c r="V776" i="2"/>
  <c r="V787" i="2"/>
  <c r="V797" i="2"/>
  <c r="V808" i="2"/>
  <c r="V819" i="2"/>
  <c r="V829" i="2"/>
  <c r="V840" i="2"/>
  <c r="V851" i="2"/>
  <c r="V861" i="2"/>
  <c r="V872" i="2"/>
  <c r="V883" i="2"/>
  <c r="V893" i="2"/>
  <c r="V904" i="2"/>
  <c r="V915" i="2"/>
  <c r="V925" i="2"/>
  <c r="V936" i="2"/>
  <c r="V947" i="2"/>
  <c r="V957" i="2"/>
  <c r="V968" i="2"/>
  <c r="V979" i="2"/>
  <c r="V989" i="2"/>
  <c r="V1000" i="2"/>
  <c r="V1011" i="2"/>
  <c r="V1021" i="2"/>
  <c r="V1032" i="2"/>
  <c r="V1043" i="2"/>
  <c r="V1053" i="2"/>
  <c r="V1064" i="2"/>
  <c r="V1075" i="2"/>
  <c r="V1085" i="2"/>
  <c r="V1096" i="2"/>
  <c r="V1107" i="2"/>
  <c r="V1117" i="2"/>
  <c r="V1128" i="2"/>
  <c r="V1139" i="2"/>
  <c r="V1149" i="2"/>
  <c r="V1159" i="2"/>
  <c r="V1168" i="2"/>
  <c r="V1177" i="2"/>
  <c r="V1186" i="2"/>
  <c r="V1195" i="2"/>
  <c r="V1204" i="2"/>
  <c r="V1213" i="2"/>
  <c r="V1223" i="2"/>
  <c r="V1232" i="2"/>
  <c r="V1241" i="2"/>
  <c r="V1250" i="2"/>
  <c r="V708" i="2"/>
  <c r="V212" i="2"/>
  <c r="V709" i="2"/>
  <c r="V816" i="2"/>
  <c r="V869" i="2"/>
  <c r="V923" i="2"/>
  <c r="V965" i="2"/>
  <c r="V1019" i="2"/>
  <c r="V19" i="2"/>
  <c r="V60" i="2"/>
  <c r="V107" i="2"/>
  <c r="V147" i="2"/>
  <c r="V188" i="2"/>
  <c r="V235" i="2"/>
  <c r="V275" i="2"/>
  <c r="V316" i="2"/>
  <c r="V363" i="2"/>
  <c r="V403" i="2"/>
  <c r="V444" i="2"/>
  <c r="V485" i="2"/>
  <c r="V508" i="2"/>
  <c r="V531" i="2"/>
  <c r="V550" i="2"/>
  <c r="V572" i="2"/>
  <c r="V595" i="2"/>
  <c r="V614" i="2"/>
  <c r="V636" i="2"/>
  <c r="V659" i="2"/>
  <c r="V678" i="2"/>
  <c r="V692" i="2"/>
  <c r="V703" i="2"/>
  <c r="V714" i="2"/>
  <c r="V724" i="2"/>
  <c r="V735" i="2"/>
  <c r="V746" i="2"/>
  <c r="V756" i="2"/>
  <c r="V767" i="2"/>
  <c r="V778" i="2"/>
  <c r="V788" i="2"/>
  <c r="V799" i="2"/>
  <c r="V810" i="2"/>
  <c r="V820" i="2"/>
  <c r="V831" i="2"/>
  <c r="V842" i="2"/>
  <c r="V852" i="2"/>
  <c r="V863" i="2"/>
  <c r="V874" i="2"/>
  <c r="V884" i="2"/>
  <c r="V895" i="2"/>
  <c r="V906" i="2"/>
  <c r="V916" i="2"/>
  <c r="V927" i="2"/>
  <c r="V938" i="2"/>
  <c r="V948" i="2"/>
  <c r="V959" i="2"/>
  <c r="V970" i="2"/>
  <c r="V980" i="2"/>
  <c r="V991" i="2"/>
  <c r="V1002" i="2"/>
  <c r="V1012" i="2"/>
  <c r="V1023" i="2"/>
  <c r="V1034" i="2"/>
  <c r="V1044" i="2"/>
  <c r="V1055" i="2"/>
  <c r="V1066" i="2"/>
  <c r="V1076" i="2"/>
  <c r="V1087" i="2"/>
  <c r="V1098" i="2"/>
  <c r="V1108" i="2"/>
  <c r="V1119" i="2"/>
  <c r="V1130" i="2"/>
  <c r="V1140" i="2"/>
  <c r="V1151" i="2"/>
  <c r="V1160" i="2"/>
  <c r="V1169" i="2"/>
  <c r="V1178" i="2"/>
  <c r="V1187" i="2"/>
  <c r="V1196" i="2"/>
  <c r="V1205" i="2"/>
  <c r="V1215" i="2"/>
  <c r="V1224" i="2"/>
  <c r="V1233" i="2"/>
  <c r="V1242" i="2"/>
  <c r="V1251" i="2"/>
  <c r="V83" i="2"/>
  <c r="V252" i="2"/>
  <c r="V339" i="2"/>
  <c r="V427" i="2"/>
  <c r="V499" i="2"/>
  <c r="V604" i="2"/>
  <c r="V668" i="2"/>
  <c r="V740" i="2"/>
  <c r="V772" i="2"/>
  <c r="V826" i="2"/>
  <c r="V868" i="2"/>
  <c r="V911" i="2"/>
  <c r="V954" i="2"/>
  <c r="V986" i="2"/>
  <c r="V1018" i="2"/>
  <c r="V1050" i="2"/>
  <c r="V1092" i="2"/>
  <c r="V1124" i="2"/>
  <c r="V1155" i="2"/>
  <c r="V1192" i="2"/>
  <c r="V1210" i="2"/>
  <c r="V1247" i="2"/>
  <c r="V20" i="2"/>
  <c r="V67" i="2"/>
  <c r="V108" i="2"/>
  <c r="V148" i="2"/>
  <c r="V195" i="2"/>
  <c r="V236" i="2"/>
  <c r="V276" i="2"/>
  <c r="V323" i="2"/>
  <c r="V364" i="2"/>
  <c r="V404" i="2"/>
  <c r="V451" i="2"/>
  <c r="V491" i="2"/>
  <c r="V509" i="2"/>
  <c r="V532" i="2"/>
  <c r="V555" i="2"/>
  <c r="V573" i="2"/>
  <c r="V596" i="2"/>
  <c r="V619" i="2"/>
  <c r="V637" i="2"/>
  <c r="V660" i="2"/>
  <c r="V683" i="2"/>
  <c r="V693" i="2"/>
  <c r="V704" i="2"/>
  <c r="V715" i="2"/>
  <c r="V725" i="2"/>
  <c r="V736" i="2"/>
  <c r="V747" i="2"/>
  <c r="V757" i="2"/>
  <c r="V768" i="2"/>
  <c r="V779" i="2"/>
  <c r="V789" i="2"/>
  <c r="V800" i="2"/>
  <c r="V811" i="2"/>
  <c r="V821" i="2"/>
  <c r="V832" i="2"/>
  <c r="V843" i="2"/>
  <c r="V853" i="2"/>
  <c r="V864" i="2"/>
  <c r="V875" i="2"/>
  <c r="V885" i="2"/>
  <c r="V896" i="2"/>
  <c r="V907" i="2"/>
  <c r="V917" i="2"/>
  <c r="V928" i="2"/>
  <c r="V939" i="2"/>
  <c r="V949" i="2"/>
  <c r="V960" i="2"/>
  <c r="V971" i="2"/>
  <c r="V981" i="2"/>
  <c r="V992" i="2"/>
  <c r="V1003" i="2"/>
  <c r="V1013" i="2"/>
  <c r="V1024" i="2"/>
  <c r="V1035" i="2"/>
  <c r="V1045" i="2"/>
  <c r="V1056" i="2"/>
  <c r="V1067" i="2"/>
  <c r="V1077" i="2"/>
  <c r="V1088" i="2"/>
  <c r="V1099" i="2"/>
  <c r="V1109" i="2"/>
  <c r="V1120" i="2"/>
  <c r="V1131" i="2"/>
  <c r="V1141" i="2"/>
  <c r="V1152" i="2"/>
  <c r="V1161" i="2"/>
  <c r="V1170" i="2"/>
  <c r="V1179" i="2"/>
  <c r="V1188" i="2"/>
  <c r="V1197" i="2"/>
  <c r="V1207" i="2"/>
  <c r="V1216" i="2"/>
  <c r="V1225" i="2"/>
  <c r="V1234" i="2"/>
  <c r="V1243" i="2"/>
  <c r="V1252" i="2"/>
  <c r="V171" i="2"/>
  <c r="V563" i="2"/>
  <c r="V687" i="2"/>
  <c r="V762" i="2"/>
  <c r="V804" i="2"/>
  <c r="V847" i="2"/>
  <c r="V890" i="2"/>
  <c r="V932" i="2"/>
  <c r="V996" i="2"/>
  <c r="V1060" i="2"/>
  <c r="V1114" i="2"/>
  <c r="V1173" i="2"/>
  <c r="V1219" i="2"/>
  <c r="V1256" i="2"/>
  <c r="V131" i="2"/>
  <c r="V651" i="2"/>
  <c r="V773" i="2"/>
  <c r="V880" i="2"/>
  <c r="V955" i="2"/>
  <c r="V28" i="2"/>
  <c r="V75" i="2"/>
  <c r="V115" i="2"/>
  <c r="V156" i="2"/>
  <c r="V203" i="2"/>
  <c r="V243" i="2"/>
  <c r="V284" i="2"/>
  <c r="V331" i="2"/>
  <c r="V371" i="2"/>
  <c r="V412" i="2"/>
  <c r="V459" i="2"/>
  <c r="V492" i="2"/>
  <c r="V515" i="2"/>
  <c r="V534" i="2"/>
  <c r="V556" i="2"/>
  <c r="V579" i="2"/>
  <c r="V598" i="2"/>
  <c r="V620" i="2"/>
  <c r="V643" i="2"/>
  <c r="V662" i="2"/>
  <c r="V684" i="2"/>
  <c r="V695" i="2"/>
  <c r="V706" i="2"/>
  <c r="V716" i="2"/>
  <c r="V727" i="2"/>
  <c r="V738" i="2"/>
  <c r="V748" i="2"/>
  <c r="V759" i="2"/>
  <c r="V770" i="2"/>
  <c r="V780" i="2"/>
  <c r="V791" i="2"/>
  <c r="V802" i="2"/>
  <c r="V812" i="2"/>
  <c r="V823" i="2"/>
  <c r="V834" i="2"/>
  <c r="V844" i="2"/>
  <c r="V855" i="2"/>
  <c r="V866" i="2"/>
  <c r="V876" i="2"/>
  <c r="V887" i="2"/>
  <c r="V898" i="2"/>
  <c r="V908" i="2"/>
  <c r="V919" i="2"/>
  <c r="V930" i="2"/>
  <c r="V940" i="2"/>
  <c r="V951" i="2"/>
  <c r="V962" i="2"/>
  <c r="V972" i="2"/>
  <c r="V983" i="2"/>
  <c r="V994" i="2"/>
  <c r="V1004" i="2"/>
  <c r="V1015" i="2"/>
  <c r="V1026" i="2"/>
  <c r="V1036" i="2"/>
  <c r="V1047" i="2"/>
  <c r="V1058" i="2"/>
  <c r="V1068" i="2"/>
  <c r="V1079" i="2"/>
  <c r="V1090" i="2"/>
  <c r="V1100" i="2"/>
  <c r="V1111" i="2"/>
  <c r="V1122" i="2"/>
  <c r="V1132" i="2"/>
  <c r="V1143" i="2"/>
  <c r="V1153" i="2"/>
  <c r="V1162" i="2"/>
  <c r="V1171" i="2"/>
  <c r="V1180" i="2"/>
  <c r="V1189" i="2"/>
  <c r="V1199" i="2"/>
  <c r="V1208" i="2"/>
  <c r="V1217" i="2"/>
  <c r="V1226" i="2"/>
  <c r="V1235" i="2"/>
  <c r="V1244" i="2"/>
  <c r="V1253" i="2"/>
  <c r="V124" i="2"/>
  <c r="V380" i="2"/>
  <c r="V540" i="2"/>
  <c r="V627" i="2"/>
  <c r="V698" i="2"/>
  <c r="V751" i="2"/>
  <c r="V794" i="2"/>
  <c r="V836" i="2"/>
  <c r="V879" i="2"/>
  <c r="V922" i="2"/>
  <c r="V964" i="2"/>
  <c r="V1007" i="2"/>
  <c r="V1039" i="2"/>
  <c r="V1082" i="2"/>
  <c r="V1146" i="2"/>
  <c r="V1183" i="2"/>
  <c r="V1228" i="2"/>
  <c r="V84" i="2"/>
  <c r="V541" i="2"/>
  <c r="V628" i="2"/>
  <c r="V699" i="2"/>
  <c r="V752" i="2"/>
  <c r="V795" i="2"/>
  <c r="V837" i="2"/>
  <c r="V859" i="2"/>
  <c r="V912" i="2"/>
  <c r="V987" i="2"/>
  <c r="V35" i="2"/>
  <c r="V76" i="2"/>
  <c r="V116" i="2"/>
  <c r="V163" i="2"/>
  <c r="V204" i="2"/>
  <c r="V244" i="2"/>
  <c r="V291" i="2"/>
  <c r="V332" i="2"/>
  <c r="V372" i="2"/>
  <c r="V419" i="2"/>
  <c r="V460" i="2"/>
  <c r="V493" i="2"/>
  <c r="V516" i="2"/>
  <c r="V539" i="2"/>
  <c r="V557" i="2"/>
  <c r="V580" i="2"/>
  <c r="V603" i="2"/>
  <c r="V621" i="2"/>
  <c r="V644" i="2"/>
  <c r="V667" i="2"/>
  <c r="V685" i="2"/>
  <c r="V696" i="2"/>
  <c r="V707" i="2"/>
  <c r="V717" i="2"/>
  <c r="V728" i="2"/>
  <c r="V739" i="2"/>
  <c r="V749" i="2"/>
  <c r="V760" i="2"/>
  <c r="V771" i="2"/>
  <c r="V781" i="2"/>
  <c r="V792" i="2"/>
  <c r="V803" i="2"/>
  <c r="V813" i="2"/>
  <c r="V824" i="2"/>
  <c r="V835" i="2"/>
  <c r="V845" i="2"/>
  <c r="V856" i="2"/>
  <c r="V867" i="2"/>
  <c r="V877" i="2"/>
  <c r="V888" i="2"/>
  <c r="V899" i="2"/>
  <c r="V909" i="2"/>
  <c r="V920" i="2"/>
  <c r="V931" i="2"/>
  <c r="V941" i="2"/>
  <c r="V952" i="2"/>
  <c r="V963" i="2"/>
  <c r="V973" i="2"/>
  <c r="V984" i="2"/>
  <c r="V995" i="2"/>
  <c r="V1005" i="2"/>
  <c r="V1016" i="2"/>
  <c r="V1027" i="2"/>
  <c r="V1037" i="2"/>
  <c r="V1048" i="2"/>
  <c r="V1059" i="2"/>
  <c r="V1069" i="2"/>
  <c r="V1080" i="2"/>
  <c r="V1091" i="2"/>
  <c r="V1101" i="2"/>
  <c r="V1112" i="2"/>
  <c r="V1123" i="2"/>
  <c r="V1133" i="2"/>
  <c r="V1144" i="2"/>
  <c r="V1154" i="2"/>
  <c r="V1163" i="2"/>
  <c r="V1172" i="2"/>
  <c r="V1181" i="2"/>
  <c r="V1191" i="2"/>
  <c r="V1200" i="2"/>
  <c r="V1209" i="2"/>
  <c r="V1218" i="2"/>
  <c r="V1227" i="2"/>
  <c r="V1236" i="2"/>
  <c r="V1245" i="2"/>
  <c r="V1255" i="2"/>
  <c r="V43" i="2"/>
  <c r="V211" i="2"/>
  <c r="V299" i="2"/>
  <c r="V467" i="2"/>
  <c r="V518" i="2"/>
  <c r="V582" i="2"/>
  <c r="V646" i="2"/>
  <c r="V719" i="2"/>
  <c r="V783" i="2"/>
  <c r="V815" i="2"/>
  <c r="V858" i="2"/>
  <c r="V900" i="2"/>
  <c r="V943" i="2"/>
  <c r="V975" i="2"/>
  <c r="V1028" i="2"/>
  <c r="V1071" i="2"/>
  <c r="V1103" i="2"/>
  <c r="V1135" i="2"/>
  <c r="V1164" i="2"/>
  <c r="V1201" i="2"/>
  <c r="V1237" i="2"/>
  <c r="V44" i="2"/>
  <c r="V259" i="2"/>
  <c r="V300" i="2"/>
  <c r="V340" i="2"/>
  <c r="V387" i="2"/>
  <c r="V428" i="2"/>
  <c r="V468" i="2"/>
  <c r="V500" i="2"/>
  <c r="V523" i="2"/>
  <c r="V564" i="2"/>
  <c r="V587" i="2"/>
  <c r="V605" i="2"/>
  <c r="V669" i="2"/>
  <c r="V688" i="2"/>
  <c r="V720" i="2"/>
  <c r="V741" i="2"/>
  <c r="V763" i="2"/>
  <c r="V784" i="2"/>
  <c r="V805" i="2"/>
  <c r="V848" i="2"/>
  <c r="V901" i="2"/>
  <c r="V944" i="2"/>
  <c r="V1008" i="2"/>
  <c r="V1104" i="2"/>
  <c r="V1184" i="2"/>
  <c r="V1257" i="2"/>
  <c r="V1083" i="2"/>
  <c r="V1093" i="2"/>
  <c r="V1029" i="2"/>
  <c r="V1115" i="2"/>
  <c r="V1193" i="2"/>
  <c r="V1165" i="2"/>
  <c r="V1248" i="2"/>
  <c r="V1040" i="2"/>
  <c r="V1125" i="2"/>
  <c r="V1202" i="2"/>
  <c r="V1239" i="2"/>
  <c r="V1175" i="2"/>
  <c r="V1051" i="2"/>
  <c r="V1136" i="2"/>
  <c r="V1211" i="2"/>
  <c r="V1061" i="2"/>
  <c r="V1147" i="2"/>
  <c r="V1220" i="2"/>
  <c r="V1072" i="2"/>
  <c r="V1156" i="2"/>
  <c r="V1229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682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532" i="2"/>
  <c r="U11" i="2"/>
  <c r="U75" i="2"/>
  <c r="U139" i="2"/>
  <c r="U203" i="2"/>
  <c r="U267" i="2"/>
  <c r="U331" i="2"/>
  <c r="U395" i="2"/>
  <c r="U459" i="2"/>
  <c r="U523" i="2"/>
  <c r="U563" i="2"/>
  <c r="U595" i="2"/>
  <c r="U627" i="2"/>
  <c r="U659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U19" i="2"/>
  <c r="U83" i="2"/>
  <c r="U147" i="2"/>
  <c r="U211" i="2"/>
  <c r="U275" i="2"/>
  <c r="U339" i="2"/>
  <c r="U403" i="2"/>
  <c r="U467" i="2"/>
  <c r="U531" i="2"/>
  <c r="U564" i="2"/>
  <c r="U596" i="2"/>
  <c r="U628" i="2"/>
  <c r="U660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27" i="2"/>
  <c r="U91" i="2"/>
  <c r="U155" i="2"/>
  <c r="U219" i="2"/>
  <c r="U283" i="2"/>
  <c r="U347" i="2"/>
  <c r="U411" i="2"/>
  <c r="U475" i="2"/>
  <c r="U539" i="2"/>
  <c r="U571" i="2"/>
  <c r="U603" i="2"/>
  <c r="U635" i="2"/>
  <c r="U667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5" i="2"/>
  <c r="U99" i="2"/>
  <c r="U163" i="2"/>
  <c r="U227" i="2"/>
  <c r="U291" i="2"/>
  <c r="U355" i="2"/>
  <c r="U419" i="2"/>
  <c r="U483" i="2"/>
  <c r="U540" i="2"/>
  <c r="U572" i="2"/>
  <c r="U604" i="2"/>
  <c r="U636" i="2"/>
  <c r="U668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43" i="2"/>
  <c r="U107" i="2"/>
  <c r="U171" i="2"/>
  <c r="U235" i="2"/>
  <c r="U299" i="2"/>
  <c r="U363" i="2"/>
  <c r="U427" i="2"/>
  <c r="U491" i="2"/>
  <c r="U547" i="2"/>
  <c r="U579" i="2"/>
  <c r="U611" i="2"/>
  <c r="U643" i="2"/>
  <c r="U675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51" i="2"/>
  <c r="U115" i="2"/>
  <c r="U179" i="2"/>
  <c r="U243" i="2"/>
  <c r="U307" i="2"/>
  <c r="U371" i="2"/>
  <c r="U435" i="2"/>
  <c r="U499" i="2"/>
  <c r="U548" i="2"/>
  <c r="U580" i="2"/>
  <c r="U612" i="2"/>
  <c r="U644" i="2"/>
  <c r="U676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59" i="2"/>
  <c r="U123" i="2"/>
  <c r="U187" i="2"/>
  <c r="U251" i="2"/>
  <c r="U315" i="2"/>
  <c r="U379" i="2"/>
  <c r="U443" i="2"/>
  <c r="U507" i="2"/>
  <c r="U555" i="2"/>
  <c r="U587" i="2"/>
  <c r="U619" i="2"/>
  <c r="U651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67" i="2"/>
  <c r="U131" i="2"/>
  <c r="U195" i="2"/>
  <c r="U259" i="2"/>
  <c r="U323" i="2"/>
  <c r="U387" i="2"/>
  <c r="U451" i="2"/>
  <c r="U515" i="2"/>
  <c r="U556" i="2"/>
  <c r="U588" i="2"/>
  <c r="U620" i="2"/>
  <c r="U652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15" i="2"/>
  <c r="T28" i="2"/>
  <c r="T40" i="2"/>
  <c r="T54" i="2"/>
  <c r="T65" i="2"/>
  <c r="T79" i="2"/>
  <c r="T92" i="2"/>
  <c r="T104" i="2"/>
  <c r="T118" i="2"/>
  <c r="T129" i="2"/>
  <c r="T143" i="2"/>
  <c r="T156" i="2"/>
  <c r="T168" i="2"/>
  <c r="T182" i="2"/>
  <c r="T193" i="2"/>
  <c r="T207" i="2"/>
  <c r="T220" i="2"/>
  <c r="T232" i="2"/>
  <c r="T246" i="2"/>
  <c r="T257" i="2"/>
  <c r="T271" i="2"/>
  <c r="T284" i="2"/>
  <c r="T296" i="2"/>
  <c r="T310" i="2"/>
  <c r="T321" i="2"/>
  <c r="T335" i="2"/>
  <c r="T348" i="2"/>
  <c r="T360" i="2"/>
  <c r="T374" i="2"/>
  <c r="T385" i="2"/>
  <c r="T399" i="2"/>
  <c r="T412" i="2"/>
  <c r="T424" i="2"/>
  <c r="T438" i="2"/>
  <c r="T449" i="2"/>
  <c r="T463" i="2"/>
  <c r="T476" i="2"/>
  <c r="T488" i="2"/>
  <c r="T502" i="2"/>
  <c r="T513" i="2"/>
  <c r="T527" i="2"/>
  <c r="T540" i="2"/>
  <c r="T552" i="2"/>
  <c r="T566" i="2"/>
  <c r="T576" i="2"/>
  <c r="T587" i="2"/>
  <c r="T598" i="2"/>
  <c r="T608" i="2"/>
  <c r="T619" i="2"/>
  <c r="T630" i="2"/>
  <c r="T640" i="2"/>
  <c r="T650" i="2"/>
  <c r="T659" i="2"/>
  <c r="T668" i="2"/>
  <c r="T67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6" i="2"/>
  <c r="T20" i="2"/>
  <c r="T33" i="2"/>
  <c r="T48" i="2"/>
  <c r="T63" i="2"/>
  <c r="T78" i="2"/>
  <c r="T94" i="2"/>
  <c r="T108" i="2"/>
  <c r="T121" i="2"/>
  <c r="T136" i="2"/>
  <c r="T151" i="2"/>
  <c r="T166" i="2"/>
  <c r="T180" i="2"/>
  <c r="T196" i="2"/>
  <c r="T209" i="2"/>
  <c r="T224" i="2"/>
  <c r="T239" i="2"/>
  <c r="T254" i="2"/>
  <c r="T268" i="2"/>
  <c r="T281" i="2"/>
  <c r="T297" i="2"/>
  <c r="T312" i="2"/>
  <c r="T327" i="2"/>
  <c r="T342" i="2"/>
  <c r="T356" i="2"/>
  <c r="T369" i="2"/>
  <c r="T384" i="2"/>
  <c r="T400" i="2"/>
  <c r="T415" i="2"/>
  <c r="T430" i="2"/>
  <c r="T444" i="2"/>
  <c r="T457" i="2"/>
  <c r="T472" i="2"/>
  <c r="T487" i="2"/>
  <c r="T503" i="2"/>
  <c r="T518" i="2"/>
  <c r="T532" i="2"/>
  <c r="T545" i="2"/>
  <c r="T560" i="2"/>
  <c r="T574" i="2"/>
  <c r="T585" i="2"/>
  <c r="T599" i="2"/>
  <c r="T611" i="2"/>
  <c r="T623" i="2"/>
  <c r="T635" i="2"/>
  <c r="T647" i="2"/>
  <c r="T657" i="2"/>
  <c r="T667" i="2"/>
  <c r="T679" i="2"/>
  <c r="T688" i="2"/>
  <c r="T697" i="2"/>
  <c r="T706" i="2"/>
  <c r="T715" i="2"/>
  <c r="T724" i="2"/>
  <c r="T733" i="2"/>
  <c r="T743" i="2"/>
  <c r="T752" i="2"/>
  <c r="T761" i="2"/>
  <c r="T770" i="2"/>
  <c r="T779" i="2"/>
  <c r="T788" i="2"/>
  <c r="T797" i="2"/>
  <c r="T807" i="2"/>
  <c r="T816" i="2"/>
  <c r="T825" i="2"/>
  <c r="T834" i="2"/>
  <c r="T843" i="2"/>
  <c r="T852" i="2"/>
  <c r="T861" i="2"/>
  <c r="T871" i="2"/>
  <c r="T880" i="2"/>
  <c r="T889" i="2"/>
  <c r="T898" i="2"/>
  <c r="T907" i="2"/>
  <c r="T916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14" i="2"/>
  <c r="T30" i="2"/>
  <c r="T44" i="2"/>
  <c r="T57" i="2"/>
  <c r="T72" i="2"/>
  <c r="T87" i="2"/>
  <c r="T102" i="2"/>
  <c r="T116" i="2"/>
  <c r="T132" i="2"/>
  <c r="T145" i="2"/>
  <c r="T160" i="2"/>
  <c r="T175" i="2"/>
  <c r="T190" i="2"/>
  <c r="T204" i="2"/>
  <c r="T217" i="2"/>
  <c r="T233" i="2"/>
  <c r="T248" i="2"/>
  <c r="T263" i="2"/>
  <c r="T278" i="2"/>
  <c r="T292" i="2"/>
  <c r="T305" i="2"/>
  <c r="T320" i="2"/>
  <c r="T336" i="2"/>
  <c r="T351" i="2"/>
  <c r="T366" i="2"/>
  <c r="T380" i="2"/>
  <c r="T393" i="2"/>
  <c r="T408" i="2"/>
  <c r="T423" i="2"/>
  <c r="T439" i="2"/>
  <c r="T454" i="2"/>
  <c r="T468" i="2"/>
  <c r="T481" i="2"/>
  <c r="T496" i="2"/>
  <c r="T511" i="2"/>
  <c r="T526" i="2"/>
  <c r="T542" i="2"/>
  <c r="T556" i="2"/>
  <c r="T569" i="2"/>
  <c r="T582" i="2"/>
  <c r="T593" i="2"/>
  <c r="T606" i="2"/>
  <c r="T617" i="2"/>
  <c r="T631" i="2"/>
  <c r="T643" i="2"/>
  <c r="T654" i="2"/>
  <c r="T664" i="2"/>
  <c r="T674" i="2"/>
  <c r="T684" i="2"/>
  <c r="T693" i="2"/>
  <c r="T703" i="2"/>
  <c r="T712" i="2"/>
  <c r="T721" i="2"/>
  <c r="T730" i="2"/>
  <c r="T739" i="2"/>
  <c r="T748" i="2"/>
  <c r="T757" i="2"/>
  <c r="T767" i="2"/>
  <c r="T776" i="2"/>
  <c r="T785" i="2"/>
  <c r="T794" i="2"/>
  <c r="T803" i="2"/>
  <c r="T812" i="2"/>
  <c r="T821" i="2"/>
  <c r="T831" i="2"/>
  <c r="T840" i="2"/>
  <c r="T849" i="2"/>
  <c r="T858" i="2"/>
  <c r="T867" i="2"/>
  <c r="T876" i="2"/>
  <c r="T885" i="2"/>
  <c r="T895" i="2"/>
  <c r="T904" i="2"/>
  <c r="T913" i="2"/>
  <c r="T922" i="2"/>
  <c r="T930" i="2"/>
  <c r="T938" i="2"/>
  <c r="T946" i="2"/>
  <c r="T954" i="2"/>
  <c r="T962" i="2"/>
  <c r="T970" i="2"/>
  <c r="T978" i="2"/>
  <c r="T986" i="2"/>
  <c r="T994" i="2"/>
  <c r="T1002" i="2"/>
  <c r="T16" i="2"/>
  <c r="T31" i="2"/>
  <c r="T46" i="2"/>
  <c r="T60" i="2"/>
  <c r="T73" i="2"/>
  <c r="T88" i="2"/>
  <c r="T103" i="2"/>
  <c r="T119" i="2"/>
  <c r="T134" i="2"/>
  <c r="T148" i="2"/>
  <c r="T161" i="2"/>
  <c r="T176" i="2"/>
  <c r="T191" i="2"/>
  <c r="T206" i="2"/>
  <c r="T222" i="2"/>
  <c r="T236" i="2"/>
  <c r="T249" i="2"/>
  <c r="T264" i="2"/>
  <c r="T279" i="2"/>
  <c r="T294" i="2"/>
  <c r="T308" i="2"/>
  <c r="T324" i="2"/>
  <c r="T337" i="2"/>
  <c r="T352" i="2"/>
  <c r="T367" i="2"/>
  <c r="T382" i="2"/>
  <c r="T396" i="2"/>
  <c r="T409" i="2"/>
  <c r="T425" i="2"/>
  <c r="T440" i="2"/>
  <c r="T455" i="2"/>
  <c r="T470" i="2"/>
  <c r="T484" i="2"/>
  <c r="T497" i="2"/>
  <c r="T512" i="2"/>
  <c r="T528" i="2"/>
  <c r="T543" i="2"/>
  <c r="T558" i="2"/>
  <c r="T571" i="2"/>
  <c r="T583" i="2"/>
  <c r="T595" i="2"/>
  <c r="T607" i="2"/>
  <c r="T620" i="2"/>
  <c r="T632" i="2"/>
  <c r="T644" i="2"/>
  <c r="T655" i="2"/>
  <c r="T665" i="2"/>
  <c r="T675" i="2"/>
  <c r="T685" i="2"/>
  <c r="T695" i="2"/>
  <c r="T704" i="2"/>
  <c r="T713" i="2"/>
  <c r="T722" i="2"/>
  <c r="T731" i="2"/>
  <c r="T740" i="2"/>
  <c r="T749" i="2"/>
  <c r="T759" i="2"/>
  <c r="T768" i="2"/>
  <c r="T777" i="2"/>
  <c r="T786" i="2"/>
  <c r="T795" i="2"/>
  <c r="T804" i="2"/>
  <c r="T813" i="2"/>
  <c r="T823" i="2"/>
  <c r="T832" i="2"/>
  <c r="T841" i="2"/>
  <c r="T850" i="2"/>
  <c r="T859" i="2"/>
  <c r="T868" i="2"/>
  <c r="T877" i="2"/>
  <c r="T887" i="2"/>
  <c r="T896" i="2"/>
  <c r="T905" i="2"/>
  <c r="T914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7" i="2"/>
  <c r="T25" i="2"/>
  <c r="T52" i="2"/>
  <c r="T76" i="2"/>
  <c r="T97" i="2"/>
  <c r="T124" i="2"/>
  <c r="T144" i="2"/>
  <c r="T169" i="2"/>
  <c r="T192" i="2"/>
  <c r="T215" i="2"/>
  <c r="T240" i="2"/>
  <c r="T262" i="2"/>
  <c r="T287" i="2"/>
  <c r="T311" i="2"/>
  <c r="T332" i="2"/>
  <c r="T358" i="2"/>
  <c r="T377" i="2"/>
  <c r="T404" i="2"/>
  <c r="T428" i="2"/>
  <c r="T448" i="2"/>
  <c r="T473" i="2"/>
  <c r="T495" i="2"/>
  <c r="T520" i="2"/>
  <c r="T544" i="2"/>
  <c r="T567" i="2"/>
  <c r="T588" i="2"/>
  <c r="T604" i="2"/>
  <c r="T625" i="2"/>
  <c r="T646" i="2"/>
  <c r="T662" i="2"/>
  <c r="T680" i="2"/>
  <c r="T692" i="2"/>
  <c r="T708" i="2"/>
  <c r="T723" i="2"/>
  <c r="T737" i="2"/>
  <c r="T753" i="2"/>
  <c r="T765" i="2"/>
  <c r="T781" i="2"/>
  <c r="T796" i="2"/>
  <c r="T810" i="2"/>
  <c r="T826" i="2"/>
  <c r="T839" i="2"/>
  <c r="T855" i="2"/>
  <c r="T869" i="2"/>
  <c r="T883" i="2"/>
  <c r="T899" i="2"/>
  <c r="T912" i="2"/>
  <c r="T927" i="2"/>
  <c r="T940" i="2"/>
  <c r="T952" i="2"/>
  <c r="T966" i="2"/>
  <c r="T977" i="2"/>
  <c r="T991" i="2"/>
  <c r="T1004" i="2"/>
  <c r="T1015" i="2"/>
  <c r="T1024" i="2"/>
  <c r="T1033" i="2"/>
  <c r="T1042" i="2"/>
  <c r="T1051" i="2"/>
  <c r="T1060" i="2"/>
  <c r="T1070" i="2"/>
  <c r="T1079" i="2"/>
  <c r="T1088" i="2"/>
  <c r="T1097" i="2"/>
  <c r="T1106" i="2"/>
  <c r="T1115" i="2"/>
  <c r="T1124" i="2"/>
  <c r="T1134" i="2"/>
  <c r="T1143" i="2"/>
  <c r="T1152" i="2"/>
  <c r="T1161" i="2"/>
  <c r="T1170" i="2"/>
  <c r="T1179" i="2"/>
  <c r="T1188" i="2"/>
  <c r="T1198" i="2"/>
  <c r="T1207" i="2"/>
  <c r="T1216" i="2"/>
  <c r="T1225" i="2"/>
  <c r="T1234" i="2"/>
  <c r="T1243" i="2"/>
  <c r="T1252" i="2"/>
  <c r="T142" i="2"/>
  <c r="T676" i="2"/>
  <c r="T853" i="2"/>
  <c r="T990" i="2"/>
  <c r="T8" i="2"/>
  <c r="T32" i="2"/>
  <c r="T55" i="2"/>
  <c r="T80" i="2"/>
  <c r="T100" i="2"/>
  <c r="T126" i="2"/>
  <c r="T150" i="2"/>
  <c r="T172" i="2"/>
  <c r="T198" i="2"/>
  <c r="T216" i="2"/>
  <c r="T241" i="2"/>
  <c r="T265" i="2"/>
  <c r="T288" i="2"/>
  <c r="T313" i="2"/>
  <c r="T334" i="2"/>
  <c r="T359" i="2"/>
  <c r="T383" i="2"/>
  <c r="T406" i="2"/>
  <c r="T431" i="2"/>
  <c r="T452" i="2"/>
  <c r="T478" i="2"/>
  <c r="T500" i="2"/>
  <c r="T521" i="2"/>
  <c r="T548" i="2"/>
  <c r="T568" i="2"/>
  <c r="T590" i="2"/>
  <c r="T609" i="2"/>
  <c r="T627" i="2"/>
  <c r="T648" i="2"/>
  <c r="T663" i="2"/>
  <c r="T681" i="2"/>
  <c r="T696" i="2"/>
  <c r="T709" i="2"/>
  <c r="T725" i="2"/>
  <c r="T738" i="2"/>
  <c r="T754" i="2"/>
  <c r="T769" i="2"/>
  <c r="T783" i="2"/>
  <c r="T799" i="2"/>
  <c r="T811" i="2"/>
  <c r="T827" i="2"/>
  <c r="T842" i="2"/>
  <c r="T856" i="2"/>
  <c r="T872" i="2"/>
  <c r="T884" i="2"/>
  <c r="T900" i="2"/>
  <c r="T915" i="2"/>
  <c r="T928" i="2"/>
  <c r="T942" i="2"/>
  <c r="T953" i="2"/>
  <c r="T967" i="2"/>
  <c r="T980" i="2"/>
  <c r="T992" i="2"/>
  <c r="T1006" i="2"/>
  <c r="T1016" i="2"/>
  <c r="T1025" i="2"/>
  <c r="T1034" i="2"/>
  <c r="T1043" i="2"/>
  <c r="T1052" i="2"/>
  <c r="T1062" i="2"/>
  <c r="T1071" i="2"/>
  <c r="T1080" i="2"/>
  <c r="T1089" i="2"/>
  <c r="T1098" i="2"/>
  <c r="T1107" i="2"/>
  <c r="T1116" i="2"/>
  <c r="T1126" i="2"/>
  <c r="T1135" i="2"/>
  <c r="T1144" i="2"/>
  <c r="T1153" i="2"/>
  <c r="T1162" i="2"/>
  <c r="T1171" i="2"/>
  <c r="T1180" i="2"/>
  <c r="T1190" i="2"/>
  <c r="T1199" i="2"/>
  <c r="T1208" i="2"/>
  <c r="T1217" i="2"/>
  <c r="T1226" i="2"/>
  <c r="T1235" i="2"/>
  <c r="T1244" i="2"/>
  <c r="T1254" i="2"/>
  <c r="T96" i="2"/>
  <c r="T584" i="2"/>
  <c r="T793" i="2"/>
  <c r="T937" i="2"/>
  <c r="T9" i="2"/>
  <c r="T36" i="2"/>
  <c r="T56" i="2"/>
  <c r="T81" i="2"/>
  <c r="T105" i="2"/>
  <c r="T127" i="2"/>
  <c r="T152" i="2"/>
  <c r="T174" i="2"/>
  <c r="T199" i="2"/>
  <c r="T223" i="2"/>
  <c r="T244" i="2"/>
  <c r="T270" i="2"/>
  <c r="T289" i="2"/>
  <c r="T316" i="2"/>
  <c r="T340" i="2"/>
  <c r="T361" i="2"/>
  <c r="T388" i="2"/>
  <c r="T407" i="2"/>
  <c r="T432" i="2"/>
  <c r="T456" i="2"/>
  <c r="T479" i="2"/>
  <c r="T504" i="2"/>
  <c r="T524" i="2"/>
  <c r="T550" i="2"/>
  <c r="T572" i="2"/>
  <c r="T591" i="2"/>
  <c r="T612" i="2"/>
  <c r="T628" i="2"/>
  <c r="T649" i="2"/>
  <c r="T666" i="2"/>
  <c r="T682" i="2"/>
  <c r="T698" i="2"/>
  <c r="T711" i="2"/>
  <c r="T727" i="2"/>
  <c r="T741" i="2"/>
  <c r="T755" i="2"/>
  <c r="T771" i="2"/>
  <c r="T784" i="2"/>
  <c r="T800" i="2"/>
  <c r="T815" i="2"/>
  <c r="T828" i="2"/>
  <c r="T844" i="2"/>
  <c r="T857" i="2"/>
  <c r="T873" i="2"/>
  <c r="T888" i="2"/>
  <c r="T901" i="2"/>
  <c r="T917" i="2"/>
  <c r="T929" i="2"/>
  <c r="T943" i="2"/>
  <c r="T956" i="2"/>
  <c r="T968" i="2"/>
  <c r="T982" i="2"/>
  <c r="T993" i="2"/>
  <c r="T1007" i="2"/>
  <c r="T1017" i="2"/>
  <c r="T1026" i="2"/>
  <c r="T1035" i="2"/>
  <c r="T1044" i="2"/>
  <c r="T1054" i="2"/>
  <c r="T1063" i="2"/>
  <c r="T1072" i="2"/>
  <c r="T1081" i="2"/>
  <c r="T1090" i="2"/>
  <c r="T1099" i="2"/>
  <c r="T1108" i="2"/>
  <c r="T1118" i="2"/>
  <c r="T1127" i="2"/>
  <c r="T1136" i="2"/>
  <c r="T1145" i="2"/>
  <c r="T1154" i="2"/>
  <c r="T1163" i="2"/>
  <c r="T1172" i="2"/>
  <c r="T1182" i="2"/>
  <c r="T1191" i="2"/>
  <c r="T1200" i="2"/>
  <c r="T1209" i="2"/>
  <c r="T1218" i="2"/>
  <c r="T1227" i="2"/>
  <c r="T1236" i="2"/>
  <c r="T1246" i="2"/>
  <c r="T1255" i="2"/>
  <c r="T120" i="2"/>
  <c r="T603" i="2"/>
  <c r="T780" i="2"/>
  <c r="T926" i="2"/>
  <c r="T12" i="2"/>
  <c r="T38" i="2"/>
  <c r="T62" i="2"/>
  <c r="T84" i="2"/>
  <c r="T110" i="2"/>
  <c r="T128" i="2"/>
  <c r="T153" i="2"/>
  <c r="T177" i="2"/>
  <c r="T200" i="2"/>
  <c r="T225" i="2"/>
  <c r="T247" i="2"/>
  <c r="T272" i="2"/>
  <c r="T295" i="2"/>
  <c r="T318" i="2"/>
  <c r="T343" i="2"/>
  <c r="T364" i="2"/>
  <c r="T390" i="2"/>
  <c r="T414" i="2"/>
  <c r="T433" i="2"/>
  <c r="T460" i="2"/>
  <c r="T480" i="2"/>
  <c r="T505" i="2"/>
  <c r="T529" i="2"/>
  <c r="T551" i="2"/>
  <c r="T575" i="2"/>
  <c r="T592" i="2"/>
  <c r="T614" i="2"/>
  <c r="T633" i="2"/>
  <c r="T651" i="2"/>
  <c r="T670" i="2"/>
  <c r="T683" i="2"/>
  <c r="T699" i="2"/>
  <c r="T714" i="2"/>
  <c r="T728" i="2"/>
  <c r="T744" i="2"/>
  <c r="T756" i="2"/>
  <c r="T772" i="2"/>
  <c r="T787" i="2"/>
  <c r="T801" i="2"/>
  <c r="T817" i="2"/>
  <c r="T829" i="2"/>
  <c r="T845" i="2"/>
  <c r="T860" i="2"/>
  <c r="T874" i="2"/>
  <c r="T890" i="2"/>
  <c r="T903" i="2"/>
  <c r="T919" i="2"/>
  <c r="T932" i="2"/>
  <c r="T944" i="2"/>
  <c r="T958" i="2"/>
  <c r="T969" i="2"/>
  <c r="T983" i="2"/>
  <c r="T996" i="2"/>
  <c r="T1008" i="2"/>
  <c r="T1018" i="2"/>
  <c r="T1027" i="2"/>
  <c r="T1036" i="2"/>
  <c r="T1046" i="2"/>
  <c r="T1055" i="2"/>
  <c r="T1064" i="2"/>
  <c r="T1073" i="2"/>
  <c r="T1082" i="2"/>
  <c r="T1091" i="2"/>
  <c r="T1100" i="2"/>
  <c r="T1110" i="2"/>
  <c r="T1119" i="2"/>
  <c r="T1128" i="2"/>
  <c r="T1137" i="2"/>
  <c r="T1146" i="2"/>
  <c r="T1155" i="2"/>
  <c r="T1164" i="2"/>
  <c r="T1174" i="2"/>
  <c r="T1183" i="2"/>
  <c r="T1192" i="2"/>
  <c r="T1201" i="2"/>
  <c r="T1210" i="2"/>
  <c r="T1219" i="2"/>
  <c r="T1228" i="2"/>
  <c r="T1238" i="2"/>
  <c r="T1247" i="2"/>
  <c r="T1256" i="2"/>
  <c r="T17" i="2"/>
  <c r="T39" i="2"/>
  <c r="T64" i="2"/>
  <c r="T86" i="2"/>
  <c r="T111" i="2"/>
  <c r="T135" i="2"/>
  <c r="T158" i="2"/>
  <c r="T183" i="2"/>
  <c r="T201" i="2"/>
  <c r="T228" i="2"/>
  <c r="T252" i="2"/>
  <c r="T273" i="2"/>
  <c r="T300" i="2"/>
  <c r="T319" i="2"/>
  <c r="T344" i="2"/>
  <c r="T368" i="2"/>
  <c r="T391" i="2"/>
  <c r="T416" i="2"/>
  <c r="T436" i="2"/>
  <c r="T462" i="2"/>
  <c r="T486" i="2"/>
  <c r="T508" i="2"/>
  <c r="T534" i="2"/>
  <c r="T553" i="2"/>
  <c r="T577" i="2"/>
  <c r="T596" i="2"/>
  <c r="T615" i="2"/>
  <c r="T636" i="2"/>
  <c r="T652" i="2"/>
  <c r="T671" i="2"/>
  <c r="T687" i="2"/>
  <c r="T700" i="2"/>
  <c r="T716" i="2"/>
  <c r="T729" i="2"/>
  <c r="T745" i="2"/>
  <c r="T760" i="2"/>
  <c r="T773" i="2"/>
  <c r="T789" i="2"/>
  <c r="T802" i="2"/>
  <c r="T818" i="2"/>
  <c r="T833" i="2"/>
  <c r="T847" i="2"/>
  <c r="T863" i="2"/>
  <c r="T875" i="2"/>
  <c r="T891" i="2"/>
  <c r="T906" i="2"/>
  <c r="T920" i="2"/>
  <c r="T934" i="2"/>
  <c r="T945" i="2"/>
  <c r="T959" i="2"/>
  <c r="T972" i="2"/>
  <c r="T984" i="2"/>
  <c r="T998" i="2"/>
  <c r="T1009" i="2"/>
  <c r="T1019" i="2"/>
  <c r="T1028" i="2"/>
  <c r="T1038" i="2"/>
  <c r="T1047" i="2"/>
  <c r="T1056" i="2"/>
  <c r="T1065" i="2"/>
  <c r="T1074" i="2"/>
  <c r="T1083" i="2"/>
  <c r="T1092" i="2"/>
  <c r="T1102" i="2"/>
  <c r="T1111" i="2"/>
  <c r="T1120" i="2"/>
  <c r="T1129" i="2"/>
  <c r="T1138" i="2"/>
  <c r="T1147" i="2"/>
  <c r="T1156" i="2"/>
  <c r="T1166" i="2"/>
  <c r="T1175" i="2"/>
  <c r="T1184" i="2"/>
  <c r="T1193" i="2"/>
  <c r="T1202" i="2"/>
  <c r="T1211" i="2"/>
  <c r="T1220" i="2"/>
  <c r="T1230" i="2"/>
  <c r="T1239" i="2"/>
  <c r="T1248" i="2"/>
  <c r="T1257" i="2"/>
  <c r="T71" i="2"/>
  <c r="T660" i="2"/>
  <c r="T837" i="2"/>
  <c r="T964" i="2"/>
  <c r="T22" i="2"/>
  <c r="T41" i="2"/>
  <c r="T68" i="2"/>
  <c r="T89" i="2"/>
  <c r="T112" i="2"/>
  <c r="T137" i="2"/>
  <c r="T159" i="2"/>
  <c r="T184" i="2"/>
  <c r="T208" i="2"/>
  <c r="T230" i="2"/>
  <c r="T255" i="2"/>
  <c r="T276" i="2"/>
  <c r="T302" i="2"/>
  <c r="T326" i="2"/>
  <c r="T345" i="2"/>
  <c r="T372" i="2"/>
  <c r="T392" i="2"/>
  <c r="T417" i="2"/>
  <c r="T441" i="2"/>
  <c r="T464" i="2"/>
  <c r="T489" i="2"/>
  <c r="T510" i="2"/>
  <c r="T535" i="2"/>
  <c r="T559" i="2"/>
  <c r="T579" i="2"/>
  <c r="T600" i="2"/>
  <c r="T616" i="2"/>
  <c r="T638" i="2"/>
  <c r="T656" i="2"/>
  <c r="T672" i="2"/>
  <c r="T689" i="2"/>
  <c r="T701" i="2"/>
  <c r="T717" i="2"/>
  <c r="T732" i="2"/>
  <c r="T746" i="2"/>
  <c r="T762" i="2"/>
  <c r="T775" i="2"/>
  <c r="T791" i="2"/>
  <c r="T805" i="2"/>
  <c r="T819" i="2"/>
  <c r="T835" i="2"/>
  <c r="T848" i="2"/>
  <c r="T864" i="2"/>
  <c r="T879" i="2"/>
  <c r="T892" i="2"/>
  <c r="T908" i="2"/>
  <c r="T921" i="2"/>
  <c r="T935" i="2"/>
  <c r="T948" i="2"/>
  <c r="T960" i="2"/>
  <c r="T974" i="2"/>
  <c r="T985" i="2"/>
  <c r="T999" i="2"/>
  <c r="T1010" i="2"/>
  <c r="T1020" i="2"/>
  <c r="T1030" i="2"/>
  <c r="T1039" i="2"/>
  <c r="T1048" i="2"/>
  <c r="T1057" i="2"/>
  <c r="T1066" i="2"/>
  <c r="T1075" i="2"/>
  <c r="T1084" i="2"/>
  <c r="T1094" i="2"/>
  <c r="T1103" i="2"/>
  <c r="T1112" i="2"/>
  <c r="T1121" i="2"/>
  <c r="T1130" i="2"/>
  <c r="T1139" i="2"/>
  <c r="T1148" i="2"/>
  <c r="T1158" i="2"/>
  <c r="T1167" i="2"/>
  <c r="T1176" i="2"/>
  <c r="T1185" i="2"/>
  <c r="T1194" i="2"/>
  <c r="T1203" i="2"/>
  <c r="T1212" i="2"/>
  <c r="T1222" i="2"/>
  <c r="T1231" i="2"/>
  <c r="T1240" i="2"/>
  <c r="T1249" i="2"/>
  <c r="T1258" i="2"/>
  <c r="V54" i="1" s="1"/>
  <c r="AC10" i="2" s="1"/>
  <c r="T49" i="2"/>
  <c r="T167" i="2"/>
  <c r="T214" i="2"/>
  <c r="T260" i="2"/>
  <c r="T304" i="2"/>
  <c r="T353" i="2"/>
  <c r="T401" i="2"/>
  <c r="T447" i="2"/>
  <c r="T494" i="2"/>
  <c r="T537" i="2"/>
  <c r="T624" i="2"/>
  <c r="T691" i="2"/>
  <c r="T720" i="2"/>
  <c r="T751" i="2"/>
  <c r="T809" i="2"/>
  <c r="T866" i="2"/>
  <c r="T897" i="2"/>
  <c r="T951" i="2"/>
  <c r="T1001" i="2"/>
  <c r="T1041" i="2"/>
  <c r="T23" i="2"/>
  <c r="T47" i="2"/>
  <c r="T70" i="2"/>
  <c r="T95" i="2"/>
  <c r="T113" i="2"/>
  <c r="T140" i="2"/>
  <c r="T164" i="2"/>
  <c r="T185" i="2"/>
  <c r="T212" i="2"/>
  <c r="T231" i="2"/>
  <c r="T256" i="2"/>
  <c r="T280" i="2"/>
  <c r="T303" i="2"/>
  <c r="T328" i="2"/>
  <c r="T350" i="2"/>
  <c r="T375" i="2"/>
  <c r="T398" i="2"/>
  <c r="T420" i="2"/>
  <c r="T446" i="2"/>
  <c r="T465" i="2"/>
  <c r="T492" i="2"/>
  <c r="T516" i="2"/>
  <c r="T536" i="2"/>
  <c r="T561" i="2"/>
  <c r="T580" i="2"/>
  <c r="T601" i="2"/>
  <c r="T622" i="2"/>
  <c r="T639" i="2"/>
  <c r="T658" i="2"/>
  <c r="T673" i="2"/>
  <c r="T690" i="2"/>
  <c r="T705" i="2"/>
  <c r="T719" i="2"/>
  <c r="T735" i="2"/>
  <c r="T747" i="2"/>
  <c r="T763" i="2"/>
  <c r="T778" i="2"/>
  <c r="T792" i="2"/>
  <c r="T808" i="2"/>
  <c r="T820" i="2"/>
  <c r="T836" i="2"/>
  <c r="T851" i="2"/>
  <c r="T865" i="2"/>
  <c r="T881" i="2"/>
  <c r="T893" i="2"/>
  <c r="T909" i="2"/>
  <c r="T924" i="2"/>
  <c r="T936" i="2"/>
  <c r="T950" i="2"/>
  <c r="T961" i="2"/>
  <c r="T975" i="2"/>
  <c r="T988" i="2"/>
  <c r="T1000" i="2"/>
  <c r="T1012" i="2"/>
  <c r="T1022" i="2"/>
  <c r="T1031" i="2"/>
  <c r="T1040" i="2"/>
  <c r="T1049" i="2"/>
  <c r="T1058" i="2"/>
  <c r="T1067" i="2"/>
  <c r="T1076" i="2"/>
  <c r="T1086" i="2"/>
  <c r="T1095" i="2"/>
  <c r="T1104" i="2"/>
  <c r="T1113" i="2"/>
  <c r="T1122" i="2"/>
  <c r="T1131" i="2"/>
  <c r="T1140" i="2"/>
  <c r="T1150" i="2"/>
  <c r="T1159" i="2"/>
  <c r="T1168" i="2"/>
  <c r="T1177" i="2"/>
  <c r="T1186" i="2"/>
  <c r="T1195" i="2"/>
  <c r="T1204" i="2"/>
  <c r="T1214" i="2"/>
  <c r="T1223" i="2"/>
  <c r="T1232" i="2"/>
  <c r="T1241" i="2"/>
  <c r="T1250" i="2"/>
  <c r="T24" i="2"/>
  <c r="T188" i="2"/>
  <c r="T238" i="2"/>
  <c r="T286" i="2"/>
  <c r="T329" i="2"/>
  <c r="T376" i="2"/>
  <c r="T422" i="2"/>
  <c r="T471" i="2"/>
  <c r="T519" i="2"/>
  <c r="T564" i="2"/>
  <c r="T641" i="2"/>
  <c r="T707" i="2"/>
  <c r="T736" i="2"/>
  <c r="T764" i="2"/>
  <c r="T824" i="2"/>
  <c r="T882" i="2"/>
  <c r="T911" i="2"/>
  <c r="T976" i="2"/>
  <c r="T1014" i="2"/>
  <c r="T1050" i="2"/>
  <c r="T1023" i="2"/>
  <c r="T1114" i="2"/>
  <c r="T1187" i="2"/>
  <c r="T1032" i="2"/>
  <c r="T1196" i="2"/>
  <c r="T1059" i="2"/>
  <c r="T1132" i="2"/>
  <c r="T1068" i="2"/>
  <c r="T1142" i="2"/>
  <c r="T1215" i="2"/>
  <c r="T1242" i="2"/>
  <c r="T1078" i="2"/>
  <c r="T1151" i="2"/>
  <c r="T1224" i="2"/>
  <c r="T1169" i="2"/>
  <c r="T1087" i="2"/>
  <c r="T1160" i="2"/>
  <c r="T1233" i="2"/>
  <c r="T1096" i="2"/>
  <c r="T1206" i="2"/>
  <c r="T1105" i="2"/>
  <c r="T1178" i="2"/>
  <c r="T1251" i="2"/>
  <c r="T1123" i="2"/>
  <c r="S5" i="2"/>
  <c r="S13" i="2"/>
  <c r="S21" i="2"/>
  <c r="S29" i="2"/>
  <c r="S37" i="2"/>
  <c r="S45" i="2"/>
  <c r="S53" i="2"/>
  <c r="S61" i="2"/>
  <c r="S6" i="2"/>
  <c r="S14" i="2"/>
  <c r="S22" i="2"/>
  <c r="S30" i="2"/>
  <c r="S38" i="2"/>
  <c r="S46" i="2"/>
  <c r="S54" i="2"/>
  <c r="S62" i="2"/>
  <c r="S70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17" i="2"/>
  <c r="S40" i="2"/>
  <c r="S59" i="2"/>
  <c r="S77" i="2"/>
  <c r="S89" i="2"/>
  <c r="S102" i="2"/>
  <c r="S115" i="2"/>
  <c r="S128" i="2"/>
  <c r="S141" i="2"/>
  <c r="S153" i="2"/>
  <c r="S166" i="2"/>
  <c r="S179" i="2"/>
  <c r="S192" i="2"/>
  <c r="S205" i="2"/>
  <c r="S217" i="2"/>
  <c r="S230" i="2"/>
  <c r="S243" i="2"/>
  <c r="S256" i="2"/>
  <c r="S269" i="2"/>
  <c r="S281" i="2"/>
  <c r="S294" i="2"/>
  <c r="S307" i="2"/>
  <c r="S320" i="2"/>
  <c r="S333" i="2"/>
  <c r="S345" i="2"/>
  <c r="S358" i="2"/>
  <c r="S371" i="2"/>
  <c r="S384" i="2"/>
  <c r="S397" i="2"/>
  <c r="S409" i="2"/>
  <c r="S422" i="2"/>
  <c r="S435" i="2"/>
  <c r="S448" i="2"/>
  <c r="S461" i="2"/>
  <c r="S473" i="2"/>
  <c r="S486" i="2"/>
  <c r="S499" i="2"/>
  <c r="S512" i="2"/>
  <c r="S525" i="2"/>
  <c r="S537" i="2"/>
  <c r="S550" i="2"/>
  <c r="S563" i="2"/>
  <c r="S576" i="2"/>
  <c r="S589" i="2"/>
  <c r="S601" i="2"/>
  <c r="S614" i="2"/>
  <c r="S627" i="2"/>
  <c r="S637" i="2"/>
  <c r="S648" i="2"/>
  <c r="S659" i="2"/>
  <c r="S669" i="2"/>
  <c r="S680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19" i="2"/>
  <c r="S41" i="2"/>
  <c r="S64" i="2"/>
  <c r="S78" i="2"/>
  <c r="S91" i="2"/>
  <c r="S104" i="2"/>
  <c r="S117" i="2"/>
  <c r="S129" i="2"/>
  <c r="S142" i="2"/>
  <c r="S155" i="2"/>
  <c r="S168" i="2"/>
  <c r="S181" i="2"/>
  <c r="S193" i="2"/>
  <c r="S206" i="2"/>
  <c r="S219" i="2"/>
  <c r="S232" i="2"/>
  <c r="S245" i="2"/>
  <c r="S257" i="2"/>
  <c r="S270" i="2"/>
  <c r="S283" i="2"/>
  <c r="S296" i="2"/>
  <c r="S309" i="2"/>
  <c r="S321" i="2"/>
  <c r="S334" i="2"/>
  <c r="S347" i="2"/>
  <c r="S360" i="2"/>
  <c r="S373" i="2"/>
  <c r="S385" i="2"/>
  <c r="S398" i="2"/>
  <c r="S411" i="2"/>
  <c r="S424" i="2"/>
  <c r="S437" i="2"/>
  <c r="S449" i="2"/>
  <c r="S462" i="2"/>
  <c r="S475" i="2"/>
  <c r="S488" i="2"/>
  <c r="S501" i="2"/>
  <c r="S513" i="2"/>
  <c r="S526" i="2"/>
  <c r="S539" i="2"/>
  <c r="S552" i="2"/>
  <c r="S565" i="2"/>
  <c r="S577" i="2"/>
  <c r="S590" i="2"/>
  <c r="S603" i="2"/>
  <c r="S616" i="2"/>
  <c r="S628" i="2"/>
  <c r="S638" i="2"/>
  <c r="S649" i="2"/>
  <c r="S660" i="2"/>
  <c r="S670" i="2"/>
  <c r="S681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24" i="2"/>
  <c r="S43" i="2"/>
  <c r="S65" i="2"/>
  <c r="S80" i="2"/>
  <c r="S93" i="2"/>
  <c r="S105" i="2"/>
  <c r="S118" i="2"/>
  <c r="S131" i="2"/>
  <c r="S144" i="2"/>
  <c r="S157" i="2"/>
  <c r="S169" i="2"/>
  <c r="S182" i="2"/>
  <c r="S195" i="2"/>
  <c r="S208" i="2"/>
  <c r="S221" i="2"/>
  <c r="S233" i="2"/>
  <c r="S246" i="2"/>
  <c r="S259" i="2"/>
  <c r="S272" i="2"/>
  <c r="S285" i="2"/>
  <c r="S297" i="2"/>
  <c r="S310" i="2"/>
  <c r="S323" i="2"/>
  <c r="S336" i="2"/>
  <c r="S349" i="2"/>
  <c r="S361" i="2"/>
  <c r="S374" i="2"/>
  <c r="S387" i="2"/>
  <c r="S400" i="2"/>
  <c r="S413" i="2"/>
  <c r="S425" i="2"/>
  <c r="S438" i="2"/>
  <c r="S451" i="2"/>
  <c r="S464" i="2"/>
  <c r="S477" i="2"/>
  <c r="S489" i="2"/>
  <c r="S502" i="2"/>
  <c r="S515" i="2"/>
  <c r="S528" i="2"/>
  <c r="S541" i="2"/>
  <c r="S553" i="2"/>
  <c r="S566" i="2"/>
  <c r="S579" i="2"/>
  <c r="S592" i="2"/>
  <c r="S605" i="2"/>
  <c r="S617" i="2"/>
  <c r="S629" i="2"/>
  <c r="S640" i="2"/>
  <c r="S651" i="2"/>
  <c r="S661" i="2"/>
  <c r="S672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25" i="2"/>
  <c r="S56" i="2"/>
  <c r="S83" i="2"/>
  <c r="S101" i="2"/>
  <c r="S123" i="2"/>
  <c r="S145" i="2"/>
  <c r="S163" i="2"/>
  <c r="S185" i="2"/>
  <c r="S203" i="2"/>
  <c r="S225" i="2"/>
  <c r="S248" i="2"/>
  <c r="S265" i="2"/>
  <c r="S288" i="2"/>
  <c r="S305" i="2"/>
  <c r="S328" i="2"/>
  <c r="S350" i="2"/>
  <c r="S368" i="2"/>
  <c r="S390" i="2"/>
  <c r="S408" i="2"/>
  <c r="S430" i="2"/>
  <c r="S453" i="2"/>
  <c r="S470" i="2"/>
  <c r="S493" i="2"/>
  <c r="S510" i="2"/>
  <c r="S533" i="2"/>
  <c r="S555" i="2"/>
  <c r="S573" i="2"/>
  <c r="S595" i="2"/>
  <c r="S613" i="2"/>
  <c r="S633" i="2"/>
  <c r="S652" i="2"/>
  <c r="S667" i="2"/>
  <c r="S685" i="2"/>
  <c r="S696" i="2"/>
  <c r="S710" i="2"/>
  <c r="S724" i="2"/>
  <c r="S735" i="2"/>
  <c r="S749" i="2"/>
  <c r="S760" i="2"/>
  <c r="S774" i="2"/>
  <c r="S788" i="2"/>
  <c r="S799" i="2"/>
  <c r="S813" i="2"/>
  <c r="S824" i="2"/>
  <c r="S838" i="2"/>
  <c r="S851" i="2"/>
  <c r="S861" i="2"/>
  <c r="S871" i="2"/>
  <c r="S883" i="2"/>
  <c r="S893" i="2"/>
  <c r="S903" i="2"/>
  <c r="S915" i="2"/>
  <c r="S925" i="2"/>
  <c r="S935" i="2"/>
  <c r="S947" i="2"/>
  <c r="S956" i="2"/>
  <c r="S965" i="2"/>
  <c r="S974" i="2"/>
  <c r="S983" i="2"/>
  <c r="S992" i="2"/>
  <c r="S1001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27" i="2"/>
  <c r="S57" i="2"/>
  <c r="S85" i="2"/>
  <c r="S107" i="2"/>
  <c r="S125" i="2"/>
  <c r="S147" i="2"/>
  <c r="S165" i="2"/>
  <c r="S187" i="2"/>
  <c r="S209" i="2"/>
  <c r="S227" i="2"/>
  <c r="S249" i="2"/>
  <c r="S267" i="2"/>
  <c r="S289" i="2"/>
  <c r="S312" i="2"/>
  <c r="S329" i="2"/>
  <c r="S352" i="2"/>
  <c r="S369" i="2"/>
  <c r="S392" i="2"/>
  <c r="S414" i="2"/>
  <c r="S432" i="2"/>
  <c r="S454" i="2"/>
  <c r="S472" i="2"/>
  <c r="S494" i="2"/>
  <c r="S517" i="2"/>
  <c r="S534" i="2"/>
  <c r="S557" i="2"/>
  <c r="S574" i="2"/>
  <c r="S597" i="2"/>
  <c r="S619" i="2"/>
  <c r="S635" i="2"/>
  <c r="S653" i="2"/>
  <c r="S668" i="2"/>
  <c r="S686" i="2"/>
  <c r="S700" i="2"/>
  <c r="S711" i="2"/>
  <c r="S725" i="2"/>
  <c r="S736" i="2"/>
  <c r="S750" i="2"/>
  <c r="S764" i="2"/>
  <c r="S775" i="2"/>
  <c r="S789" i="2"/>
  <c r="S800" i="2"/>
  <c r="S814" i="2"/>
  <c r="S828" i="2"/>
  <c r="S839" i="2"/>
  <c r="S852" i="2"/>
  <c r="S862" i="2"/>
  <c r="S872" i="2"/>
  <c r="S884" i="2"/>
  <c r="S894" i="2"/>
  <c r="S904" i="2"/>
  <c r="S916" i="2"/>
  <c r="S926" i="2"/>
  <c r="S936" i="2"/>
  <c r="S948" i="2"/>
  <c r="S957" i="2"/>
  <c r="S966" i="2"/>
  <c r="S975" i="2"/>
  <c r="S984" i="2"/>
  <c r="S993" i="2"/>
  <c r="S1003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32" i="2"/>
  <c r="S67" i="2"/>
  <c r="S86" i="2"/>
  <c r="S109" i="2"/>
  <c r="S126" i="2"/>
  <c r="S149" i="2"/>
  <c r="S171" i="2"/>
  <c r="S189" i="2"/>
  <c r="S211" i="2"/>
  <c r="S229" i="2"/>
  <c r="S251" i="2"/>
  <c r="S273" i="2"/>
  <c r="S291" i="2"/>
  <c r="S313" i="2"/>
  <c r="S331" i="2"/>
  <c r="S353" i="2"/>
  <c r="S376" i="2"/>
  <c r="S393" i="2"/>
  <c r="S416" i="2"/>
  <c r="S433" i="2"/>
  <c r="S456" i="2"/>
  <c r="S478" i="2"/>
  <c r="S496" i="2"/>
  <c r="S518" i="2"/>
  <c r="S536" i="2"/>
  <c r="S558" i="2"/>
  <c r="S581" i="2"/>
  <c r="S598" i="2"/>
  <c r="S621" i="2"/>
  <c r="S636" i="2"/>
  <c r="S654" i="2"/>
  <c r="S673" i="2"/>
  <c r="S687" i="2"/>
  <c r="S701" i="2"/>
  <c r="S712" i="2"/>
  <c r="S726" i="2"/>
  <c r="S740" i="2"/>
  <c r="S751" i="2"/>
  <c r="S765" i="2"/>
  <c r="S776" i="2"/>
  <c r="S790" i="2"/>
  <c r="S804" i="2"/>
  <c r="S815" i="2"/>
  <c r="S829" i="2"/>
  <c r="S840" i="2"/>
  <c r="S853" i="2"/>
  <c r="S863" i="2"/>
  <c r="S875" i="2"/>
  <c r="S885" i="2"/>
  <c r="S895" i="2"/>
  <c r="S907" i="2"/>
  <c r="S917" i="2"/>
  <c r="S927" i="2"/>
  <c r="S939" i="2"/>
  <c r="S949" i="2"/>
  <c r="S958" i="2"/>
  <c r="S967" i="2"/>
  <c r="S976" i="2"/>
  <c r="S985" i="2"/>
  <c r="S995" i="2"/>
  <c r="S1004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8" i="2"/>
  <c r="S51" i="2"/>
  <c r="S96" i="2"/>
  <c r="S133" i="2"/>
  <c r="S160" i="2"/>
  <c r="S197" i="2"/>
  <c r="S224" i="2"/>
  <c r="S261" i="2"/>
  <c r="S293" i="2"/>
  <c r="S325" i="2"/>
  <c r="S357" i="2"/>
  <c r="S389" i="2"/>
  <c r="S421" i="2"/>
  <c r="S457" i="2"/>
  <c r="S485" i="2"/>
  <c r="S521" i="2"/>
  <c r="S549" i="2"/>
  <c r="S585" i="2"/>
  <c r="S622" i="2"/>
  <c r="S645" i="2"/>
  <c r="S676" i="2"/>
  <c r="S695" i="2"/>
  <c r="S718" i="2"/>
  <c r="S741" i="2"/>
  <c r="S758" i="2"/>
  <c r="S781" i="2"/>
  <c r="S798" i="2"/>
  <c r="S821" i="2"/>
  <c r="S844" i="2"/>
  <c r="S859" i="2"/>
  <c r="S877" i="2"/>
  <c r="S892" i="2"/>
  <c r="S910" i="2"/>
  <c r="S928" i="2"/>
  <c r="S943" i="2"/>
  <c r="S960" i="2"/>
  <c r="S973" i="2"/>
  <c r="S989" i="2"/>
  <c r="S1005" i="2"/>
  <c r="S1017" i="2"/>
  <c r="S1031" i="2"/>
  <c r="S1042" i="2"/>
  <c r="S1056" i="2"/>
  <c r="S1070" i="2"/>
  <c r="S1081" i="2"/>
  <c r="S1095" i="2"/>
  <c r="S1106" i="2"/>
  <c r="S1120" i="2"/>
  <c r="S1134" i="2"/>
  <c r="S1145" i="2"/>
  <c r="S1159" i="2"/>
  <c r="S1170" i="2"/>
  <c r="S1184" i="2"/>
  <c r="S1198" i="2"/>
  <c r="S1208" i="2"/>
  <c r="S1217" i="2"/>
  <c r="S1226" i="2"/>
  <c r="S1236" i="2"/>
  <c r="S1245" i="2"/>
  <c r="S1254" i="2"/>
  <c r="S9" i="2"/>
  <c r="S69" i="2"/>
  <c r="S97" i="2"/>
  <c r="S134" i="2"/>
  <c r="S161" i="2"/>
  <c r="S198" i="2"/>
  <c r="S235" i="2"/>
  <c r="S262" i="2"/>
  <c r="S299" i="2"/>
  <c r="S326" i="2"/>
  <c r="S363" i="2"/>
  <c r="S395" i="2"/>
  <c r="S427" i="2"/>
  <c r="S459" i="2"/>
  <c r="S491" i="2"/>
  <c r="S523" i="2"/>
  <c r="S560" i="2"/>
  <c r="S587" i="2"/>
  <c r="S624" i="2"/>
  <c r="S646" i="2"/>
  <c r="S677" i="2"/>
  <c r="S702" i="2"/>
  <c r="S719" i="2"/>
  <c r="S742" i="2"/>
  <c r="S759" i="2"/>
  <c r="S782" i="2"/>
  <c r="S805" i="2"/>
  <c r="S822" i="2"/>
  <c r="S845" i="2"/>
  <c r="S860" i="2"/>
  <c r="S878" i="2"/>
  <c r="S896" i="2"/>
  <c r="S911" i="2"/>
  <c r="S931" i="2"/>
  <c r="S944" i="2"/>
  <c r="S961" i="2"/>
  <c r="S977" i="2"/>
  <c r="S990" i="2"/>
  <c r="S1006" i="2"/>
  <c r="S1018" i="2"/>
  <c r="S1032" i="2"/>
  <c r="S1046" i="2"/>
  <c r="S1057" i="2"/>
  <c r="S1071" i="2"/>
  <c r="S1082" i="2"/>
  <c r="S1096" i="2"/>
  <c r="S1110" i="2"/>
  <c r="S1121" i="2"/>
  <c r="S1135" i="2"/>
  <c r="S1146" i="2"/>
  <c r="S1160" i="2"/>
  <c r="S1174" i="2"/>
  <c r="S1185" i="2"/>
  <c r="S1199" i="2"/>
  <c r="S1209" i="2"/>
  <c r="S1218" i="2"/>
  <c r="S1228" i="2"/>
  <c r="S1237" i="2"/>
  <c r="S1246" i="2"/>
  <c r="S1255" i="2"/>
  <c r="S11" i="2"/>
  <c r="S72" i="2"/>
  <c r="S99" i="2"/>
  <c r="S136" i="2"/>
  <c r="S173" i="2"/>
  <c r="S200" i="2"/>
  <c r="S237" i="2"/>
  <c r="S264" i="2"/>
  <c r="S301" i="2"/>
  <c r="S337" i="2"/>
  <c r="S365" i="2"/>
  <c r="S401" i="2"/>
  <c r="S429" i="2"/>
  <c r="S465" i="2"/>
  <c r="S497" i="2"/>
  <c r="S529" i="2"/>
  <c r="S561" i="2"/>
  <c r="S593" i="2"/>
  <c r="S625" i="2"/>
  <c r="S656" i="2"/>
  <c r="S678" i="2"/>
  <c r="S703" i="2"/>
  <c r="S720" i="2"/>
  <c r="S743" i="2"/>
  <c r="S766" i="2"/>
  <c r="S783" i="2"/>
  <c r="S806" i="2"/>
  <c r="S823" i="2"/>
  <c r="S846" i="2"/>
  <c r="S864" i="2"/>
  <c r="S879" i="2"/>
  <c r="S899" i="2"/>
  <c r="S912" i="2"/>
  <c r="S932" i="2"/>
  <c r="S950" i="2"/>
  <c r="S963" i="2"/>
  <c r="S979" i="2"/>
  <c r="S991" i="2"/>
  <c r="S1007" i="2"/>
  <c r="S1022" i="2"/>
  <c r="S1033" i="2"/>
  <c r="S1047" i="2"/>
  <c r="S1058" i="2"/>
  <c r="S1072" i="2"/>
  <c r="S1086" i="2"/>
  <c r="S1097" i="2"/>
  <c r="S1111" i="2"/>
  <c r="S1122" i="2"/>
  <c r="S1136" i="2"/>
  <c r="S1150" i="2"/>
  <c r="S1161" i="2"/>
  <c r="S1175" i="2"/>
  <c r="S1186" i="2"/>
  <c r="S1200" i="2"/>
  <c r="S1210" i="2"/>
  <c r="S1220" i="2"/>
  <c r="S1229" i="2"/>
  <c r="S1238" i="2"/>
  <c r="S1247" i="2"/>
  <c r="S1256" i="2"/>
  <c r="S16" i="2"/>
  <c r="S73" i="2"/>
  <c r="S110" i="2"/>
  <c r="S137" i="2"/>
  <c r="S174" i="2"/>
  <c r="S201" i="2"/>
  <c r="S238" i="2"/>
  <c r="S275" i="2"/>
  <c r="S302" i="2"/>
  <c r="S339" i="2"/>
  <c r="S366" i="2"/>
  <c r="S403" i="2"/>
  <c r="S440" i="2"/>
  <c r="S467" i="2"/>
  <c r="S504" i="2"/>
  <c r="S531" i="2"/>
  <c r="S568" i="2"/>
  <c r="S600" i="2"/>
  <c r="S630" i="2"/>
  <c r="S657" i="2"/>
  <c r="S684" i="2"/>
  <c r="S704" i="2"/>
  <c r="S727" i="2"/>
  <c r="S744" i="2"/>
  <c r="S767" i="2"/>
  <c r="S784" i="2"/>
  <c r="S807" i="2"/>
  <c r="S830" i="2"/>
  <c r="S847" i="2"/>
  <c r="S867" i="2"/>
  <c r="S880" i="2"/>
  <c r="S900" i="2"/>
  <c r="S918" i="2"/>
  <c r="S933" i="2"/>
  <c r="S951" i="2"/>
  <c r="S964" i="2"/>
  <c r="S980" i="2"/>
  <c r="S996" i="2"/>
  <c r="S1008" i="2"/>
  <c r="S1023" i="2"/>
  <c r="S1034" i="2"/>
  <c r="S1048" i="2"/>
  <c r="S1062" i="2"/>
  <c r="S1073" i="2"/>
  <c r="S1087" i="2"/>
  <c r="S1098" i="2"/>
  <c r="S1112" i="2"/>
  <c r="S1126" i="2"/>
  <c r="S1137" i="2"/>
  <c r="S1151" i="2"/>
  <c r="S1162" i="2"/>
  <c r="S1176" i="2"/>
  <c r="S1190" i="2"/>
  <c r="S1201" i="2"/>
  <c r="S1212" i="2"/>
  <c r="S1221" i="2"/>
  <c r="S1230" i="2"/>
  <c r="S1239" i="2"/>
  <c r="S1248" i="2"/>
  <c r="S1257" i="2"/>
  <c r="S121" i="2"/>
  <c r="S520" i="2"/>
  <c r="S717" i="2"/>
  <c r="S856" i="2"/>
  <c r="S942" i="2"/>
  <c r="S1030" i="2"/>
  <c r="S1105" i="2"/>
  <c r="S1158" i="2"/>
  <c r="S1216" i="2"/>
  <c r="S33" i="2"/>
  <c r="S75" i="2"/>
  <c r="S112" i="2"/>
  <c r="S139" i="2"/>
  <c r="S176" i="2"/>
  <c r="S213" i="2"/>
  <c r="S240" i="2"/>
  <c r="S277" i="2"/>
  <c r="S304" i="2"/>
  <c r="S341" i="2"/>
  <c r="S377" i="2"/>
  <c r="S405" i="2"/>
  <c r="S441" i="2"/>
  <c r="S469" i="2"/>
  <c r="S505" i="2"/>
  <c r="S542" i="2"/>
  <c r="S569" i="2"/>
  <c r="S606" i="2"/>
  <c r="S632" i="2"/>
  <c r="S662" i="2"/>
  <c r="S688" i="2"/>
  <c r="S708" i="2"/>
  <c r="S728" i="2"/>
  <c r="S748" i="2"/>
  <c r="S768" i="2"/>
  <c r="S791" i="2"/>
  <c r="S808" i="2"/>
  <c r="S831" i="2"/>
  <c r="S848" i="2"/>
  <c r="S868" i="2"/>
  <c r="S886" i="2"/>
  <c r="S901" i="2"/>
  <c r="S919" i="2"/>
  <c r="S934" i="2"/>
  <c r="S952" i="2"/>
  <c r="S968" i="2"/>
  <c r="S981" i="2"/>
  <c r="S997" i="2"/>
  <c r="S1009" i="2"/>
  <c r="S1024" i="2"/>
  <c r="S1038" i="2"/>
  <c r="S1049" i="2"/>
  <c r="S1063" i="2"/>
  <c r="S1074" i="2"/>
  <c r="S1088" i="2"/>
  <c r="S1102" i="2"/>
  <c r="S1113" i="2"/>
  <c r="S1127" i="2"/>
  <c r="S1138" i="2"/>
  <c r="S1152" i="2"/>
  <c r="S1166" i="2"/>
  <c r="S1177" i="2"/>
  <c r="S1191" i="2"/>
  <c r="S1202" i="2"/>
  <c r="S1213" i="2"/>
  <c r="S1222" i="2"/>
  <c r="S1231" i="2"/>
  <c r="S1240" i="2"/>
  <c r="S1249" i="2"/>
  <c r="S1258" i="2"/>
  <c r="V53" i="1" s="1"/>
  <c r="AC9" i="2" s="1"/>
  <c r="S158" i="2"/>
  <c r="S820" i="2"/>
  <c r="S988" i="2"/>
  <c r="S1094" i="2"/>
  <c r="S1169" i="2"/>
  <c r="S1244" i="2"/>
  <c r="S35" i="2"/>
  <c r="S81" i="2"/>
  <c r="S113" i="2"/>
  <c r="S150" i="2"/>
  <c r="S177" i="2"/>
  <c r="S214" i="2"/>
  <c r="S241" i="2"/>
  <c r="S278" i="2"/>
  <c r="S315" i="2"/>
  <c r="S342" i="2"/>
  <c r="S379" i="2"/>
  <c r="S406" i="2"/>
  <c r="S443" i="2"/>
  <c r="S480" i="2"/>
  <c r="S507" i="2"/>
  <c r="S544" i="2"/>
  <c r="S571" i="2"/>
  <c r="S608" i="2"/>
  <c r="S641" i="2"/>
  <c r="S664" i="2"/>
  <c r="S692" i="2"/>
  <c r="S709" i="2"/>
  <c r="S732" i="2"/>
  <c r="S752" i="2"/>
  <c r="S772" i="2"/>
  <c r="S792" i="2"/>
  <c r="S812" i="2"/>
  <c r="S832" i="2"/>
  <c r="S854" i="2"/>
  <c r="S869" i="2"/>
  <c r="S887" i="2"/>
  <c r="S902" i="2"/>
  <c r="S920" i="2"/>
  <c r="S940" i="2"/>
  <c r="S953" i="2"/>
  <c r="S969" i="2"/>
  <c r="S982" i="2"/>
  <c r="S998" i="2"/>
  <c r="S1014" i="2"/>
  <c r="S1025" i="2"/>
  <c r="S1039" i="2"/>
  <c r="S1050" i="2"/>
  <c r="S1064" i="2"/>
  <c r="S1078" i="2"/>
  <c r="S1089" i="2"/>
  <c r="S1103" i="2"/>
  <c r="S1114" i="2"/>
  <c r="S1128" i="2"/>
  <c r="S1142" i="2"/>
  <c r="S1153" i="2"/>
  <c r="S1167" i="2"/>
  <c r="S1178" i="2"/>
  <c r="S1192" i="2"/>
  <c r="S1205" i="2"/>
  <c r="S1214" i="2"/>
  <c r="S1223" i="2"/>
  <c r="S1232" i="2"/>
  <c r="S1241" i="2"/>
  <c r="S1250" i="2"/>
  <c r="S94" i="2"/>
  <c r="S190" i="2"/>
  <c r="S254" i="2"/>
  <c r="S318" i="2"/>
  <c r="S419" i="2"/>
  <c r="S483" i="2"/>
  <c r="S584" i="2"/>
  <c r="S644" i="2"/>
  <c r="S694" i="2"/>
  <c r="S757" i="2"/>
  <c r="S797" i="2"/>
  <c r="S876" i="2"/>
  <c r="S909" i="2"/>
  <c r="S959" i="2"/>
  <c r="S1000" i="2"/>
  <c r="S1041" i="2"/>
  <c r="S1066" i="2"/>
  <c r="S1119" i="2"/>
  <c r="S1144" i="2"/>
  <c r="S1194" i="2"/>
  <c r="S1225" i="2"/>
  <c r="S1253" i="2"/>
  <c r="S48" i="2"/>
  <c r="S88" i="2"/>
  <c r="S120" i="2"/>
  <c r="S152" i="2"/>
  <c r="S184" i="2"/>
  <c r="S216" i="2"/>
  <c r="S253" i="2"/>
  <c r="S280" i="2"/>
  <c r="S317" i="2"/>
  <c r="S344" i="2"/>
  <c r="S381" i="2"/>
  <c r="S417" i="2"/>
  <c r="S445" i="2"/>
  <c r="S481" i="2"/>
  <c r="S509" i="2"/>
  <c r="S545" i="2"/>
  <c r="S582" i="2"/>
  <c r="S609" i="2"/>
  <c r="S643" i="2"/>
  <c r="S665" i="2"/>
  <c r="S693" i="2"/>
  <c r="S716" i="2"/>
  <c r="S733" i="2"/>
  <c r="S756" i="2"/>
  <c r="S773" i="2"/>
  <c r="S796" i="2"/>
  <c r="S816" i="2"/>
  <c r="S836" i="2"/>
  <c r="S855" i="2"/>
  <c r="S870" i="2"/>
  <c r="S888" i="2"/>
  <c r="S908" i="2"/>
  <c r="S923" i="2"/>
  <c r="S941" i="2"/>
  <c r="S955" i="2"/>
  <c r="S971" i="2"/>
  <c r="S987" i="2"/>
  <c r="S999" i="2"/>
  <c r="S1015" i="2"/>
  <c r="S1026" i="2"/>
  <c r="S1040" i="2"/>
  <c r="S1054" i="2"/>
  <c r="S1065" i="2"/>
  <c r="S1079" i="2"/>
  <c r="S1090" i="2"/>
  <c r="S1104" i="2"/>
  <c r="S1118" i="2"/>
  <c r="S1129" i="2"/>
  <c r="S1143" i="2"/>
  <c r="S1154" i="2"/>
  <c r="S1168" i="2"/>
  <c r="S1182" i="2"/>
  <c r="S1193" i="2"/>
  <c r="S1206" i="2"/>
  <c r="S1215" i="2"/>
  <c r="S1224" i="2"/>
  <c r="S1233" i="2"/>
  <c r="S1242" i="2"/>
  <c r="S1252" i="2"/>
  <c r="S49" i="2"/>
  <c r="S222" i="2"/>
  <c r="S286" i="2"/>
  <c r="S355" i="2"/>
  <c r="S382" i="2"/>
  <c r="S446" i="2"/>
  <c r="S547" i="2"/>
  <c r="S611" i="2"/>
  <c r="S675" i="2"/>
  <c r="S734" i="2"/>
  <c r="S780" i="2"/>
  <c r="S837" i="2"/>
  <c r="S891" i="2"/>
  <c r="S924" i="2"/>
  <c r="S972" i="2"/>
  <c r="S1016" i="2"/>
  <c r="S1055" i="2"/>
  <c r="S1080" i="2"/>
  <c r="S1130" i="2"/>
  <c r="S1183" i="2"/>
  <c r="S1207" i="2"/>
  <c r="S1234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16" i="2"/>
  <c r="R39" i="2"/>
  <c r="R59" i="2"/>
  <c r="R80" i="2"/>
  <c r="R103" i="2"/>
  <c r="R123" i="2"/>
  <c r="R144" i="2"/>
  <c r="R167" i="2"/>
  <c r="R187" i="2"/>
  <c r="R208" i="2"/>
  <c r="R231" i="2"/>
  <c r="R248" i="2"/>
  <c r="R262" i="2"/>
  <c r="R275" i="2"/>
  <c r="R287" i="2"/>
  <c r="R301" i="2"/>
  <c r="R312" i="2"/>
  <c r="R326" i="2"/>
  <c r="R339" i="2"/>
  <c r="R351" i="2"/>
  <c r="R365" i="2"/>
  <c r="R376" i="2"/>
  <c r="R390" i="2"/>
  <c r="R403" i="2"/>
  <c r="R415" i="2"/>
  <c r="R429" i="2"/>
  <c r="R440" i="2"/>
  <c r="R454" i="2"/>
  <c r="R467" i="2"/>
  <c r="R479" i="2"/>
  <c r="R493" i="2"/>
  <c r="R504" i="2"/>
  <c r="R518" i="2"/>
  <c r="R531" i="2"/>
  <c r="R543" i="2"/>
  <c r="R557" i="2"/>
  <c r="R568" i="2"/>
  <c r="R582" i="2"/>
  <c r="R595" i="2"/>
  <c r="R607" i="2"/>
  <c r="R621" i="2"/>
  <c r="R632" i="2"/>
  <c r="R646" i="2"/>
  <c r="R658" i="2"/>
  <c r="R669" i="2"/>
  <c r="R678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19" i="2"/>
  <c r="R40" i="2"/>
  <c r="R63" i="2"/>
  <c r="R83" i="2"/>
  <c r="R104" i="2"/>
  <c r="R127" i="2"/>
  <c r="R147" i="2"/>
  <c r="R168" i="2"/>
  <c r="R191" i="2"/>
  <c r="R211" i="2"/>
  <c r="R232" i="2"/>
  <c r="R251" i="2"/>
  <c r="R263" i="2"/>
  <c r="R277" i="2"/>
  <c r="R288" i="2"/>
  <c r="R302" i="2"/>
  <c r="R315" i="2"/>
  <c r="R327" i="2"/>
  <c r="R341" i="2"/>
  <c r="R352" i="2"/>
  <c r="R366" i="2"/>
  <c r="R379" i="2"/>
  <c r="R391" i="2"/>
  <c r="R405" i="2"/>
  <c r="R416" i="2"/>
  <c r="R430" i="2"/>
  <c r="R443" i="2"/>
  <c r="R455" i="2"/>
  <c r="R469" i="2"/>
  <c r="R480" i="2"/>
  <c r="R494" i="2"/>
  <c r="R507" i="2"/>
  <c r="R519" i="2"/>
  <c r="R533" i="2"/>
  <c r="R544" i="2"/>
  <c r="R558" i="2"/>
  <c r="R571" i="2"/>
  <c r="R583" i="2"/>
  <c r="R597" i="2"/>
  <c r="R608" i="2"/>
  <c r="R622" i="2"/>
  <c r="R635" i="2"/>
  <c r="R647" i="2"/>
  <c r="R659" i="2"/>
  <c r="R670" i="2"/>
  <c r="R679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23" i="2"/>
  <c r="R43" i="2"/>
  <c r="R64" i="2"/>
  <c r="R87" i="2"/>
  <c r="R107" i="2"/>
  <c r="R128" i="2"/>
  <c r="R151" i="2"/>
  <c r="R171" i="2"/>
  <c r="R192" i="2"/>
  <c r="R215" i="2"/>
  <c r="R235" i="2"/>
  <c r="R253" i="2"/>
  <c r="R264" i="2"/>
  <c r="R278" i="2"/>
  <c r="R291" i="2"/>
  <c r="R303" i="2"/>
  <c r="R317" i="2"/>
  <c r="R328" i="2"/>
  <c r="R342" i="2"/>
  <c r="R355" i="2"/>
  <c r="R367" i="2"/>
  <c r="R381" i="2"/>
  <c r="R392" i="2"/>
  <c r="R406" i="2"/>
  <c r="R419" i="2"/>
  <c r="R431" i="2"/>
  <c r="R445" i="2"/>
  <c r="R456" i="2"/>
  <c r="R470" i="2"/>
  <c r="R483" i="2"/>
  <c r="R495" i="2"/>
  <c r="R509" i="2"/>
  <c r="R520" i="2"/>
  <c r="R534" i="2"/>
  <c r="R547" i="2"/>
  <c r="R559" i="2"/>
  <c r="R573" i="2"/>
  <c r="R584" i="2"/>
  <c r="R598" i="2"/>
  <c r="R611" i="2"/>
  <c r="R623" i="2"/>
  <c r="R637" i="2"/>
  <c r="R648" i="2"/>
  <c r="R661" i="2"/>
  <c r="R671" i="2"/>
  <c r="R680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11" i="2"/>
  <c r="R48" i="2"/>
  <c r="R79" i="2"/>
  <c r="R115" i="2"/>
  <c r="R152" i="2"/>
  <c r="R183" i="2"/>
  <c r="R219" i="2"/>
  <c r="R247" i="2"/>
  <c r="R270" i="2"/>
  <c r="R293" i="2"/>
  <c r="R310" i="2"/>
  <c r="R333" i="2"/>
  <c r="R350" i="2"/>
  <c r="R373" i="2"/>
  <c r="R395" i="2"/>
  <c r="R413" i="2"/>
  <c r="R435" i="2"/>
  <c r="R453" i="2"/>
  <c r="R475" i="2"/>
  <c r="R496" i="2"/>
  <c r="R515" i="2"/>
  <c r="R536" i="2"/>
  <c r="R555" i="2"/>
  <c r="R576" i="2"/>
  <c r="R599" i="2"/>
  <c r="R616" i="2"/>
  <c r="R639" i="2"/>
  <c r="R656" i="2"/>
  <c r="R674" i="2"/>
  <c r="R690" i="2"/>
  <c r="R701" i="2"/>
  <c r="R715" i="2"/>
  <c r="R726" i="2"/>
  <c r="R740" i="2"/>
  <c r="R754" i="2"/>
  <c r="R765" i="2"/>
  <c r="R779" i="2"/>
  <c r="R790" i="2"/>
  <c r="R804" i="2"/>
  <c r="R818" i="2"/>
  <c r="R828" i="2"/>
  <c r="R838" i="2"/>
  <c r="R849" i="2"/>
  <c r="R858" i="2"/>
  <c r="R867" i="2"/>
  <c r="R876" i="2"/>
  <c r="R885" i="2"/>
  <c r="R894" i="2"/>
  <c r="R904" i="2"/>
  <c r="R913" i="2"/>
  <c r="R922" i="2"/>
  <c r="R931" i="2"/>
  <c r="R940" i="2"/>
  <c r="R949" i="2"/>
  <c r="R958" i="2"/>
  <c r="R968" i="2"/>
  <c r="R977" i="2"/>
  <c r="R986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5" i="2"/>
  <c r="R51" i="2"/>
  <c r="R88" i="2"/>
  <c r="R119" i="2"/>
  <c r="R155" i="2"/>
  <c r="R184" i="2"/>
  <c r="R223" i="2"/>
  <c r="R254" i="2"/>
  <c r="R271" i="2"/>
  <c r="R294" i="2"/>
  <c r="R311" i="2"/>
  <c r="R334" i="2"/>
  <c r="R357" i="2"/>
  <c r="R374" i="2"/>
  <c r="R397" i="2"/>
  <c r="R414" i="2"/>
  <c r="R437" i="2"/>
  <c r="R459" i="2"/>
  <c r="R477" i="2"/>
  <c r="R499" i="2"/>
  <c r="R517" i="2"/>
  <c r="R539" i="2"/>
  <c r="R560" i="2"/>
  <c r="R579" i="2"/>
  <c r="R600" i="2"/>
  <c r="R619" i="2"/>
  <c r="R640" i="2"/>
  <c r="R662" i="2"/>
  <c r="R675" i="2"/>
  <c r="R691" i="2"/>
  <c r="R702" i="2"/>
  <c r="R716" i="2"/>
  <c r="R730" i="2"/>
  <c r="R741" i="2"/>
  <c r="R755" i="2"/>
  <c r="R766" i="2"/>
  <c r="R780" i="2"/>
  <c r="R794" i="2"/>
  <c r="R805" i="2"/>
  <c r="R819" i="2"/>
  <c r="R829" i="2"/>
  <c r="R841" i="2"/>
  <c r="R850" i="2"/>
  <c r="R859" i="2"/>
  <c r="R868" i="2"/>
  <c r="R877" i="2"/>
  <c r="R886" i="2"/>
  <c r="R896" i="2"/>
  <c r="R905" i="2"/>
  <c r="R914" i="2"/>
  <c r="R923" i="2"/>
  <c r="R932" i="2"/>
  <c r="R941" i="2"/>
  <c r="R950" i="2"/>
  <c r="R960" i="2"/>
  <c r="R969" i="2"/>
  <c r="R978" i="2"/>
  <c r="R987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24" i="2"/>
  <c r="R55" i="2"/>
  <c r="R91" i="2"/>
  <c r="R120" i="2"/>
  <c r="R159" i="2"/>
  <c r="R195" i="2"/>
  <c r="R224" i="2"/>
  <c r="R255" i="2"/>
  <c r="R272" i="2"/>
  <c r="R295" i="2"/>
  <c r="R318" i="2"/>
  <c r="R335" i="2"/>
  <c r="R358" i="2"/>
  <c r="R375" i="2"/>
  <c r="R398" i="2"/>
  <c r="R421" i="2"/>
  <c r="R438" i="2"/>
  <c r="R461" i="2"/>
  <c r="R478" i="2"/>
  <c r="R501" i="2"/>
  <c r="R523" i="2"/>
  <c r="R541" i="2"/>
  <c r="R563" i="2"/>
  <c r="R581" i="2"/>
  <c r="R603" i="2"/>
  <c r="R624" i="2"/>
  <c r="R643" i="2"/>
  <c r="R663" i="2"/>
  <c r="R677" i="2"/>
  <c r="R692" i="2"/>
  <c r="R706" i="2"/>
  <c r="R717" i="2"/>
  <c r="R731" i="2"/>
  <c r="R742" i="2"/>
  <c r="R756" i="2"/>
  <c r="R770" i="2"/>
  <c r="R781" i="2"/>
  <c r="R795" i="2"/>
  <c r="R806" i="2"/>
  <c r="R820" i="2"/>
  <c r="R830" i="2"/>
  <c r="R842" i="2"/>
  <c r="R851" i="2"/>
  <c r="R860" i="2"/>
  <c r="R869" i="2"/>
  <c r="R878" i="2"/>
  <c r="R888" i="2"/>
  <c r="R897" i="2"/>
  <c r="R906" i="2"/>
  <c r="R915" i="2"/>
  <c r="R924" i="2"/>
  <c r="R933" i="2"/>
  <c r="R942" i="2"/>
  <c r="R952" i="2"/>
  <c r="R961" i="2"/>
  <c r="R970" i="2"/>
  <c r="R979" i="2"/>
  <c r="R988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27" i="2"/>
  <c r="R56" i="2"/>
  <c r="R95" i="2"/>
  <c r="R131" i="2"/>
  <c r="R160" i="2"/>
  <c r="R199" i="2"/>
  <c r="R227" i="2"/>
  <c r="R256" i="2"/>
  <c r="R279" i="2"/>
  <c r="R296" i="2"/>
  <c r="R319" i="2"/>
  <c r="R336" i="2"/>
  <c r="R359" i="2"/>
  <c r="R382" i="2"/>
  <c r="R399" i="2"/>
  <c r="R422" i="2"/>
  <c r="R439" i="2"/>
  <c r="R462" i="2"/>
  <c r="R485" i="2"/>
  <c r="R502" i="2"/>
  <c r="R525" i="2"/>
  <c r="R542" i="2"/>
  <c r="R565" i="2"/>
  <c r="R587" i="2"/>
  <c r="R605" i="2"/>
  <c r="R627" i="2"/>
  <c r="R645" i="2"/>
  <c r="R664" i="2"/>
  <c r="R681" i="2"/>
  <c r="R693" i="2"/>
  <c r="R707" i="2"/>
  <c r="R718" i="2"/>
  <c r="R732" i="2"/>
  <c r="R746" i="2"/>
  <c r="R757" i="2"/>
  <c r="R771" i="2"/>
  <c r="R782" i="2"/>
  <c r="R796" i="2"/>
  <c r="R810" i="2"/>
  <c r="R821" i="2"/>
  <c r="R833" i="2"/>
  <c r="R843" i="2"/>
  <c r="R852" i="2"/>
  <c r="R861" i="2"/>
  <c r="R870" i="2"/>
  <c r="R880" i="2"/>
  <c r="R889" i="2"/>
  <c r="R898" i="2"/>
  <c r="R907" i="2"/>
  <c r="R916" i="2"/>
  <c r="R925" i="2"/>
  <c r="R934" i="2"/>
  <c r="R944" i="2"/>
  <c r="R953" i="2"/>
  <c r="R962" i="2"/>
  <c r="R971" i="2"/>
  <c r="R980" i="2"/>
  <c r="R989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31" i="2"/>
  <c r="R67" i="2"/>
  <c r="R96" i="2"/>
  <c r="R135" i="2"/>
  <c r="R163" i="2"/>
  <c r="R200" i="2"/>
  <c r="R239" i="2"/>
  <c r="R259" i="2"/>
  <c r="R280" i="2"/>
  <c r="R299" i="2"/>
  <c r="R320" i="2"/>
  <c r="R343" i="2"/>
  <c r="R360" i="2"/>
  <c r="R383" i="2"/>
  <c r="R400" i="2"/>
  <c r="R423" i="2"/>
  <c r="R446" i="2"/>
  <c r="R463" i="2"/>
  <c r="R486" i="2"/>
  <c r="R503" i="2"/>
  <c r="R526" i="2"/>
  <c r="R549" i="2"/>
  <c r="R566" i="2"/>
  <c r="R589" i="2"/>
  <c r="R606" i="2"/>
  <c r="R629" i="2"/>
  <c r="R651" i="2"/>
  <c r="R666" i="2"/>
  <c r="R682" i="2"/>
  <c r="R694" i="2"/>
  <c r="R708" i="2"/>
  <c r="R722" i="2"/>
  <c r="R733" i="2"/>
  <c r="R747" i="2"/>
  <c r="R758" i="2"/>
  <c r="R772" i="2"/>
  <c r="R786" i="2"/>
  <c r="R797" i="2"/>
  <c r="R811" i="2"/>
  <c r="R822" i="2"/>
  <c r="R834" i="2"/>
  <c r="R844" i="2"/>
  <c r="R853" i="2"/>
  <c r="R862" i="2"/>
  <c r="R872" i="2"/>
  <c r="R881" i="2"/>
  <c r="R890" i="2"/>
  <c r="R899" i="2"/>
  <c r="R908" i="2"/>
  <c r="R917" i="2"/>
  <c r="R926" i="2"/>
  <c r="R936" i="2"/>
  <c r="R945" i="2"/>
  <c r="R954" i="2"/>
  <c r="R963" i="2"/>
  <c r="R972" i="2"/>
  <c r="R981" i="2"/>
  <c r="R990" i="2"/>
  <c r="R999" i="2"/>
  <c r="R1007" i="2"/>
  <c r="R1015" i="2"/>
  <c r="R1023" i="2"/>
  <c r="R1031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7" i="2"/>
  <c r="R179" i="2"/>
  <c r="R267" i="2"/>
  <c r="R323" i="2"/>
  <c r="R371" i="2"/>
  <c r="R427" i="2"/>
  <c r="R487" i="2"/>
  <c r="R535" i="2"/>
  <c r="R591" i="2"/>
  <c r="R653" i="2"/>
  <c r="R686" i="2"/>
  <c r="R724" i="2"/>
  <c r="R762" i="2"/>
  <c r="R789" i="2"/>
  <c r="R826" i="2"/>
  <c r="R854" i="2"/>
  <c r="R875" i="2"/>
  <c r="R901" i="2"/>
  <c r="R928" i="2"/>
  <c r="R948" i="2"/>
  <c r="R974" i="2"/>
  <c r="R1000" i="2"/>
  <c r="R1018" i="2"/>
  <c r="R1041" i="2"/>
  <c r="R1064" i="2"/>
  <c r="R1082" i="2"/>
  <c r="R1105" i="2"/>
  <c r="R1128" i="2"/>
  <c r="R1146" i="2"/>
  <c r="R1169" i="2"/>
  <c r="R1192" i="2"/>
  <c r="R1204" i="2"/>
  <c r="R1215" i="2"/>
  <c r="R1224" i="2"/>
  <c r="R1233" i="2"/>
  <c r="R1242" i="2"/>
  <c r="R1251" i="2"/>
  <c r="R930" i="2"/>
  <c r="R363" i="2"/>
  <c r="R920" i="2"/>
  <c r="R1162" i="2"/>
  <c r="R8" i="2"/>
  <c r="R111" i="2"/>
  <c r="R203" i="2"/>
  <c r="R269" i="2"/>
  <c r="R325" i="2"/>
  <c r="R384" i="2"/>
  <c r="R432" i="2"/>
  <c r="R488" i="2"/>
  <c r="R550" i="2"/>
  <c r="R592" i="2"/>
  <c r="R654" i="2"/>
  <c r="R698" i="2"/>
  <c r="R725" i="2"/>
  <c r="R763" i="2"/>
  <c r="R798" i="2"/>
  <c r="R827" i="2"/>
  <c r="R856" i="2"/>
  <c r="R882" i="2"/>
  <c r="R902" i="2"/>
  <c r="R929" i="2"/>
  <c r="R955" i="2"/>
  <c r="R976" i="2"/>
  <c r="R1001" i="2"/>
  <c r="R1024" i="2"/>
  <c r="R1042" i="2"/>
  <c r="R1065" i="2"/>
  <c r="R1088" i="2"/>
  <c r="R1106" i="2"/>
  <c r="R1129" i="2"/>
  <c r="R1152" i="2"/>
  <c r="R1170" i="2"/>
  <c r="R1193" i="2"/>
  <c r="R1207" i="2"/>
  <c r="R1216" i="2"/>
  <c r="R1225" i="2"/>
  <c r="R1234" i="2"/>
  <c r="R1243" i="2"/>
  <c r="R1252" i="2"/>
  <c r="R909" i="2"/>
  <c r="R307" i="2"/>
  <c r="R946" i="2"/>
  <c r="R1144" i="2"/>
  <c r="R1258" i="2"/>
  <c r="V52" i="1" s="1"/>
  <c r="AC8" i="2" s="1"/>
  <c r="R32" i="2"/>
  <c r="R112" i="2"/>
  <c r="R207" i="2"/>
  <c r="R283" i="2"/>
  <c r="R331" i="2"/>
  <c r="R387" i="2"/>
  <c r="R447" i="2"/>
  <c r="R491" i="2"/>
  <c r="R551" i="2"/>
  <c r="R613" i="2"/>
  <c r="R655" i="2"/>
  <c r="R699" i="2"/>
  <c r="R734" i="2"/>
  <c r="R764" i="2"/>
  <c r="R802" i="2"/>
  <c r="R835" i="2"/>
  <c r="R857" i="2"/>
  <c r="R883" i="2"/>
  <c r="R956" i="2"/>
  <c r="R982" i="2"/>
  <c r="R1002" i="2"/>
  <c r="R1025" i="2"/>
  <c r="R1048" i="2"/>
  <c r="R1066" i="2"/>
  <c r="R1112" i="2"/>
  <c r="R1130" i="2"/>
  <c r="R1153" i="2"/>
  <c r="R1176" i="2"/>
  <c r="R1194" i="2"/>
  <c r="R1208" i="2"/>
  <c r="R1217" i="2"/>
  <c r="R1226" i="2"/>
  <c r="R1235" i="2"/>
  <c r="R1244" i="2"/>
  <c r="R1254" i="2"/>
  <c r="R245" i="2"/>
  <c r="R527" i="2"/>
  <c r="R631" i="2"/>
  <c r="R683" i="2"/>
  <c r="R749" i="2"/>
  <c r="R814" i="2"/>
  <c r="R873" i="2"/>
  <c r="R966" i="2"/>
  <c r="R1016" i="2"/>
  <c r="R1057" i="2"/>
  <c r="R1121" i="2"/>
  <c r="R1202" i="2"/>
  <c r="R1222" i="2"/>
  <c r="R1240" i="2"/>
  <c r="R35" i="2"/>
  <c r="R136" i="2"/>
  <c r="R216" i="2"/>
  <c r="R285" i="2"/>
  <c r="R344" i="2"/>
  <c r="R389" i="2"/>
  <c r="R448" i="2"/>
  <c r="R510" i="2"/>
  <c r="R552" i="2"/>
  <c r="R614" i="2"/>
  <c r="R667" i="2"/>
  <c r="R700" i="2"/>
  <c r="R738" i="2"/>
  <c r="R773" i="2"/>
  <c r="R803" i="2"/>
  <c r="R836" i="2"/>
  <c r="R864" i="2"/>
  <c r="R884" i="2"/>
  <c r="R910" i="2"/>
  <c r="R937" i="2"/>
  <c r="R957" i="2"/>
  <c r="R984" i="2"/>
  <c r="R1008" i="2"/>
  <c r="R1026" i="2"/>
  <c r="R1049" i="2"/>
  <c r="R1072" i="2"/>
  <c r="R1090" i="2"/>
  <c r="R1113" i="2"/>
  <c r="R1136" i="2"/>
  <c r="R1154" i="2"/>
  <c r="R1177" i="2"/>
  <c r="R1195" i="2"/>
  <c r="R1209" i="2"/>
  <c r="R1218" i="2"/>
  <c r="R1227" i="2"/>
  <c r="R1236" i="2"/>
  <c r="R1246" i="2"/>
  <c r="R1255" i="2"/>
  <c r="R175" i="2"/>
  <c r="R471" i="2"/>
  <c r="R575" i="2"/>
  <c r="R714" i="2"/>
  <c r="R787" i="2"/>
  <c r="R846" i="2"/>
  <c r="R893" i="2"/>
  <c r="R993" i="2"/>
  <c r="R1034" i="2"/>
  <c r="R1098" i="2"/>
  <c r="R1185" i="2"/>
  <c r="R1212" i="2"/>
  <c r="R1231" i="2"/>
  <c r="R47" i="2"/>
  <c r="R139" i="2"/>
  <c r="R240" i="2"/>
  <c r="R286" i="2"/>
  <c r="R347" i="2"/>
  <c r="R407" i="2"/>
  <c r="R451" i="2"/>
  <c r="R511" i="2"/>
  <c r="R567" i="2"/>
  <c r="R615" i="2"/>
  <c r="R672" i="2"/>
  <c r="R709" i="2"/>
  <c r="R739" i="2"/>
  <c r="R774" i="2"/>
  <c r="R812" i="2"/>
  <c r="R837" i="2"/>
  <c r="R865" i="2"/>
  <c r="R891" i="2"/>
  <c r="R912" i="2"/>
  <c r="R938" i="2"/>
  <c r="R964" i="2"/>
  <c r="R985" i="2"/>
  <c r="R1009" i="2"/>
  <c r="R1032" i="2"/>
  <c r="R1050" i="2"/>
  <c r="R1073" i="2"/>
  <c r="R1096" i="2"/>
  <c r="R1114" i="2"/>
  <c r="R1137" i="2"/>
  <c r="R1160" i="2"/>
  <c r="R1178" i="2"/>
  <c r="R1200" i="2"/>
  <c r="R1210" i="2"/>
  <c r="R1219" i="2"/>
  <c r="R1228" i="2"/>
  <c r="R1238" i="2"/>
  <c r="R1247" i="2"/>
  <c r="R1256" i="2"/>
  <c r="R71" i="2"/>
  <c r="R143" i="2"/>
  <c r="R243" i="2"/>
  <c r="R304" i="2"/>
  <c r="R349" i="2"/>
  <c r="R408" i="2"/>
  <c r="R464" i="2"/>
  <c r="R512" i="2"/>
  <c r="R574" i="2"/>
  <c r="R630" i="2"/>
  <c r="R673" i="2"/>
  <c r="R710" i="2"/>
  <c r="R748" i="2"/>
  <c r="R778" i="2"/>
  <c r="R813" i="2"/>
  <c r="R845" i="2"/>
  <c r="R866" i="2"/>
  <c r="R892" i="2"/>
  <c r="R918" i="2"/>
  <c r="R939" i="2"/>
  <c r="R965" i="2"/>
  <c r="R992" i="2"/>
  <c r="R1010" i="2"/>
  <c r="R1033" i="2"/>
  <c r="R1056" i="2"/>
  <c r="R1074" i="2"/>
  <c r="R1097" i="2"/>
  <c r="R1120" i="2"/>
  <c r="R1138" i="2"/>
  <c r="R1161" i="2"/>
  <c r="R1184" i="2"/>
  <c r="R1201" i="2"/>
  <c r="R1211" i="2"/>
  <c r="R1220" i="2"/>
  <c r="R1230" i="2"/>
  <c r="R1239" i="2"/>
  <c r="R1248" i="2"/>
  <c r="R1257" i="2"/>
  <c r="R72" i="2"/>
  <c r="R1080" i="2"/>
  <c r="R1249" i="2"/>
  <c r="R75" i="2"/>
  <c r="R176" i="2"/>
  <c r="R261" i="2"/>
  <c r="R309" i="2"/>
  <c r="R368" i="2"/>
  <c r="R424" i="2"/>
  <c r="R472" i="2"/>
  <c r="R528" i="2"/>
  <c r="R590" i="2"/>
  <c r="R638" i="2"/>
  <c r="R685" i="2"/>
  <c r="R723" i="2"/>
  <c r="R750" i="2"/>
  <c r="R788" i="2"/>
  <c r="R825" i="2"/>
  <c r="R848" i="2"/>
  <c r="R874" i="2"/>
  <c r="R900" i="2"/>
  <c r="R921" i="2"/>
  <c r="R947" i="2"/>
  <c r="R973" i="2"/>
  <c r="R994" i="2"/>
  <c r="R1017" i="2"/>
  <c r="R1040" i="2"/>
  <c r="R1058" i="2"/>
  <c r="R1081" i="2"/>
  <c r="R1104" i="2"/>
  <c r="R1122" i="2"/>
  <c r="R1145" i="2"/>
  <c r="R1168" i="2"/>
  <c r="R1186" i="2"/>
  <c r="R1203" i="2"/>
  <c r="R1214" i="2"/>
  <c r="R1223" i="2"/>
  <c r="R1232" i="2"/>
  <c r="R1241" i="2"/>
  <c r="R1250" i="2"/>
  <c r="R99" i="2"/>
  <c r="R1089" i="2"/>
  <c r="R411" i="2"/>
  <c r="Q5" i="2"/>
  <c r="Q13" i="2"/>
  <c r="Q21" i="2"/>
  <c r="Q29" i="2"/>
  <c r="Q6" i="2"/>
  <c r="Q14" i="2"/>
  <c r="Q22" i="2"/>
  <c r="Q30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37" i="2"/>
  <c r="Q60" i="2"/>
  <c r="Q78" i="2"/>
  <c r="Q101" i="2"/>
  <c r="Q124" i="2"/>
  <c r="Q142" i="2"/>
  <c r="Q165" i="2"/>
  <c r="Q188" i="2"/>
  <c r="Q206" i="2"/>
  <c r="Q229" i="2"/>
  <c r="Q252" i="2"/>
  <c r="Q270" i="2"/>
  <c r="Q293" i="2"/>
  <c r="Q316" i="2"/>
  <c r="Q334" i="2"/>
  <c r="Q357" i="2"/>
  <c r="Q380" i="2"/>
  <c r="Q398" i="2"/>
  <c r="Q421" i="2"/>
  <c r="Q444" i="2"/>
  <c r="Q462" i="2"/>
  <c r="Q485" i="2"/>
  <c r="Q508" i="2"/>
  <c r="Q526" i="2"/>
  <c r="Q549" i="2"/>
  <c r="Q572" i="2"/>
  <c r="Q590" i="2"/>
  <c r="Q613" i="2"/>
  <c r="Q636" i="2"/>
  <c r="Q654" i="2"/>
  <c r="Q674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38" i="2"/>
  <c r="Q61" i="2"/>
  <c r="Q84" i="2"/>
  <c r="Q102" i="2"/>
  <c r="Q125" i="2"/>
  <c r="Q148" i="2"/>
  <c r="Q166" i="2"/>
  <c r="Q189" i="2"/>
  <c r="Q212" i="2"/>
  <c r="Q230" i="2"/>
  <c r="Q253" i="2"/>
  <c r="Q276" i="2"/>
  <c r="Q294" i="2"/>
  <c r="Q317" i="2"/>
  <c r="Q340" i="2"/>
  <c r="Q358" i="2"/>
  <c r="Q381" i="2"/>
  <c r="Q404" i="2"/>
  <c r="Q422" i="2"/>
  <c r="Q445" i="2"/>
  <c r="Q468" i="2"/>
  <c r="Q486" i="2"/>
  <c r="Q509" i="2"/>
  <c r="Q532" i="2"/>
  <c r="Q550" i="2"/>
  <c r="Q573" i="2"/>
  <c r="Q596" i="2"/>
  <c r="Q614" i="2"/>
  <c r="Q637" i="2"/>
  <c r="Q660" i="2"/>
  <c r="Q675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44" i="2"/>
  <c r="Q62" i="2"/>
  <c r="Q85" i="2"/>
  <c r="Q108" i="2"/>
  <c r="Q126" i="2"/>
  <c r="Q149" i="2"/>
  <c r="Q172" i="2"/>
  <c r="Q190" i="2"/>
  <c r="Q213" i="2"/>
  <c r="Q236" i="2"/>
  <c r="Q254" i="2"/>
  <c r="Q277" i="2"/>
  <c r="Q300" i="2"/>
  <c r="Q318" i="2"/>
  <c r="Q341" i="2"/>
  <c r="Q364" i="2"/>
  <c r="Q382" i="2"/>
  <c r="Q405" i="2"/>
  <c r="Q428" i="2"/>
  <c r="Q446" i="2"/>
  <c r="Q469" i="2"/>
  <c r="Q492" i="2"/>
  <c r="Q510" i="2"/>
  <c r="Q533" i="2"/>
  <c r="Q556" i="2"/>
  <c r="Q574" i="2"/>
  <c r="Q597" i="2"/>
  <c r="Q620" i="2"/>
  <c r="Q638" i="2"/>
  <c r="Q661" i="2"/>
  <c r="Q676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45" i="2"/>
  <c r="Q68" i="2"/>
  <c r="Q86" i="2"/>
  <c r="Q109" i="2"/>
  <c r="Q132" i="2"/>
  <c r="Q150" i="2"/>
  <c r="Q173" i="2"/>
  <c r="Q196" i="2"/>
  <c r="Q214" i="2"/>
  <c r="Q237" i="2"/>
  <c r="Q260" i="2"/>
  <c r="Q278" i="2"/>
  <c r="Q301" i="2"/>
  <c r="Q324" i="2"/>
  <c r="Q342" i="2"/>
  <c r="Q365" i="2"/>
  <c r="Q388" i="2"/>
  <c r="Q406" i="2"/>
  <c r="Q429" i="2"/>
  <c r="Q452" i="2"/>
  <c r="Q470" i="2"/>
  <c r="Q493" i="2"/>
  <c r="Q516" i="2"/>
  <c r="Q534" i="2"/>
  <c r="Q557" i="2"/>
  <c r="Q580" i="2"/>
  <c r="Q598" i="2"/>
  <c r="Q621" i="2"/>
  <c r="Q644" i="2"/>
  <c r="Q662" i="2"/>
  <c r="Q677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238" i="2"/>
  <c r="Q284" i="2"/>
  <c r="Q325" i="2"/>
  <c r="Q366" i="2"/>
  <c r="Q412" i="2"/>
  <c r="Q453" i="2"/>
  <c r="Q494" i="2"/>
  <c r="Q540" i="2"/>
  <c r="Q581" i="2"/>
  <c r="Q622" i="2"/>
  <c r="Q667" i="2"/>
  <c r="Q689" i="2"/>
  <c r="Q705" i="2"/>
  <c r="Q721" i="2"/>
  <c r="Q737" i="2"/>
  <c r="Q753" i="2"/>
  <c r="Q769" i="2"/>
  <c r="Q785" i="2"/>
  <c r="Q801" i="2"/>
  <c r="Q817" i="2"/>
  <c r="Q833" i="2"/>
  <c r="Q849" i="2"/>
  <c r="Q865" i="2"/>
  <c r="Q881" i="2"/>
  <c r="Q897" i="2"/>
  <c r="Q913" i="2"/>
  <c r="Q929" i="2"/>
  <c r="Q945" i="2"/>
  <c r="Q961" i="2"/>
  <c r="Q977" i="2"/>
  <c r="Q999" i="2"/>
  <c r="Q1019" i="2"/>
  <c r="Q1031" i="2"/>
  <c r="Q1041" i="2"/>
  <c r="Q1073" i="2"/>
  <c r="Q1095" i="2"/>
  <c r="Q1124" i="2"/>
  <c r="Q1148" i="2"/>
  <c r="Q1188" i="2"/>
  <c r="Q1220" i="2"/>
  <c r="Q20" i="2"/>
  <c r="Q70" i="2"/>
  <c r="Q116" i="2"/>
  <c r="Q157" i="2"/>
  <c r="Q198" i="2"/>
  <c r="Q244" i="2"/>
  <c r="Q285" i="2"/>
  <c r="Q326" i="2"/>
  <c r="Q372" i="2"/>
  <c r="Q413" i="2"/>
  <c r="Q454" i="2"/>
  <c r="Q500" i="2"/>
  <c r="Q541" i="2"/>
  <c r="Q582" i="2"/>
  <c r="Q628" i="2"/>
  <c r="Q668" i="2"/>
  <c r="Q690" i="2"/>
  <c r="Q706" i="2"/>
  <c r="Q722" i="2"/>
  <c r="Q738" i="2"/>
  <c r="Q754" i="2"/>
  <c r="Q770" i="2"/>
  <c r="Q786" i="2"/>
  <c r="Q802" i="2"/>
  <c r="Q818" i="2"/>
  <c r="Q834" i="2"/>
  <c r="Q850" i="2"/>
  <c r="Q866" i="2"/>
  <c r="Q882" i="2"/>
  <c r="Q898" i="2"/>
  <c r="Q914" i="2"/>
  <c r="Q930" i="2"/>
  <c r="Q946" i="2"/>
  <c r="Q962" i="2"/>
  <c r="Q978" i="2"/>
  <c r="Q988" i="2"/>
  <c r="Q1000" i="2"/>
  <c r="Q1010" i="2"/>
  <c r="Q1020" i="2"/>
  <c r="Q1032" i="2"/>
  <c r="Q1042" i="2"/>
  <c r="Q1052" i="2"/>
  <c r="Q1064" i="2"/>
  <c r="Q1074" i="2"/>
  <c r="Q1084" i="2"/>
  <c r="Q1096" i="2"/>
  <c r="Q1106" i="2"/>
  <c r="Q1116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8" i="2"/>
  <c r="Q76" i="2"/>
  <c r="Q117" i="2"/>
  <c r="Q158" i="2"/>
  <c r="Q204" i="2"/>
  <c r="Q245" i="2"/>
  <c r="Q286" i="2"/>
  <c r="Q332" i="2"/>
  <c r="Q373" i="2"/>
  <c r="Q414" i="2"/>
  <c r="Q460" i="2"/>
  <c r="Q501" i="2"/>
  <c r="Q542" i="2"/>
  <c r="Q588" i="2"/>
  <c r="Q629" i="2"/>
  <c r="Q669" i="2"/>
  <c r="Q691" i="2"/>
  <c r="Q707" i="2"/>
  <c r="Q723" i="2"/>
  <c r="Q739" i="2"/>
  <c r="Q755" i="2"/>
  <c r="Q771" i="2"/>
  <c r="Q787" i="2"/>
  <c r="Q803" i="2"/>
  <c r="Q819" i="2"/>
  <c r="Q835" i="2"/>
  <c r="Q851" i="2"/>
  <c r="Q867" i="2"/>
  <c r="Q883" i="2"/>
  <c r="Q899" i="2"/>
  <c r="Q915" i="2"/>
  <c r="Q931" i="2"/>
  <c r="Q947" i="2"/>
  <c r="Q963" i="2"/>
  <c r="Q979" i="2"/>
  <c r="Q991" i="2"/>
  <c r="Q1001" i="2"/>
  <c r="Q1011" i="2"/>
  <c r="Q1023" i="2"/>
  <c r="Q1033" i="2"/>
  <c r="Q1043" i="2"/>
  <c r="Q1055" i="2"/>
  <c r="Q1065" i="2"/>
  <c r="Q1075" i="2"/>
  <c r="Q1087" i="2"/>
  <c r="Q1097" i="2"/>
  <c r="Q1107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214" i="2"/>
  <c r="Q1222" i="2"/>
  <c r="Q1230" i="2"/>
  <c r="Q1238" i="2"/>
  <c r="Q1246" i="2"/>
  <c r="Q1254" i="2"/>
  <c r="Q110" i="2"/>
  <c r="Q1115" i="2"/>
  <c r="Q1244" i="2"/>
  <c r="Q36" i="2"/>
  <c r="Q77" i="2"/>
  <c r="Q118" i="2"/>
  <c r="Q164" i="2"/>
  <c r="Q205" i="2"/>
  <c r="Q246" i="2"/>
  <c r="Q292" i="2"/>
  <c r="Q333" i="2"/>
  <c r="Q374" i="2"/>
  <c r="Q420" i="2"/>
  <c r="Q461" i="2"/>
  <c r="Q502" i="2"/>
  <c r="Q548" i="2"/>
  <c r="Q589" i="2"/>
  <c r="Q630" i="2"/>
  <c r="Q670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2" i="2"/>
  <c r="Q1002" i="2"/>
  <c r="Q1012" i="2"/>
  <c r="Q1024" i="2"/>
  <c r="Q1034" i="2"/>
  <c r="Q1044" i="2"/>
  <c r="Q1056" i="2"/>
  <c r="Q1066" i="2"/>
  <c r="Q1076" i="2"/>
  <c r="Q1088" i="2"/>
  <c r="Q1098" i="2"/>
  <c r="Q1108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46" i="2"/>
  <c r="Q92" i="2"/>
  <c r="Q133" i="2"/>
  <c r="Q174" i="2"/>
  <c r="Q220" i="2"/>
  <c r="Q261" i="2"/>
  <c r="Q302" i="2"/>
  <c r="Q348" i="2"/>
  <c r="Q389" i="2"/>
  <c r="Q430" i="2"/>
  <c r="Q476" i="2"/>
  <c r="Q517" i="2"/>
  <c r="Q558" i="2"/>
  <c r="Q604" i="2"/>
  <c r="Q645" i="2"/>
  <c r="Q678" i="2"/>
  <c r="Q697" i="2"/>
  <c r="Q713" i="2"/>
  <c r="Q729" i="2"/>
  <c r="Q745" i="2"/>
  <c r="Q761" i="2"/>
  <c r="Q777" i="2"/>
  <c r="Q793" i="2"/>
  <c r="Q809" i="2"/>
  <c r="Q825" i="2"/>
  <c r="Q841" i="2"/>
  <c r="Q857" i="2"/>
  <c r="Q873" i="2"/>
  <c r="Q889" i="2"/>
  <c r="Q905" i="2"/>
  <c r="Q921" i="2"/>
  <c r="Q937" i="2"/>
  <c r="Q953" i="2"/>
  <c r="Q969" i="2"/>
  <c r="Q983" i="2"/>
  <c r="Q993" i="2"/>
  <c r="Q1003" i="2"/>
  <c r="Q1015" i="2"/>
  <c r="Q1025" i="2"/>
  <c r="Q1035" i="2"/>
  <c r="Q1047" i="2"/>
  <c r="Q1057" i="2"/>
  <c r="Q1067" i="2"/>
  <c r="Q1079" i="2"/>
  <c r="Q1089" i="2"/>
  <c r="Q1099" i="2"/>
  <c r="Q1111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97" i="2"/>
  <c r="Q987" i="2"/>
  <c r="Q1063" i="2"/>
  <c r="Q1105" i="2"/>
  <c r="Q1140" i="2"/>
  <c r="Q1164" i="2"/>
  <c r="Q1196" i="2"/>
  <c r="Q1212" i="2"/>
  <c r="Q1236" i="2"/>
  <c r="Q52" i="2"/>
  <c r="Q93" i="2"/>
  <c r="Q134" i="2"/>
  <c r="Q180" i="2"/>
  <c r="Q221" i="2"/>
  <c r="Q262" i="2"/>
  <c r="Q308" i="2"/>
  <c r="Q349" i="2"/>
  <c r="Q390" i="2"/>
  <c r="Q436" i="2"/>
  <c r="Q477" i="2"/>
  <c r="Q518" i="2"/>
  <c r="Q564" i="2"/>
  <c r="Q605" i="2"/>
  <c r="Q646" i="2"/>
  <c r="Q682" i="2"/>
  <c r="Q698" i="2"/>
  <c r="Q714" i="2"/>
  <c r="Q730" i="2"/>
  <c r="Q746" i="2"/>
  <c r="Q762" i="2"/>
  <c r="Q778" i="2"/>
  <c r="Q794" i="2"/>
  <c r="Q810" i="2"/>
  <c r="Q826" i="2"/>
  <c r="Q842" i="2"/>
  <c r="Q858" i="2"/>
  <c r="Q874" i="2"/>
  <c r="Q890" i="2"/>
  <c r="Q906" i="2"/>
  <c r="Q922" i="2"/>
  <c r="Q938" i="2"/>
  <c r="Q954" i="2"/>
  <c r="Q970" i="2"/>
  <c r="Q984" i="2"/>
  <c r="Q994" i="2"/>
  <c r="Q1004" i="2"/>
  <c r="Q1016" i="2"/>
  <c r="Q1026" i="2"/>
  <c r="Q1036" i="2"/>
  <c r="Q1048" i="2"/>
  <c r="Q1058" i="2"/>
  <c r="Q1068" i="2"/>
  <c r="Q1080" i="2"/>
  <c r="Q1090" i="2"/>
  <c r="Q1100" i="2"/>
  <c r="Q1112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56" i="2"/>
  <c r="Q1051" i="2"/>
  <c r="Q1172" i="2"/>
  <c r="Q53" i="2"/>
  <c r="Q94" i="2"/>
  <c r="Q140" i="2"/>
  <c r="Q181" i="2"/>
  <c r="Q222" i="2"/>
  <c r="Q268" i="2"/>
  <c r="Q309" i="2"/>
  <c r="Q350" i="2"/>
  <c r="Q396" i="2"/>
  <c r="Q437" i="2"/>
  <c r="Q478" i="2"/>
  <c r="Q524" i="2"/>
  <c r="Q565" i="2"/>
  <c r="Q606" i="2"/>
  <c r="Q652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5" i="2"/>
  <c r="Q995" i="2"/>
  <c r="Q1007" i="2"/>
  <c r="Q1017" i="2"/>
  <c r="Q1027" i="2"/>
  <c r="Q1039" i="2"/>
  <c r="Q1049" i="2"/>
  <c r="Q1059" i="2"/>
  <c r="Q1071" i="2"/>
  <c r="Q1081" i="2"/>
  <c r="Q1091" i="2"/>
  <c r="Q1103" i="2"/>
  <c r="Q1113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69" i="2"/>
  <c r="Q1252" i="2"/>
  <c r="Q54" i="2"/>
  <c r="Q100" i="2"/>
  <c r="Q141" i="2"/>
  <c r="Q182" i="2"/>
  <c r="Q228" i="2"/>
  <c r="Q269" i="2"/>
  <c r="Q310" i="2"/>
  <c r="Q356" i="2"/>
  <c r="Q397" i="2"/>
  <c r="Q438" i="2"/>
  <c r="Q484" i="2"/>
  <c r="Q525" i="2"/>
  <c r="Q566" i="2"/>
  <c r="Q612" i="2"/>
  <c r="Q653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6" i="2"/>
  <c r="Q996" i="2"/>
  <c r="Q1008" i="2"/>
  <c r="Q1018" i="2"/>
  <c r="Q1028" i="2"/>
  <c r="Q1040" i="2"/>
  <c r="Q1050" i="2"/>
  <c r="Q1060" i="2"/>
  <c r="Q1072" i="2"/>
  <c r="Q1082" i="2"/>
  <c r="Q1092" i="2"/>
  <c r="Q1104" i="2"/>
  <c r="Q1114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2" i="2"/>
  <c r="Q1009" i="2"/>
  <c r="Q1083" i="2"/>
  <c r="Q1132" i="2"/>
  <c r="Q1156" i="2"/>
  <c r="Q1180" i="2"/>
  <c r="Q1204" i="2"/>
  <c r="Q1228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643" i="2"/>
  <c r="P651" i="2"/>
  <c r="P659" i="2"/>
  <c r="P667" i="2"/>
  <c r="P675" i="2"/>
  <c r="P683" i="2"/>
  <c r="P12" i="2"/>
  <c r="P76" i="2"/>
  <c r="P140" i="2"/>
  <c r="P204" i="2"/>
  <c r="P268" i="2"/>
  <c r="P332" i="2"/>
  <c r="P396" i="2"/>
  <c r="P460" i="2"/>
  <c r="P524" i="2"/>
  <c r="P588" i="2"/>
  <c r="P652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20" i="2"/>
  <c r="P84" i="2"/>
  <c r="P148" i="2"/>
  <c r="P212" i="2"/>
  <c r="P276" i="2"/>
  <c r="P340" i="2"/>
  <c r="P404" i="2"/>
  <c r="P468" i="2"/>
  <c r="P532" i="2"/>
  <c r="P596" i="2"/>
  <c r="P660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388" i="2"/>
  <c r="P644" i="2"/>
  <c r="P28" i="2"/>
  <c r="P92" i="2"/>
  <c r="P156" i="2"/>
  <c r="P220" i="2"/>
  <c r="P284" i="2"/>
  <c r="P348" i="2"/>
  <c r="P412" i="2"/>
  <c r="P476" i="2"/>
  <c r="P540" i="2"/>
  <c r="P604" i="2"/>
  <c r="P668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146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324" i="2"/>
  <c r="P695" i="2"/>
  <c r="P36" i="2"/>
  <c r="P100" i="2"/>
  <c r="P164" i="2"/>
  <c r="P228" i="2"/>
  <c r="P292" i="2"/>
  <c r="P356" i="2"/>
  <c r="P420" i="2"/>
  <c r="P484" i="2"/>
  <c r="P548" i="2"/>
  <c r="P612" i="2"/>
  <c r="P676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196" i="2"/>
  <c r="P44" i="2"/>
  <c r="P108" i="2"/>
  <c r="P172" i="2"/>
  <c r="P236" i="2"/>
  <c r="P300" i="2"/>
  <c r="P364" i="2"/>
  <c r="P428" i="2"/>
  <c r="P492" i="2"/>
  <c r="P556" i="2"/>
  <c r="P620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60" i="2"/>
  <c r="P52" i="2"/>
  <c r="P116" i="2"/>
  <c r="P180" i="2"/>
  <c r="P244" i="2"/>
  <c r="P308" i="2"/>
  <c r="P372" i="2"/>
  <c r="P436" i="2"/>
  <c r="P500" i="2"/>
  <c r="P564" i="2"/>
  <c r="P628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32" i="2"/>
  <c r="P516" i="2"/>
  <c r="P687" i="2"/>
  <c r="P60" i="2"/>
  <c r="P124" i="2"/>
  <c r="P188" i="2"/>
  <c r="P252" i="2"/>
  <c r="P316" i="2"/>
  <c r="P380" i="2"/>
  <c r="P444" i="2"/>
  <c r="P508" i="2"/>
  <c r="P572" i="2"/>
  <c r="P636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1190" i="2"/>
  <c r="P1198" i="2"/>
  <c r="P1206" i="2"/>
  <c r="P1214" i="2"/>
  <c r="P1222" i="2"/>
  <c r="P1230" i="2"/>
  <c r="P1238" i="2"/>
  <c r="P1246" i="2"/>
  <c r="P1254" i="2"/>
  <c r="P68" i="2"/>
  <c r="P452" i="2"/>
  <c r="P580" i="2"/>
  <c r="P767" i="2"/>
  <c r="P831" i="2"/>
  <c r="P895" i="2"/>
  <c r="P959" i="2"/>
  <c r="P1023" i="2"/>
  <c r="P1087" i="2"/>
  <c r="P1151" i="2"/>
  <c r="P1215" i="2"/>
  <c r="P1007" i="2"/>
  <c r="P711" i="2"/>
  <c r="P775" i="2"/>
  <c r="P839" i="2"/>
  <c r="P903" i="2"/>
  <c r="P967" i="2"/>
  <c r="P1031" i="2"/>
  <c r="P1095" i="2"/>
  <c r="P1159" i="2"/>
  <c r="P1223" i="2"/>
  <c r="P879" i="2"/>
  <c r="P719" i="2"/>
  <c r="P783" i="2"/>
  <c r="P847" i="2"/>
  <c r="P911" i="2"/>
  <c r="P975" i="2"/>
  <c r="P1039" i="2"/>
  <c r="P1103" i="2"/>
  <c r="P1167" i="2"/>
  <c r="P1231" i="2"/>
  <c r="P727" i="2"/>
  <c r="P815" i="2"/>
  <c r="P791" i="2"/>
  <c r="P855" i="2"/>
  <c r="P919" i="2"/>
  <c r="P983" i="2"/>
  <c r="P1047" i="2"/>
  <c r="P1111" i="2"/>
  <c r="P1175" i="2"/>
  <c r="P1239" i="2"/>
  <c r="P735" i="2"/>
  <c r="P799" i="2"/>
  <c r="P863" i="2"/>
  <c r="P927" i="2"/>
  <c r="P991" i="2"/>
  <c r="P1055" i="2"/>
  <c r="P1119" i="2"/>
  <c r="P1183" i="2"/>
  <c r="P1247" i="2"/>
  <c r="P743" i="2"/>
  <c r="P807" i="2"/>
  <c r="P871" i="2"/>
  <c r="P935" i="2"/>
  <c r="P999" i="2"/>
  <c r="P1063" i="2"/>
  <c r="P1127" i="2"/>
  <c r="P1191" i="2"/>
  <c r="P1255" i="2"/>
  <c r="P751" i="2"/>
  <c r="P1071" i="2"/>
  <c r="P1135" i="2"/>
  <c r="P1199" i="2"/>
  <c r="P759" i="2"/>
  <c r="P823" i="2"/>
  <c r="P887" i="2"/>
  <c r="P951" i="2"/>
  <c r="P1015" i="2"/>
  <c r="P1079" i="2"/>
  <c r="P1143" i="2"/>
  <c r="P1207" i="2"/>
  <c r="P703" i="2"/>
  <c r="P943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5" i="2"/>
  <c r="O617" i="2"/>
  <c r="O649" i="2"/>
  <c r="O681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8" i="2"/>
  <c r="O620" i="2"/>
  <c r="O652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93" i="2"/>
  <c r="O625" i="2"/>
  <c r="O657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6" i="2"/>
  <c r="O628" i="2"/>
  <c r="O66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601" i="2"/>
  <c r="O633" i="2"/>
  <c r="O66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604" i="2"/>
  <c r="O636" i="2"/>
  <c r="O66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3" i="2"/>
  <c r="O161" i="2"/>
  <c r="O289" i="2"/>
  <c r="O417" i="2"/>
  <c r="O545" i="2"/>
  <c r="O673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61" i="2"/>
  <c r="O1193" i="2"/>
  <c r="O1215" i="2"/>
  <c r="O1234" i="2"/>
  <c r="O1257" i="2"/>
  <c r="O65" i="2"/>
  <c r="O1073" i="2"/>
  <c r="O1241" i="2"/>
  <c r="O196" i="2"/>
  <c r="O882" i="2"/>
  <c r="O1042" i="2"/>
  <c r="O1201" i="2"/>
  <c r="O353" i="2"/>
  <c r="O793" i="2"/>
  <c r="O985" i="2"/>
  <c r="O1113" i="2"/>
  <c r="O1247" i="2"/>
  <c r="O36" i="2"/>
  <c r="O164" i="2"/>
  <c r="O292" i="2"/>
  <c r="O420" i="2"/>
  <c r="O548" i="2"/>
  <c r="O676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62" i="2"/>
  <c r="O1194" i="2"/>
  <c r="O1217" i="2"/>
  <c r="O1239" i="2"/>
  <c r="O1258" i="2"/>
  <c r="V49" i="1" s="1"/>
  <c r="AC5" i="2" s="1"/>
  <c r="O193" i="2"/>
  <c r="O1105" i="2"/>
  <c r="O1218" i="2"/>
  <c r="O324" i="2"/>
  <c r="O914" i="2"/>
  <c r="O1074" i="2"/>
  <c r="O1223" i="2"/>
  <c r="O225" i="2"/>
  <c r="O857" i="2"/>
  <c r="O1017" i="2"/>
  <c r="O1177" i="2"/>
  <c r="O321" i="2"/>
  <c r="O449" i="2"/>
  <c r="O577" i="2"/>
  <c r="O689" i="2"/>
  <c r="O721" i="2"/>
  <c r="O753" i="2"/>
  <c r="O785" i="2"/>
  <c r="O817" i="2"/>
  <c r="O849" i="2"/>
  <c r="O881" i="2"/>
  <c r="O913" i="2"/>
  <c r="O945" i="2"/>
  <c r="O977" i="2"/>
  <c r="O1009" i="2"/>
  <c r="O1041" i="2"/>
  <c r="O1137" i="2"/>
  <c r="O1169" i="2"/>
  <c r="O1199" i="2"/>
  <c r="O452" i="2"/>
  <c r="O978" i="2"/>
  <c r="O1138" i="2"/>
  <c r="O481" i="2"/>
  <c r="O697" i="2"/>
  <c r="O729" i="2"/>
  <c r="O825" i="2"/>
  <c r="O921" i="2"/>
  <c r="O1049" i="2"/>
  <c r="O1145" i="2"/>
  <c r="O1225" i="2"/>
  <c r="O100" i="2"/>
  <c r="O228" i="2"/>
  <c r="O356" i="2"/>
  <c r="O484" i="2"/>
  <c r="O612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6" i="2"/>
  <c r="O1178" i="2"/>
  <c r="O1207" i="2"/>
  <c r="O1226" i="2"/>
  <c r="O1249" i="2"/>
  <c r="O260" i="2"/>
  <c r="O516" i="2"/>
  <c r="O706" i="2"/>
  <c r="O738" i="2"/>
  <c r="O802" i="2"/>
  <c r="O866" i="2"/>
  <c r="O930" i="2"/>
  <c r="O994" i="2"/>
  <c r="O1058" i="2"/>
  <c r="O1122" i="2"/>
  <c r="O1186" i="2"/>
  <c r="O1233" i="2"/>
  <c r="O129" i="2"/>
  <c r="O257" i="2"/>
  <c r="O385" i="2"/>
  <c r="O513" i="2"/>
  <c r="O64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53" i="2"/>
  <c r="O1185" i="2"/>
  <c r="O1209" i="2"/>
  <c r="O1231" i="2"/>
  <c r="O1250" i="2"/>
  <c r="O132" i="2"/>
  <c r="O388" i="2"/>
  <c r="O644" i="2"/>
  <c r="O770" i="2"/>
  <c r="O834" i="2"/>
  <c r="O898" i="2"/>
  <c r="O962" i="2"/>
  <c r="O1026" i="2"/>
  <c r="O1090" i="2"/>
  <c r="O1154" i="2"/>
  <c r="O1210" i="2"/>
  <c r="O1255" i="2"/>
  <c r="O68" i="2"/>
  <c r="O580" i="2"/>
  <c r="O690" i="2"/>
  <c r="O722" i="2"/>
  <c r="O754" i="2"/>
  <c r="O786" i="2"/>
  <c r="O818" i="2"/>
  <c r="O850" i="2"/>
  <c r="O946" i="2"/>
  <c r="O1010" i="2"/>
  <c r="O1106" i="2"/>
  <c r="O1170" i="2"/>
  <c r="O1242" i="2"/>
  <c r="O97" i="2"/>
  <c r="O609" i="2"/>
  <c r="O761" i="2"/>
  <c r="O889" i="2"/>
  <c r="O953" i="2"/>
  <c r="O1081" i="2"/>
  <c r="O1202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I10" i="2"/>
  <c r="AE11" i="2"/>
  <c r="AE10" i="2"/>
  <c r="AI9" i="2"/>
  <c r="AE9" i="2"/>
  <c r="AI8" i="2"/>
  <c r="AE8" i="2"/>
  <c r="AI7" i="2"/>
  <c r="AI6" i="2"/>
  <c r="AE7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5" i="2" l="1"/>
  <c r="AK15" i="2"/>
  <c r="AG10" i="2" l="1"/>
  <c r="AK14" i="2"/>
  <c r="AG11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<sst xmlns="http://schemas.openxmlformats.org/spreadsheetml/2006/main" count="91" uniqueCount="75">
  <si>
    <t>Pfizer Inc. (PFE) - Daily Stock Price, Last 5 Years</t>
  </si>
  <si>
    <t>Source: Nasdaq historical quotes (nasdaq.com/market-activity/stocks/pfe),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</si>
  <si>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</si>
  <si>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</si>
  <si>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</si>
  <si>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</si>
  <si>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</si>
  <si>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</si>
  <si>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</si>
  <si>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</si>
  <si>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</si>
  <si>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</si>
  <si>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</si>
  <si>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</si>
  <si>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</si>
  <si>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</si>
  <si>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</si>
  <si>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</si>
  <si>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</si>
  <si>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</si>
  <si>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</si>
  <si>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</si>
  <si>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</si>
  <si>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</si>
  <si>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PFE trading days (last close on or before each date). Each stock's % change is in its own currency (BAYNr in EUR, others USD). % columns follow Start/End Date in 'Stock Price'!I4:I5.</t>
  </si>
  <si>
    <t>PFE Close</t>
  </si>
  <si>
    <t>PFE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</si>
  <si>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</si>
  <si>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</si>
  <si>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</si>
  <si>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</si>
  <si>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</si>
  <si>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</si>
  <si>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</si>
  <si>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</si>
  <si>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</si>
  <si>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</si>
  <si>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</si>
  <si>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</si>
  <si>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</si>
  <si>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</si>
  <si>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</si>
  <si>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</si>
  <si>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</si>
  <si>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</si>
  <si>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</si>
  <si>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</si>
  <si>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</si>
  <si>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</si>
  <si>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</si>
  <si>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</si>
  <si>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</si>
  <si>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PFE</t>
  </si>
  <si>
    <t>NVS</t>
  </si>
  <si>
    <t>AZN</t>
  </si>
  <si>
    <t>GSK</t>
  </si>
  <si>
    <t>ROG</t>
  </si>
  <si>
    <t>SNY</t>
  </si>
  <si>
    <t>BAYNr</t>
  </si>
  <si>
    <t>MRK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</si>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</sst>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4" borderId="0" xfId="0" applyFont="1" applyFill="1" applyBorder="1"/>
    <xf numFmtId="168" fontId="1" fillId="4" borderId="0" xfId="0" applyNumberFormat="1" applyFont="1" applyFill="1" applyBorder="1" applyAlignment="1">
      <alignment horizontal="right"/>
    </xf>
    <xf numFmtId="0" fontId="1" fillId="4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PFE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42.32</c:v>
                </c:pt>
                <c:pt idx="1">
                  <c:v>42.02</c:v>
                </c:pt>
                <c:pt idx="2">
                  <c:v>42.74</c:v>
                </c:pt>
                <c:pt idx="3">
                  <c:v>42.45</c:v>
                </c:pt>
                <c:pt idx="4">
                  <c:v>42.06</c:v>
                </c:pt>
                <c:pt idx="5">
                  <c:v>41.85</c:v>
                </c:pt>
                <c:pt idx="6">
                  <c:v>41.42</c:v>
                </c:pt>
                <c:pt idx="7">
                  <c:v>41.67</c:v>
                </c:pt>
                <c:pt idx="8">
                  <c:v>41.49</c:v>
                </c:pt>
                <c:pt idx="9">
                  <c:v>41.32</c:v>
                </c:pt>
                <c:pt idx="10">
                  <c:v>42.09</c:v>
                </c:pt>
                <c:pt idx="11">
                  <c:v>42.8</c:v>
                </c:pt>
                <c:pt idx="12">
                  <c:v>42.86</c:v>
                </c:pt>
                <c:pt idx="13">
                  <c:v>43.16</c:v>
                </c:pt>
                <c:pt idx="14">
                  <c:v>43.15</c:v>
                </c:pt>
                <c:pt idx="15">
                  <c:v>43.56</c:v>
                </c:pt>
                <c:pt idx="16">
                  <c:v>42.97</c:v>
                </c:pt>
                <c:pt idx="17">
                  <c:v>43.18</c:v>
                </c:pt>
                <c:pt idx="18">
                  <c:v>43.74</c:v>
                </c:pt>
                <c:pt idx="19">
                  <c:v>43.64</c:v>
                </c:pt>
                <c:pt idx="20">
                  <c:v>45.45</c:v>
                </c:pt>
                <c:pt idx="21">
                  <c:v>44.82</c:v>
                </c:pt>
                <c:pt idx="22">
                  <c:v>43.85</c:v>
                </c:pt>
                <c:pt idx="23">
                  <c:v>48.61</c:v>
                </c:pt>
                <c:pt idx="24">
                  <c:v>48.33</c:v>
                </c:pt>
                <c:pt idx="25">
                  <c:v>47.3</c:v>
                </c:pt>
                <c:pt idx="26">
                  <c:v>49.02</c:v>
                </c:pt>
                <c:pt idx="27">
                  <c:v>50.18</c:v>
                </c:pt>
                <c:pt idx="28">
                  <c:v>49.73</c:v>
                </c:pt>
                <c:pt idx="29">
                  <c:v>49.65</c:v>
                </c:pt>
                <c:pt idx="30">
                  <c:v>49.6</c:v>
                </c:pt>
                <c:pt idx="31">
                  <c:v>50.87</c:v>
                </c:pt>
                <c:pt idx="32">
                  <c:v>51.41</c:v>
                </c:pt>
                <c:pt idx="33">
                  <c:v>50.8</c:v>
                </c:pt>
                <c:pt idx="34">
                  <c:v>51.2</c:v>
                </c:pt>
                <c:pt idx="35">
                  <c:v>51.08</c:v>
                </c:pt>
                <c:pt idx="36">
                  <c:v>50.89</c:v>
                </c:pt>
                <c:pt idx="37">
                  <c:v>54</c:v>
                </c:pt>
                <c:pt idx="38">
                  <c:v>52.4</c:v>
                </c:pt>
                <c:pt idx="39">
                  <c:v>53.73</c:v>
                </c:pt>
                <c:pt idx="40">
                  <c:v>54.68</c:v>
                </c:pt>
                <c:pt idx="41">
                  <c:v>53.04</c:v>
                </c:pt>
                <c:pt idx="42">
                  <c:v>54.27</c:v>
                </c:pt>
                <c:pt idx="43">
                  <c:v>51.48</c:v>
                </c:pt>
                <c:pt idx="44">
                  <c:v>51.72</c:v>
                </c:pt>
                <c:pt idx="45">
                  <c:v>51.4</c:v>
                </c:pt>
                <c:pt idx="46">
                  <c:v>52.08</c:v>
                </c:pt>
                <c:pt idx="47">
                  <c:v>52.78</c:v>
                </c:pt>
                <c:pt idx="48">
                  <c:v>55.2</c:v>
                </c:pt>
                <c:pt idx="49">
                  <c:v>55.54</c:v>
                </c:pt>
                <c:pt idx="50">
                  <c:v>58.8</c:v>
                </c:pt>
                <c:pt idx="51">
                  <c:v>61.25</c:v>
                </c:pt>
                <c:pt idx="52">
                  <c:v>59.48</c:v>
                </c:pt>
                <c:pt idx="53">
                  <c:v>61.02</c:v>
                </c:pt>
                <c:pt idx="54">
                  <c:v>58.95</c:v>
                </c:pt>
                <c:pt idx="55">
                  <c:v>59.55</c:v>
                </c:pt>
                <c:pt idx="56">
                  <c:v>58.71</c:v>
                </c:pt>
                <c:pt idx="57">
                  <c:v>59.2</c:v>
                </c:pt>
                <c:pt idx="58">
                  <c:v>58.01</c:v>
                </c:pt>
                <c:pt idx="59">
                  <c:v>57.58</c:v>
                </c:pt>
                <c:pt idx="60">
                  <c:v>58.4</c:v>
                </c:pt>
                <c:pt idx="61">
                  <c:v>59.05</c:v>
                </c:pt>
                <c:pt idx="62">
                  <c:v>56.65</c:v>
                </c:pt>
                <c:pt idx="63">
                  <c:v>54.53</c:v>
                </c:pt>
                <c:pt idx="64">
                  <c:v>55.63</c:v>
                </c:pt>
                <c:pt idx="65">
                  <c:v>54.84</c:v>
                </c:pt>
                <c:pt idx="66">
                  <c:v>55.72</c:v>
                </c:pt>
                <c:pt idx="67">
                  <c:v>56.24</c:v>
                </c:pt>
                <c:pt idx="68">
                  <c:v>56.69</c:v>
                </c:pt>
                <c:pt idx="69">
                  <c:v>56.65</c:v>
                </c:pt>
                <c:pt idx="70">
                  <c:v>55.54</c:v>
                </c:pt>
                <c:pt idx="71">
                  <c:v>54.95</c:v>
                </c:pt>
                <c:pt idx="72">
                  <c:v>54.11</c:v>
                </c:pt>
                <c:pt idx="73">
                  <c:v>53.54</c:v>
                </c:pt>
                <c:pt idx="74">
                  <c:v>54.05</c:v>
                </c:pt>
                <c:pt idx="75">
                  <c:v>52.79</c:v>
                </c:pt>
                <c:pt idx="76">
                  <c:v>51.54</c:v>
                </c:pt>
                <c:pt idx="77">
                  <c:v>52.54</c:v>
                </c:pt>
                <c:pt idx="78">
                  <c:v>53.01</c:v>
                </c:pt>
                <c:pt idx="79">
                  <c:v>53.37</c:v>
                </c:pt>
                <c:pt idx="80">
                  <c:v>54.33</c:v>
                </c:pt>
                <c:pt idx="81">
                  <c:v>52.69</c:v>
                </c:pt>
                <c:pt idx="82">
                  <c:v>53.07</c:v>
                </c:pt>
                <c:pt idx="83">
                  <c:v>53.86</c:v>
                </c:pt>
                <c:pt idx="84">
                  <c:v>53.38</c:v>
                </c:pt>
                <c:pt idx="85">
                  <c:v>53</c:v>
                </c:pt>
                <c:pt idx="86">
                  <c:v>53.21</c:v>
                </c:pt>
                <c:pt idx="87">
                  <c:v>51.7</c:v>
                </c:pt>
                <c:pt idx="88">
                  <c:v>51.47</c:v>
                </c:pt>
                <c:pt idx="89">
                  <c:v>50.6</c:v>
                </c:pt>
                <c:pt idx="90">
                  <c:v>50.78</c:v>
                </c:pt>
                <c:pt idx="91">
                  <c:v>49.8</c:v>
                </c:pt>
                <c:pt idx="92">
                  <c:v>49.79</c:v>
                </c:pt>
                <c:pt idx="93">
                  <c:v>49.68</c:v>
                </c:pt>
                <c:pt idx="94">
                  <c:v>48.9</c:v>
                </c:pt>
                <c:pt idx="95">
                  <c:v>48.53</c:v>
                </c:pt>
                <c:pt idx="96">
                  <c:v>47.53</c:v>
                </c:pt>
                <c:pt idx="97">
                  <c:v>46.87</c:v>
                </c:pt>
                <c:pt idx="98">
                  <c:v>45.96</c:v>
                </c:pt>
                <c:pt idx="99">
                  <c:v>47.72</c:v>
                </c:pt>
                <c:pt idx="100">
                  <c:v>46.94</c:v>
                </c:pt>
                <c:pt idx="101">
                  <c:v>45.75</c:v>
                </c:pt>
                <c:pt idx="102">
                  <c:v>47.7</c:v>
                </c:pt>
                <c:pt idx="103">
                  <c:v>47.83</c:v>
                </c:pt>
                <c:pt idx="104">
                  <c:v>48.65</c:v>
                </c:pt>
                <c:pt idx="105">
                  <c:v>47.98</c:v>
                </c:pt>
                <c:pt idx="106">
                  <c:v>47.44</c:v>
                </c:pt>
                <c:pt idx="107">
                  <c:v>48.75</c:v>
                </c:pt>
                <c:pt idx="108">
                  <c:v>49.2</c:v>
                </c:pt>
                <c:pt idx="109">
                  <c:v>50.27</c:v>
                </c:pt>
                <c:pt idx="110">
                  <c:v>52.25</c:v>
                </c:pt>
                <c:pt idx="111">
                  <c:v>52.21</c:v>
                </c:pt>
                <c:pt idx="112">
                  <c:v>52.92</c:v>
                </c:pt>
                <c:pt idx="113">
                  <c:v>54.24</c:v>
                </c:pt>
                <c:pt idx="114">
                  <c:v>54.51</c:v>
                </c:pt>
                <c:pt idx="115">
                  <c:v>54.19</c:v>
                </c:pt>
                <c:pt idx="116">
                  <c:v>53.04</c:v>
                </c:pt>
                <c:pt idx="117">
                  <c:v>52.19</c:v>
                </c:pt>
                <c:pt idx="118">
                  <c:v>52.59</c:v>
                </c:pt>
                <c:pt idx="119">
                  <c:v>52.78</c:v>
                </c:pt>
                <c:pt idx="120">
                  <c:v>53.28</c:v>
                </c:pt>
                <c:pt idx="121">
                  <c:v>52.74</c:v>
                </c:pt>
                <c:pt idx="122">
                  <c:v>52.44</c:v>
                </c:pt>
                <c:pt idx="123">
                  <c:v>51.77</c:v>
                </c:pt>
                <c:pt idx="124">
                  <c:v>51.57</c:v>
                </c:pt>
                <c:pt idx="125">
                  <c:v>50.94</c:v>
                </c:pt>
                <c:pt idx="126">
                  <c:v>51.24</c:v>
                </c:pt>
                <c:pt idx="127">
                  <c:v>52.87</c:v>
                </c:pt>
                <c:pt idx="128">
                  <c:v>55.16</c:v>
                </c:pt>
                <c:pt idx="129">
                  <c:v>55.17</c:v>
                </c:pt>
                <c:pt idx="130">
                  <c:v>53.93</c:v>
                </c:pt>
                <c:pt idx="131">
                  <c:v>53.11</c:v>
                </c:pt>
                <c:pt idx="132">
                  <c:v>53.1</c:v>
                </c:pt>
                <c:pt idx="133">
                  <c:v>53.12</c:v>
                </c:pt>
                <c:pt idx="134">
                  <c:v>51.84</c:v>
                </c:pt>
                <c:pt idx="135">
                  <c:v>50.18</c:v>
                </c:pt>
                <c:pt idx="136">
                  <c:v>49.75</c:v>
                </c:pt>
                <c:pt idx="137">
                  <c:v>49.11</c:v>
                </c:pt>
                <c:pt idx="138">
                  <c:v>48.13</c:v>
                </c:pt>
                <c:pt idx="139">
                  <c:v>48.95</c:v>
                </c:pt>
                <c:pt idx="140">
                  <c:v>49.03</c:v>
                </c:pt>
                <c:pt idx="141">
                  <c:v>49.74</c:v>
                </c:pt>
                <c:pt idx="142">
                  <c:v>50.51</c:v>
                </c:pt>
                <c:pt idx="143">
                  <c:v>49.07</c:v>
                </c:pt>
                <c:pt idx="144">
                  <c:v>48.34</c:v>
                </c:pt>
                <c:pt idx="145">
                  <c:v>49.29</c:v>
                </c:pt>
                <c:pt idx="146">
                  <c:v>49.66</c:v>
                </c:pt>
                <c:pt idx="147">
                  <c:v>48.45</c:v>
                </c:pt>
                <c:pt idx="148">
                  <c:v>49.04</c:v>
                </c:pt>
                <c:pt idx="149">
                  <c:v>48.64</c:v>
                </c:pt>
                <c:pt idx="150">
                  <c:v>49.49</c:v>
                </c:pt>
                <c:pt idx="151">
                  <c:v>49.45</c:v>
                </c:pt>
                <c:pt idx="152">
                  <c:v>50.39</c:v>
                </c:pt>
                <c:pt idx="153">
                  <c:v>49.92</c:v>
                </c:pt>
                <c:pt idx="154">
                  <c:v>50.67</c:v>
                </c:pt>
                <c:pt idx="155">
                  <c:v>51.34</c:v>
                </c:pt>
                <c:pt idx="156">
                  <c:v>50.4</c:v>
                </c:pt>
                <c:pt idx="157">
                  <c:v>50.65</c:v>
                </c:pt>
                <c:pt idx="158">
                  <c:v>52.47</c:v>
                </c:pt>
                <c:pt idx="159">
                  <c:v>52.88</c:v>
                </c:pt>
                <c:pt idx="160">
                  <c:v>53.41</c:v>
                </c:pt>
                <c:pt idx="161">
                  <c:v>53.71</c:v>
                </c:pt>
                <c:pt idx="162">
                  <c:v>53.99</c:v>
                </c:pt>
                <c:pt idx="163">
                  <c:v>53.91</c:v>
                </c:pt>
                <c:pt idx="164">
                  <c:v>53.04</c:v>
                </c:pt>
                <c:pt idx="165">
                  <c:v>52.37</c:v>
                </c:pt>
                <c:pt idx="166">
                  <c:v>52.68</c:v>
                </c:pt>
                <c:pt idx="167">
                  <c:v>53.2</c:v>
                </c:pt>
                <c:pt idx="168">
                  <c:v>53.26</c:v>
                </c:pt>
                <c:pt idx="169">
                  <c:v>53.96</c:v>
                </c:pt>
                <c:pt idx="170">
                  <c:v>53.47</c:v>
                </c:pt>
                <c:pt idx="171">
                  <c:v>51.78</c:v>
                </c:pt>
                <c:pt idx="172">
                  <c:v>49.97</c:v>
                </c:pt>
                <c:pt idx="173">
                  <c:v>47.91</c:v>
                </c:pt>
                <c:pt idx="174">
                  <c:v>47.92</c:v>
                </c:pt>
                <c:pt idx="175">
                  <c:v>48.51</c:v>
                </c:pt>
                <c:pt idx="176">
                  <c:v>47.48</c:v>
                </c:pt>
                <c:pt idx="177">
                  <c:v>46.53</c:v>
                </c:pt>
                <c:pt idx="178">
                  <c:v>48.11</c:v>
                </c:pt>
                <c:pt idx="179">
                  <c:v>49.07</c:v>
                </c:pt>
                <c:pt idx="180">
                  <c:v>50.09</c:v>
                </c:pt>
                <c:pt idx="181">
                  <c:v>51.59</c:v>
                </c:pt>
                <c:pt idx="182">
                  <c:v>51.88</c:v>
                </c:pt>
                <c:pt idx="183">
                  <c:v>50.66</c:v>
                </c:pt>
                <c:pt idx="184">
                  <c:v>50.94</c:v>
                </c:pt>
                <c:pt idx="185">
                  <c:v>52.43</c:v>
                </c:pt>
                <c:pt idx="186">
                  <c:v>52.31</c:v>
                </c:pt>
                <c:pt idx="187">
                  <c:v>51.64</c:v>
                </c:pt>
                <c:pt idx="188">
                  <c:v>52.75</c:v>
                </c:pt>
                <c:pt idx="189">
                  <c:v>53.42</c:v>
                </c:pt>
                <c:pt idx="190">
                  <c:v>53.17</c:v>
                </c:pt>
                <c:pt idx="191">
                  <c:v>52.89</c:v>
                </c:pt>
                <c:pt idx="192">
                  <c:v>52.04</c:v>
                </c:pt>
                <c:pt idx="193">
                  <c:v>51.79</c:v>
                </c:pt>
                <c:pt idx="194">
                  <c:v>51.39</c:v>
                </c:pt>
                <c:pt idx="195">
                  <c:v>51.75</c:v>
                </c:pt>
                <c:pt idx="196">
                  <c:v>50.75</c:v>
                </c:pt>
                <c:pt idx="197">
                  <c:v>51.37</c:v>
                </c:pt>
                <c:pt idx="198">
                  <c:v>50.82</c:v>
                </c:pt>
                <c:pt idx="199">
                  <c:v>51.12</c:v>
                </c:pt>
                <c:pt idx="200">
                  <c:v>51.23</c:v>
                </c:pt>
                <c:pt idx="201">
                  <c:v>51.77</c:v>
                </c:pt>
                <c:pt idx="202">
                  <c:v>52.3</c:v>
                </c:pt>
                <c:pt idx="203">
                  <c:v>51.95</c:v>
                </c:pt>
                <c:pt idx="204">
                  <c:v>50.72</c:v>
                </c:pt>
                <c:pt idx="205">
                  <c:v>50.51</c:v>
                </c:pt>
                <c:pt idx="206">
                  <c:v>50.61</c:v>
                </c:pt>
                <c:pt idx="207">
                  <c:v>49.69</c:v>
                </c:pt>
                <c:pt idx="208">
                  <c:v>49.86</c:v>
                </c:pt>
                <c:pt idx="209">
                  <c:v>49.86</c:v>
                </c:pt>
                <c:pt idx="210">
                  <c:v>49.27</c:v>
                </c:pt>
                <c:pt idx="211">
                  <c:v>49.57</c:v>
                </c:pt>
                <c:pt idx="212">
                  <c:v>49.78</c:v>
                </c:pt>
                <c:pt idx="213">
                  <c:v>49.95</c:v>
                </c:pt>
                <c:pt idx="214">
                  <c:v>48.29</c:v>
                </c:pt>
                <c:pt idx="215">
                  <c:v>50.11</c:v>
                </c:pt>
                <c:pt idx="216">
                  <c:v>49.75</c:v>
                </c:pt>
                <c:pt idx="217">
                  <c:v>49.86</c:v>
                </c:pt>
                <c:pt idx="218">
                  <c:v>49.27</c:v>
                </c:pt>
                <c:pt idx="219">
                  <c:v>48.58</c:v>
                </c:pt>
                <c:pt idx="220">
                  <c:v>49.15</c:v>
                </c:pt>
                <c:pt idx="221">
                  <c:v>48.9</c:v>
                </c:pt>
                <c:pt idx="222">
                  <c:v>48.01</c:v>
                </c:pt>
                <c:pt idx="223">
                  <c:v>47.43</c:v>
                </c:pt>
                <c:pt idx="224">
                  <c:v>47.9</c:v>
                </c:pt>
                <c:pt idx="225">
                  <c:v>46.82</c:v>
                </c:pt>
                <c:pt idx="226">
                  <c:v>46.23</c:v>
                </c:pt>
                <c:pt idx="227">
                  <c:v>45.85</c:v>
                </c:pt>
                <c:pt idx="228">
                  <c:v>45.23</c:v>
                </c:pt>
                <c:pt idx="229">
                  <c:v>46.63</c:v>
                </c:pt>
                <c:pt idx="230">
                  <c:v>45.7</c:v>
                </c:pt>
                <c:pt idx="231">
                  <c:v>45.76</c:v>
                </c:pt>
                <c:pt idx="232">
                  <c:v>46.13</c:v>
                </c:pt>
                <c:pt idx="233">
                  <c:v>47.08</c:v>
                </c:pt>
                <c:pt idx="234">
                  <c:v>47.84</c:v>
                </c:pt>
                <c:pt idx="235">
                  <c:v>47.76</c:v>
                </c:pt>
                <c:pt idx="236">
                  <c:v>46.19</c:v>
                </c:pt>
                <c:pt idx="237">
                  <c:v>46.15</c:v>
                </c:pt>
                <c:pt idx="238">
                  <c:v>45.94</c:v>
                </c:pt>
                <c:pt idx="239">
                  <c:v>46.03</c:v>
                </c:pt>
                <c:pt idx="240">
                  <c:v>45.44</c:v>
                </c:pt>
                <c:pt idx="241">
                  <c:v>44.77</c:v>
                </c:pt>
                <c:pt idx="242">
                  <c:v>43.92</c:v>
                </c:pt>
                <c:pt idx="243">
                  <c:v>44.57</c:v>
                </c:pt>
                <c:pt idx="244">
                  <c:v>44.08</c:v>
                </c:pt>
                <c:pt idx="245">
                  <c:v>43.83</c:v>
                </c:pt>
                <c:pt idx="246">
                  <c:v>44.09</c:v>
                </c:pt>
                <c:pt idx="247">
                  <c:v>44.43</c:v>
                </c:pt>
                <c:pt idx="248">
                  <c:v>44.16</c:v>
                </c:pt>
                <c:pt idx="249">
                  <c:v>43.76</c:v>
                </c:pt>
                <c:pt idx="250">
                  <c:v>44.14</c:v>
                </c:pt>
                <c:pt idx="251">
                  <c:v>44.46</c:v>
                </c:pt>
                <c:pt idx="252">
                  <c:v>44.12</c:v>
                </c:pt>
                <c:pt idx="253">
                  <c:v>43.09</c:v>
                </c:pt>
                <c:pt idx="254">
                  <c:v>42.32</c:v>
                </c:pt>
                <c:pt idx="255">
                  <c:v>41.75</c:v>
                </c:pt>
                <c:pt idx="256">
                  <c:v>41.92</c:v>
                </c:pt>
                <c:pt idx="257">
                  <c:v>42.03</c:v>
                </c:pt>
                <c:pt idx="258">
                  <c:v>42.98</c:v>
                </c:pt>
                <c:pt idx="259">
                  <c:v>42.86</c:v>
                </c:pt>
                <c:pt idx="260">
                  <c:v>43.65</c:v>
                </c:pt>
                <c:pt idx="261">
                  <c:v>44.09</c:v>
                </c:pt>
                <c:pt idx="262">
                  <c:v>43.11</c:v>
                </c:pt>
                <c:pt idx="263">
                  <c:v>42.91</c:v>
                </c:pt>
                <c:pt idx="264">
                  <c:v>44.95</c:v>
                </c:pt>
                <c:pt idx="265">
                  <c:v>45.54</c:v>
                </c:pt>
                <c:pt idx="266">
                  <c:v>45.59</c:v>
                </c:pt>
                <c:pt idx="267">
                  <c:v>46.06</c:v>
                </c:pt>
                <c:pt idx="268">
                  <c:v>45.74</c:v>
                </c:pt>
                <c:pt idx="269">
                  <c:v>47.43</c:v>
                </c:pt>
                <c:pt idx="270">
                  <c:v>46.55</c:v>
                </c:pt>
                <c:pt idx="271">
                  <c:v>48.01</c:v>
                </c:pt>
                <c:pt idx="272">
                  <c:v>47.07</c:v>
                </c:pt>
                <c:pt idx="273">
                  <c:v>46.57</c:v>
                </c:pt>
                <c:pt idx="274">
                  <c:v>47.22</c:v>
                </c:pt>
                <c:pt idx="275">
                  <c:v>47.09</c:v>
                </c:pt>
                <c:pt idx="276">
                  <c:v>47.35</c:v>
                </c:pt>
                <c:pt idx="277">
                  <c:v>46.72</c:v>
                </c:pt>
                <c:pt idx="278">
                  <c:v>47.38</c:v>
                </c:pt>
                <c:pt idx="279">
                  <c:v>47.6</c:v>
                </c:pt>
                <c:pt idx="280">
                  <c:v>49.24</c:v>
                </c:pt>
                <c:pt idx="281">
                  <c:v>48.57</c:v>
                </c:pt>
                <c:pt idx="282">
                  <c:v>48.05</c:v>
                </c:pt>
                <c:pt idx="283">
                  <c:v>48.33</c:v>
                </c:pt>
                <c:pt idx="284">
                  <c:v>48.23</c:v>
                </c:pt>
                <c:pt idx="285">
                  <c:v>48.18</c:v>
                </c:pt>
                <c:pt idx="286">
                  <c:v>49.08</c:v>
                </c:pt>
                <c:pt idx="287">
                  <c:v>48.85</c:v>
                </c:pt>
                <c:pt idx="288">
                  <c:v>49.21</c:v>
                </c:pt>
                <c:pt idx="289">
                  <c:v>49.57</c:v>
                </c:pt>
                <c:pt idx="290">
                  <c:v>49.49</c:v>
                </c:pt>
                <c:pt idx="291">
                  <c:v>50.13</c:v>
                </c:pt>
                <c:pt idx="292">
                  <c:v>51.08</c:v>
                </c:pt>
                <c:pt idx="293">
                  <c:v>50.91</c:v>
                </c:pt>
                <c:pt idx="294">
                  <c:v>50.73</c:v>
                </c:pt>
                <c:pt idx="295">
                  <c:v>49.71</c:v>
                </c:pt>
                <c:pt idx="296">
                  <c:v>50.24</c:v>
                </c:pt>
                <c:pt idx="297">
                  <c:v>51.78</c:v>
                </c:pt>
                <c:pt idx="298">
                  <c:v>51.72</c:v>
                </c:pt>
                <c:pt idx="299">
                  <c:v>52.16</c:v>
                </c:pt>
                <c:pt idx="300">
                  <c:v>53.07</c:v>
                </c:pt>
                <c:pt idx="301">
                  <c:v>54.48</c:v>
                </c:pt>
                <c:pt idx="302">
                  <c:v>53.61</c:v>
                </c:pt>
                <c:pt idx="303">
                  <c:v>51.4</c:v>
                </c:pt>
                <c:pt idx="304">
                  <c:v>51.36</c:v>
                </c:pt>
                <c:pt idx="305">
                  <c:v>51.32</c:v>
                </c:pt>
                <c:pt idx="306">
                  <c:v>51.66</c:v>
                </c:pt>
                <c:pt idx="307">
                  <c:v>51.64</c:v>
                </c:pt>
                <c:pt idx="308">
                  <c:v>51.83</c:v>
                </c:pt>
                <c:pt idx="309">
                  <c:v>51.13</c:v>
                </c:pt>
                <c:pt idx="310">
                  <c:v>50.8</c:v>
                </c:pt>
                <c:pt idx="311">
                  <c:v>51.33</c:v>
                </c:pt>
                <c:pt idx="312">
                  <c:v>51.24</c:v>
                </c:pt>
                <c:pt idx="313">
                  <c:v>51.26</c:v>
                </c:pt>
                <c:pt idx="314">
                  <c:v>50.13</c:v>
                </c:pt>
                <c:pt idx="315">
                  <c:v>49.66</c:v>
                </c:pt>
                <c:pt idx="316">
                  <c:v>50.92</c:v>
                </c:pt>
                <c:pt idx="317">
                  <c:v>48.39</c:v>
                </c:pt>
                <c:pt idx="318">
                  <c:v>47.62</c:v>
                </c:pt>
                <c:pt idx="319">
                  <c:v>47.45</c:v>
                </c:pt>
                <c:pt idx="320">
                  <c:v>47.71</c:v>
                </c:pt>
                <c:pt idx="321">
                  <c:v>47.85</c:v>
                </c:pt>
                <c:pt idx="322">
                  <c:v>46.08</c:v>
                </c:pt>
                <c:pt idx="323">
                  <c:v>45</c:v>
                </c:pt>
                <c:pt idx="324">
                  <c:v>44.96</c:v>
                </c:pt>
                <c:pt idx="325">
                  <c:v>45.11</c:v>
                </c:pt>
                <c:pt idx="326">
                  <c:v>44.98</c:v>
                </c:pt>
                <c:pt idx="327">
                  <c:v>44.71</c:v>
                </c:pt>
                <c:pt idx="328">
                  <c:v>45.07</c:v>
                </c:pt>
                <c:pt idx="329">
                  <c:v>44.25</c:v>
                </c:pt>
                <c:pt idx="330">
                  <c:v>43.79</c:v>
                </c:pt>
                <c:pt idx="331">
                  <c:v>43.55</c:v>
                </c:pt>
                <c:pt idx="332">
                  <c:v>44.16</c:v>
                </c:pt>
                <c:pt idx="333">
                  <c:v>43.97</c:v>
                </c:pt>
                <c:pt idx="334">
                  <c:v>44.34</c:v>
                </c:pt>
                <c:pt idx="335">
                  <c:v>44.06</c:v>
                </c:pt>
                <c:pt idx="336">
                  <c:v>43.76</c:v>
                </c:pt>
                <c:pt idx="337">
                  <c:v>43.59</c:v>
                </c:pt>
                <c:pt idx="338">
                  <c:v>43.98</c:v>
                </c:pt>
                <c:pt idx="339">
                  <c:v>43.34</c:v>
                </c:pt>
                <c:pt idx="340">
                  <c:v>43.88</c:v>
                </c:pt>
                <c:pt idx="341">
                  <c:v>43.99</c:v>
                </c:pt>
                <c:pt idx="342">
                  <c:v>43.72</c:v>
                </c:pt>
                <c:pt idx="343">
                  <c:v>43.32</c:v>
                </c:pt>
                <c:pt idx="344">
                  <c:v>42.95</c:v>
                </c:pt>
                <c:pt idx="345">
                  <c:v>43.21</c:v>
                </c:pt>
                <c:pt idx="346">
                  <c:v>42.7</c:v>
                </c:pt>
                <c:pt idx="347">
                  <c:v>42.38</c:v>
                </c:pt>
                <c:pt idx="348">
                  <c:v>42.3</c:v>
                </c:pt>
                <c:pt idx="349">
                  <c:v>41.75</c:v>
                </c:pt>
                <c:pt idx="350">
                  <c:v>40.78</c:v>
                </c:pt>
                <c:pt idx="351">
                  <c:v>40.57</c:v>
                </c:pt>
                <c:pt idx="352">
                  <c:v>40.18</c:v>
                </c:pt>
                <c:pt idx="353">
                  <c:v>40.619999999999997</c:v>
                </c:pt>
                <c:pt idx="354">
                  <c:v>41.15</c:v>
                </c:pt>
                <c:pt idx="355">
                  <c:v>41.11</c:v>
                </c:pt>
                <c:pt idx="356">
                  <c:v>40.340000000000003</c:v>
                </c:pt>
                <c:pt idx="357">
                  <c:v>40.119999999999997</c:v>
                </c:pt>
                <c:pt idx="358">
                  <c:v>39.46</c:v>
                </c:pt>
                <c:pt idx="359">
                  <c:v>39.39</c:v>
                </c:pt>
                <c:pt idx="360">
                  <c:v>39.86</c:v>
                </c:pt>
                <c:pt idx="361">
                  <c:v>39.9</c:v>
                </c:pt>
                <c:pt idx="362">
                  <c:v>40.28</c:v>
                </c:pt>
                <c:pt idx="363">
                  <c:v>40.369999999999997</c:v>
                </c:pt>
                <c:pt idx="364">
                  <c:v>40.1</c:v>
                </c:pt>
                <c:pt idx="365">
                  <c:v>40.81</c:v>
                </c:pt>
                <c:pt idx="366">
                  <c:v>40.659999999999997</c:v>
                </c:pt>
                <c:pt idx="367">
                  <c:v>40.01</c:v>
                </c:pt>
                <c:pt idx="368">
                  <c:v>40.18</c:v>
                </c:pt>
                <c:pt idx="369">
                  <c:v>40.39</c:v>
                </c:pt>
                <c:pt idx="370">
                  <c:v>40.22</c:v>
                </c:pt>
                <c:pt idx="371">
                  <c:v>39.99</c:v>
                </c:pt>
                <c:pt idx="372">
                  <c:v>40.25</c:v>
                </c:pt>
                <c:pt idx="373">
                  <c:v>40.380000000000003</c:v>
                </c:pt>
                <c:pt idx="374">
                  <c:v>40.799999999999997</c:v>
                </c:pt>
                <c:pt idx="375">
                  <c:v>41.35</c:v>
                </c:pt>
                <c:pt idx="376">
                  <c:v>40.9</c:v>
                </c:pt>
                <c:pt idx="377">
                  <c:v>41.55</c:v>
                </c:pt>
                <c:pt idx="378">
                  <c:v>41.5</c:v>
                </c:pt>
                <c:pt idx="379">
                  <c:v>41.73</c:v>
                </c:pt>
                <c:pt idx="380">
                  <c:v>41.79</c:v>
                </c:pt>
                <c:pt idx="381">
                  <c:v>41.37</c:v>
                </c:pt>
                <c:pt idx="382">
                  <c:v>41.47</c:v>
                </c:pt>
                <c:pt idx="383">
                  <c:v>41.19</c:v>
                </c:pt>
                <c:pt idx="384">
                  <c:v>41.18</c:v>
                </c:pt>
                <c:pt idx="385">
                  <c:v>40.549999999999997</c:v>
                </c:pt>
                <c:pt idx="386">
                  <c:v>40.24</c:v>
                </c:pt>
                <c:pt idx="387">
                  <c:v>39.85</c:v>
                </c:pt>
                <c:pt idx="388">
                  <c:v>40.21</c:v>
                </c:pt>
                <c:pt idx="389">
                  <c:v>39.909999999999997</c:v>
                </c:pt>
                <c:pt idx="390">
                  <c:v>39.33</c:v>
                </c:pt>
                <c:pt idx="391">
                  <c:v>38.630000000000003</c:v>
                </c:pt>
                <c:pt idx="392">
                  <c:v>38.74</c:v>
                </c:pt>
                <c:pt idx="393">
                  <c:v>38.89</c:v>
                </c:pt>
                <c:pt idx="394">
                  <c:v>39.21</c:v>
                </c:pt>
                <c:pt idx="395">
                  <c:v>39.06</c:v>
                </c:pt>
                <c:pt idx="396">
                  <c:v>38.450000000000003</c:v>
                </c:pt>
                <c:pt idx="397">
                  <c:v>38.229999999999997</c:v>
                </c:pt>
                <c:pt idx="398">
                  <c:v>38.49</c:v>
                </c:pt>
                <c:pt idx="399">
                  <c:v>38.67</c:v>
                </c:pt>
                <c:pt idx="400">
                  <c:v>38.479999999999997</c:v>
                </c:pt>
                <c:pt idx="401">
                  <c:v>38.299999999999997</c:v>
                </c:pt>
                <c:pt idx="402">
                  <c:v>37.58</c:v>
                </c:pt>
                <c:pt idx="403">
                  <c:v>37.35</c:v>
                </c:pt>
                <c:pt idx="404">
                  <c:v>37.159999999999997</c:v>
                </c:pt>
                <c:pt idx="405">
                  <c:v>37.01</c:v>
                </c:pt>
                <c:pt idx="406">
                  <c:v>36.75</c:v>
                </c:pt>
                <c:pt idx="407">
                  <c:v>36.479999999999997</c:v>
                </c:pt>
                <c:pt idx="408">
                  <c:v>36.770000000000003</c:v>
                </c:pt>
                <c:pt idx="409">
                  <c:v>38.75</c:v>
                </c:pt>
                <c:pt idx="410">
                  <c:v>39.64</c:v>
                </c:pt>
                <c:pt idx="411">
                  <c:v>38.630000000000003</c:v>
                </c:pt>
                <c:pt idx="412">
                  <c:v>37.83</c:v>
                </c:pt>
                <c:pt idx="413">
                  <c:v>37.6</c:v>
                </c:pt>
                <c:pt idx="414">
                  <c:v>37.01</c:v>
                </c:pt>
                <c:pt idx="415">
                  <c:v>38.020000000000003</c:v>
                </c:pt>
                <c:pt idx="416">
                  <c:v>38.020000000000003</c:v>
                </c:pt>
                <c:pt idx="417">
                  <c:v>38.36</c:v>
                </c:pt>
                <c:pt idx="418">
                  <c:v>38.65</c:v>
                </c:pt>
                <c:pt idx="419">
                  <c:v>38.369999999999997</c:v>
                </c:pt>
                <c:pt idx="420">
                  <c:v>38.89</c:v>
                </c:pt>
                <c:pt idx="421">
                  <c:v>39.090000000000003</c:v>
                </c:pt>
                <c:pt idx="422">
                  <c:v>38.97</c:v>
                </c:pt>
                <c:pt idx="423">
                  <c:v>39.9</c:v>
                </c:pt>
                <c:pt idx="424">
                  <c:v>40.28</c:v>
                </c:pt>
                <c:pt idx="425">
                  <c:v>39.36</c:v>
                </c:pt>
                <c:pt idx="426">
                  <c:v>39.75</c:v>
                </c:pt>
                <c:pt idx="427">
                  <c:v>40.06</c:v>
                </c:pt>
                <c:pt idx="428">
                  <c:v>39.340000000000003</c:v>
                </c:pt>
                <c:pt idx="429">
                  <c:v>38.9</c:v>
                </c:pt>
                <c:pt idx="430">
                  <c:v>38.729999999999997</c:v>
                </c:pt>
                <c:pt idx="431">
                  <c:v>38.299999999999997</c:v>
                </c:pt>
                <c:pt idx="432">
                  <c:v>36.89</c:v>
                </c:pt>
                <c:pt idx="433">
                  <c:v>36.42</c:v>
                </c:pt>
                <c:pt idx="434">
                  <c:v>36.29</c:v>
                </c:pt>
                <c:pt idx="435">
                  <c:v>36.119999999999997</c:v>
                </c:pt>
                <c:pt idx="436">
                  <c:v>36.68</c:v>
                </c:pt>
                <c:pt idx="437">
                  <c:v>36.65</c:v>
                </c:pt>
                <c:pt idx="438">
                  <c:v>36.46</c:v>
                </c:pt>
                <c:pt idx="439">
                  <c:v>35.630000000000003</c:v>
                </c:pt>
                <c:pt idx="440">
                  <c:v>35.53</c:v>
                </c:pt>
                <c:pt idx="441">
                  <c:v>35.68</c:v>
                </c:pt>
                <c:pt idx="442">
                  <c:v>36.020000000000003</c:v>
                </c:pt>
                <c:pt idx="443">
                  <c:v>35.99</c:v>
                </c:pt>
                <c:pt idx="444">
                  <c:v>36.06</c:v>
                </c:pt>
                <c:pt idx="445">
                  <c:v>36.32</c:v>
                </c:pt>
                <c:pt idx="446">
                  <c:v>35.86</c:v>
                </c:pt>
                <c:pt idx="447">
                  <c:v>36.24</c:v>
                </c:pt>
                <c:pt idx="448">
                  <c:v>36.44</c:v>
                </c:pt>
                <c:pt idx="449">
                  <c:v>36.770000000000003</c:v>
                </c:pt>
                <c:pt idx="450">
                  <c:v>37.4</c:v>
                </c:pt>
                <c:pt idx="451">
                  <c:v>37.51</c:v>
                </c:pt>
                <c:pt idx="452">
                  <c:v>37.06</c:v>
                </c:pt>
                <c:pt idx="453">
                  <c:v>37.21</c:v>
                </c:pt>
                <c:pt idx="454">
                  <c:v>36.200000000000003</c:v>
                </c:pt>
                <c:pt idx="455">
                  <c:v>36.07</c:v>
                </c:pt>
                <c:pt idx="456">
                  <c:v>36.06</c:v>
                </c:pt>
                <c:pt idx="457">
                  <c:v>35.61</c:v>
                </c:pt>
                <c:pt idx="458">
                  <c:v>35.35</c:v>
                </c:pt>
                <c:pt idx="459">
                  <c:v>35</c:v>
                </c:pt>
                <c:pt idx="460">
                  <c:v>35.020000000000003</c:v>
                </c:pt>
                <c:pt idx="461">
                  <c:v>35.68</c:v>
                </c:pt>
                <c:pt idx="462">
                  <c:v>35.64</c:v>
                </c:pt>
                <c:pt idx="463">
                  <c:v>35.840000000000003</c:v>
                </c:pt>
                <c:pt idx="464">
                  <c:v>35.72</c:v>
                </c:pt>
                <c:pt idx="465">
                  <c:v>36.04</c:v>
                </c:pt>
                <c:pt idx="466">
                  <c:v>36.07</c:v>
                </c:pt>
                <c:pt idx="467">
                  <c:v>35.39</c:v>
                </c:pt>
                <c:pt idx="468">
                  <c:v>35.479999999999997</c:v>
                </c:pt>
                <c:pt idx="469">
                  <c:v>36.51</c:v>
                </c:pt>
                <c:pt idx="470">
                  <c:v>36.659999999999997</c:v>
                </c:pt>
                <c:pt idx="471">
                  <c:v>37.01</c:v>
                </c:pt>
                <c:pt idx="472">
                  <c:v>36.840000000000003</c:v>
                </c:pt>
                <c:pt idx="473">
                  <c:v>36.659999999999997</c:v>
                </c:pt>
                <c:pt idx="474">
                  <c:v>36.159999999999997</c:v>
                </c:pt>
                <c:pt idx="475">
                  <c:v>36.380000000000003</c:v>
                </c:pt>
                <c:pt idx="476">
                  <c:v>36.21</c:v>
                </c:pt>
                <c:pt idx="477">
                  <c:v>36.15</c:v>
                </c:pt>
                <c:pt idx="478">
                  <c:v>35.9</c:v>
                </c:pt>
                <c:pt idx="479">
                  <c:v>35.380000000000003</c:v>
                </c:pt>
                <c:pt idx="480">
                  <c:v>35.78</c:v>
                </c:pt>
                <c:pt idx="481">
                  <c:v>35.380000000000003</c:v>
                </c:pt>
                <c:pt idx="482">
                  <c:v>34.369999999999997</c:v>
                </c:pt>
                <c:pt idx="483">
                  <c:v>34.28</c:v>
                </c:pt>
                <c:pt idx="484">
                  <c:v>34.25</c:v>
                </c:pt>
                <c:pt idx="485">
                  <c:v>33.94</c:v>
                </c:pt>
                <c:pt idx="486">
                  <c:v>34.15</c:v>
                </c:pt>
                <c:pt idx="487">
                  <c:v>34.08</c:v>
                </c:pt>
                <c:pt idx="488">
                  <c:v>34.15</c:v>
                </c:pt>
                <c:pt idx="489">
                  <c:v>34.07</c:v>
                </c:pt>
                <c:pt idx="490">
                  <c:v>33.64</c:v>
                </c:pt>
                <c:pt idx="491">
                  <c:v>33.99</c:v>
                </c:pt>
                <c:pt idx="492">
                  <c:v>33.619999999999997</c:v>
                </c:pt>
                <c:pt idx="493">
                  <c:v>32.85</c:v>
                </c:pt>
                <c:pt idx="494">
                  <c:v>32.69</c:v>
                </c:pt>
                <c:pt idx="495">
                  <c:v>32.979999999999997</c:v>
                </c:pt>
                <c:pt idx="496">
                  <c:v>32.4</c:v>
                </c:pt>
                <c:pt idx="497">
                  <c:v>32.1</c:v>
                </c:pt>
                <c:pt idx="498">
                  <c:v>32.090000000000003</c:v>
                </c:pt>
                <c:pt idx="499">
                  <c:v>33.17</c:v>
                </c:pt>
                <c:pt idx="500">
                  <c:v>33.94</c:v>
                </c:pt>
                <c:pt idx="501">
                  <c:v>33.9</c:v>
                </c:pt>
                <c:pt idx="502">
                  <c:v>33.31</c:v>
                </c:pt>
                <c:pt idx="503">
                  <c:v>33.47</c:v>
                </c:pt>
                <c:pt idx="504">
                  <c:v>33.130000000000003</c:v>
                </c:pt>
                <c:pt idx="505">
                  <c:v>33.200000000000003</c:v>
                </c:pt>
                <c:pt idx="506">
                  <c:v>33.17</c:v>
                </c:pt>
                <c:pt idx="507">
                  <c:v>33.11</c:v>
                </c:pt>
                <c:pt idx="508">
                  <c:v>32.92</c:v>
                </c:pt>
                <c:pt idx="509">
                  <c:v>32.11</c:v>
                </c:pt>
                <c:pt idx="510">
                  <c:v>33.270000000000003</c:v>
                </c:pt>
                <c:pt idx="511">
                  <c:v>32.75</c:v>
                </c:pt>
                <c:pt idx="512">
                  <c:v>31.41</c:v>
                </c:pt>
                <c:pt idx="513">
                  <c:v>31.19</c:v>
                </c:pt>
                <c:pt idx="514">
                  <c:v>30.65</c:v>
                </c:pt>
                <c:pt idx="515">
                  <c:v>30.84</c:v>
                </c:pt>
                <c:pt idx="516">
                  <c:v>30.43</c:v>
                </c:pt>
                <c:pt idx="517">
                  <c:v>30.73</c:v>
                </c:pt>
                <c:pt idx="518">
                  <c:v>31.16</c:v>
                </c:pt>
                <c:pt idx="519">
                  <c:v>30.11</c:v>
                </c:pt>
                <c:pt idx="520">
                  <c:v>30.55</c:v>
                </c:pt>
                <c:pt idx="521">
                  <c:v>30.56</c:v>
                </c:pt>
                <c:pt idx="522">
                  <c:v>30.51</c:v>
                </c:pt>
                <c:pt idx="523">
                  <c:v>30.5</c:v>
                </c:pt>
                <c:pt idx="524">
                  <c:v>31.26</c:v>
                </c:pt>
                <c:pt idx="525">
                  <c:v>31.18</c:v>
                </c:pt>
                <c:pt idx="526">
                  <c:v>31.25</c:v>
                </c:pt>
                <c:pt idx="527">
                  <c:v>30.82</c:v>
                </c:pt>
                <c:pt idx="528">
                  <c:v>29.68</c:v>
                </c:pt>
                <c:pt idx="529">
                  <c:v>29.48</c:v>
                </c:pt>
                <c:pt idx="530">
                  <c:v>28.98</c:v>
                </c:pt>
                <c:pt idx="531">
                  <c:v>29.26</c:v>
                </c:pt>
                <c:pt idx="532">
                  <c:v>30.19</c:v>
                </c:pt>
                <c:pt idx="533">
                  <c:v>29.77</c:v>
                </c:pt>
                <c:pt idx="534">
                  <c:v>29.92</c:v>
                </c:pt>
                <c:pt idx="535">
                  <c:v>29.98</c:v>
                </c:pt>
                <c:pt idx="536">
                  <c:v>30.3</c:v>
                </c:pt>
                <c:pt idx="537">
                  <c:v>30.32</c:v>
                </c:pt>
                <c:pt idx="538">
                  <c:v>30.5</c:v>
                </c:pt>
                <c:pt idx="539">
                  <c:v>30.14</c:v>
                </c:pt>
                <c:pt idx="540">
                  <c:v>29.69</c:v>
                </c:pt>
                <c:pt idx="541">
                  <c:v>30.08</c:v>
                </c:pt>
                <c:pt idx="542">
                  <c:v>30.47</c:v>
                </c:pt>
                <c:pt idx="543">
                  <c:v>28.91</c:v>
                </c:pt>
                <c:pt idx="544">
                  <c:v>29.28</c:v>
                </c:pt>
                <c:pt idx="545">
                  <c:v>29.09</c:v>
                </c:pt>
                <c:pt idx="546">
                  <c:v>28.79</c:v>
                </c:pt>
                <c:pt idx="547">
                  <c:v>28.63</c:v>
                </c:pt>
                <c:pt idx="548">
                  <c:v>28.78</c:v>
                </c:pt>
                <c:pt idx="549">
                  <c:v>28.64</c:v>
                </c:pt>
                <c:pt idx="550">
                  <c:v>28.58</c:v>
                </c:pt>
                <c:pt idx="551">
                  <c:v>26.66</c:v>
                </c:pt>
                <c:pt idx="552">
                  <c:v>26.13</c:v>
                </c:pt>
                <c:pt idx="553">
                  <c:v>26.63</c:v>
                </c:pt>
                <c:pt idx="554">
                  <c:v>27.06</c:v>
                </c:pt>
                <c:pt idx="555">
                  <c:v>28.16</c:v>
                </c:pt>
                <c:pt idx="556">
                  <c:v>27.63</c:v>
                </c:pt>
                <c:pt idx="557">
                  <c:v>28.31</c:v>
                </c:pt>
                <c:pt idx="558">
                  <c:v>28.4</c:v>
                </c:pt>
                <c:pt idx="559">
                  <c:v>28.41</c:v>
                </c:pt>
                <c:pt idx="560">
                  <c:v>28.61</c:v>
                </c:pt>
                <c:pt idx="561">
                  <c:v>28.79</c:v>
                </c:pt>
                <c:pt idx="562">
                  <c:v>28.79</c:v>
                </c:pt>
                <c:pt idx="563">
                  <c:v>29.73</c:v>
                </c:pt>
                <c:pt idx="564">
                  <c:v>29.73</c:v>
                </c:pt>
                <c:pt idx="565">
                  <c:v>29.09</c:v>
                </c:pt>
                <c:pt idx="566">
                  <c:v>29.47</c:v>
                </c:pt>
                <c:pt idx="567">
                  <c:v>29.58</c:v>
                </c:pt>
                <c:pt idx="568">
                  <c:v>29.4</c:v>
                </c:pt>
                <c:pt idx="569">
                  <c:v>28.99</c:v>
                </c:pt>
                <c:pt idx="570">
                  <c:v>28.4</c:v>
                </c:pt>
                <c:pt idx="571">
                  <c:v>28.7</c:v>
                </c:pt>
                <c:pt idx="572">
                  <c:v>28.32</c:v>
                </c:pt>
                <c:pt idx="573">
                  <c:v>28.15</c:v>
                </c:pt>
                <c:pt idx="574">
                  <c:v>28.09</c:v>
                </c:pt>
                <c:pt idx="575">
                  <c:v>28.28</c:v>
                </c:pt>
                <c:pt idx="576">
                  <c:v>28.31</c:v>
                </c:pt>
                <c:pt idx="577">
                  <c:v>28.43</c:v>
                </c:pt>
                <c:pt idx="578">
                  <c:v>28.33</c:v>
                </c:pt>
                <c:pt idx="579">
                  <c:v>27.47</c:v>
                </c:pt>
                <c:pt idx="580">
                  <c:v>27.47</c:v>
                </c:pt>
                <c:pt idx="581">
                  <c:v>27.48</c:v>
                </c:pt>
                <c:pt idx="582">
                  <c:v>27.02</c:v>
                </c:pt>
                <c:pt idx="583">
                  <c:v>27.08</c:v>
                </c:pt>
                <c:pt idx="584">
                  <c:v>27.29</c:v>
                </c:pt>
                <c:pt idx="585">
                  <c:v>26.93</c:v>
                </c:pt>
                <c:pt idx="586">
                  <c:v>26.57</c:v>
                </c:pt>
                <c:pt idx="587">
                  <c:v>27.5</c:v>
                </c:pt>
                <c:pt idx="588">
                  <c:v>27.56</c:v>
                </c:pt>
                <c:pt idx="589">
                  <c:v>27.57</c:v>
                </c:pt>
                <c:pt idx="590">
                  <c:v>27.56</c:v>
                </c:pt>
                <c:pt idx="591">
                  <c:v>27.66</c:v>
                </c:pt>
                <c:pt idx="592">
                  <c:v>26.97</c:v>
                </c:pt>
                <c:pt idx="593">
                  <c:v>27.11</c:v>
                </c:pt>
                <c:pt idx="594">
                  <c:v>27.51</c:v>
                </c:pt>
                <c:pt idx="595">
                  <c:v>27.62</c:v>
                </c:pt>
                <c:pt idx="596">
                  <c:v>27.59</c:v>
                </c:pt>
                <c:pt idx="597">
                  <c:v>27.67</c:v>
                </c:pt>
                <c:pt idx="598">
                  <c:v>27.55</c:v>
                </c:pt>
                <c:pt idx="599">
                  <c:v>27.76</c:v>
                </c:pt>
                <c:pt idx="600">
                  <c:v>27.18</c:v>
                </c:pt>
                <c:pt idx="601">
                  <c:v>26.89</c:v>
                </c:pt>
                <c:pt idx="602">
                  <c:v>27.04</c:v>
                </c:pt>
                <c:pt idx="603">
                  <c:v>26.56</c:v>
                </c:pt>
                <c:pt idx="604">
                  <c:v>26.59</c:v>
                </c:pt>
                <c:pt idx="605">
                  <c:v>25.89</c:v>
                </c:pt>
                <c:pt idx="606">
                  <c:v>26.08</c:v>
                </c:pt>
                <c:pt idx="607">
                  <c:v>27.19</c:v>
                </c:pt>
                <c:pt idx="608">
                  <c:v>26.79</c:v>
                </c:pt>
                <c:pt idx="609">
                  <c:v>27.22</c:v>
                </c:pt>
                <c:pt idx="610">
                  <c:v>28.37</c:v>
                </c:pt>
                <c:pt idx="611">
                  <c:v>28.01</c:v>
                </c:pt>
                <c:pt idx="612">
                  <c:v>28.22</c:v>
                </c:pt>
                <c:pt idx="613">
                  <c:v>28.13</c:v>
                </c:pt>
                <c:pt idx="614">
                  <c:v>27.94</c:v>
                </c:pt>
                <c:pt idx="615">
                  <c:v>27.72</c:v>
                </c:pt>
                <c:pt idx="616">
                  <c:v>27.63</c:v>
                </c:pt>
                <c:pt idx="617">
                  <c:v>27.7</c:v>
                </c:pt>
                <c:pt idx="618">
                  <c:v>27.66</c:v>
                </c:pt>
                <c:pt idx="619">
                  <c:v>27.36</c:v>
                </c:pt>
                <c:pt idx="620">
                  <c:v>27.43</c:v>
                </c:pt>
                <c:pt idx="621">
                  <c:v>27.59</c:v>
                </c:pt>
                <c:pt idx="622">
                  <c:v>27.78</c:v>
                </c:pt>
                <c:pt idx="623">
                  <c:v>27.75</c:v>
                </c:pt>
                <c:pt idx="624">
                  <c:v>27.72</c:v>
                </c:pt>
                <c:pt idx="625">
                  <c:v>27.55</c:v>
                </c:pt>
                <c:pt idx="626">
                  <c:v>27.22</c:v>
                </c:pt>
                <c:pt idx="627">
                  <c:v>26.65</c:v>
                </c:pt>
                <c:pt idx="628">
                  <c:v>26.66</c:v>
                </c:pt>
                <c:pt idx="629">
                  <c:v>26.58</c:v>
                </c:pt>
                <c:pt idx="630">
                  <c:v>26.78</c:v>
                </c:pt>
                <c:pt idx="631">
                  <c:v>26.32</c:v>
                </c:pt>
                <c:pt idx="632">
                  <c:v>26.34</c:v>
                </c:pt>
                <c:pt idx="633">
                  <c:v>25.86</c:v>
                </c:pt>
                <c:pt idx="634">
                  <c:v>25.91</c:v>
                </c:pt>
                <c:pt idx="635">
                  <c:v>25.69</c:v>
                </c:pt>
                <c:pt idx="636">
                  <c:v>25.42</c:v>
                </c:pt>
                <c:pt idx="637">
                  <c:v>25.39</c:v>
                </c:pt>
                <c:pt idx="638">
                  <c:v>26</c:v>
                </c:pt>
                <c:pt idx="639">
                  <c:v>26.26</c:v>
                </c:pt>
                <c:pt idx="640">
                  <c:v>26.32</c:v>
                </c:pt>
                <c:pt idx="641">
                  <c:v>26.27</c:v>
                </c:pt>
                <c:pt idx="642">
                  <c:v>25.26</c:v>
                </c:pt>
                <c:pt idx="643">
                  <c:v>25.4</c:v>
                </c:pt>
                <c:pt idx="644">
                  <c:v>25.64</c:v>
                </c:pt>
                <c:pt idx="645">
                  <c:v>25.62</c:v>
                </c:pt>
                <c:pt idx="646">
                  <c:v>27.18</c:v>
                </c:pt>
                <c:pt idx="647">
                  <c:v>27.7</c:v>
                </c:pt>
                <c:pt idx="648">
                  <c:v>27.81</c:v>
                </c:pt>
                <c:pt idx="649">
                  <c:v>28.16</c:v>
                </c:pt>
                <c:pt idx="650">
                  <c:v>27.77</c:v>
                </c:pt>
                <c:pt idx="651">
                  <c:v>28.27</c:v>
                </c:pt>
                <c:pt idx="652">
                  <c:v>28.18</c:v>
                </c:pt>
                <c:pt idx="653">
                  <c:v>28.01</c:v>
                </c:pt>
                <c:pt idx="654">
                  <c:v>28.44</c:v>
                </c:pt>
                <c:pt idx="655">
                  <c:v>28.38</c:v>
                </c:pt>
                <c:pt idx="656">
                  <c:v>28.82</c:v>
                </c:pt>
                <c:pt idx="657">
                  <c:v>28.92</c:v>
                </c:pt>
                <c:pt idx="658">
                  <c:v>28.64</c:v>
                </c:pt>
                <c:pt idx="659">
                  <c:v>28.53</c:v>
                </c:pt>
                <c:pt idx="660">
                  <c:v>28.56</c:v>
                </c:pt>
                <c:pt idx="661">
                  <c:v>29.6</c:v>
                </c:pt>
                <c:pt idx="662">
                  <c:v>28.69</c:v>
                </c:pt>
                <c:pt idx="663">
                  <c:v>28.88</c:v>
                </c:pt>
                <c:pt idx="664">
                  <c:v>28.3</c:v>
                </c:pt>
                <c:pt idx="665">
                  <c:v>27.82</c:v>
                </c:pt>
                <c:pt idx="666">
                  <c:v>28.2</c:v>
                </c:pt>
                <c:pt idx="667">
                  <c:v>28.66</c:v>
                </c:pt>
                <c:pt idx="668">
                  <c:v>29.31</c:v>
                </c:pt>
                <c:pt idx="669">
                  <c:v>29.49</c:v>
                </c:pt>
                <c:pt idx="670">
                  <c:v>29.55</c:v>
                </c:pt>
                <c:pt idx="671">
                  <c:v>28.8</c:v>
                </c:pt>
                <c:pt idx="672">
                  <c:v>28.58</c:v>
                </c:pt>
                <c:pt idx="673">
                  <c:v>28.07</c:v>
                </c:pt>
                <c:pt idx="674">
                  <c:v>28.03</c:v>
                </c:pt>
                <c:pt idx="675">
                  <c:v>27.66</c:v>
                </c:pt>
                <c:pt idx="676">
                  <c:v>27.65</c:v>
                </c:pt>
                <c:pt idx="677">
                  <c:v>27.53</c:v>
                </c:pt>
                <c:pt idx="678">
                  <c:v>26.98</c:v>
                </c:pt>
                <c:pt idx="679">
                  <c:v>27.41</c:v>
                </c:pt>
                <c:pt idx="680">
                  <c:v>27.74</c:v>
                </c:pt>
                <c:pt idx="681">
                  <c:v>27.74</c:v>
                </c:pt>
                <c:pt idx="682">
                  <c:v>28.36</c:v>
                </c:pt>
                <c:pt idx="683">
                  <c:v>27.99</c:v>
                </c:pt>
                <c:pt idx="684">
                  <c:v>27.42</c:v>
                </c:pt>
                <c:pt idx="685">
                  <c:v>27.8</c:v>
                </c:pt>
                <c:pt idx="686">
                  <c:v>27.98</c:v>
                </c:pt>
                <c:pt idx="687">
                  <c:v>28.22</c:v>
                </c:pt>
                <c:pt idx="688">
                  <c:v>27.83</c:v>
                </c:pt>
                <c:pt idx="689">
                  <c:v>27.7</c:v>
                </c:pt>
                <c:pt idx="690">
                  <c:v>28.05</c:v>
                </c:pt>
                <c:pt idx="691">
                  <c:v>27.93</c:v>
                </c:pt>
                <c:pt idx="692">
                  <c:v>27.72</c:v>
                </c:pt>
                <c:pt idx="693">
                  <c:v>28.35</c:v>
                </c:pt>
                <c:pt idx="694">
                  <c:v>28.66</c:v>
                </c:pt>
                <c:pt idx="695">
                  <c:v>28.92</c:v>
                </c:pt>
                <c:pt idx="696">
                  <c:v>29.1</c:v>
                </c:pt>
                <c:pt idx="697">
                  <c:v>29.5</c:v>
                </c:pt>
                <c:pt idx="698">
                  <c:v>30.03</c:v>
                </c:pt>
                <c:pt idx="699">
                  <c:v>29.71</c:v>
                </c:pt>
                <c:pt idx="700">
                  <c:v>29.97</c:v>
                </c:pt>
                <c:pt idx="701">
                  <c:v>29.6</c:v>
                </c:pt>
                <c:pt idx="702">
                  <c:v>29.5</c:v>
                </c:pt>
                <c:pt idx="703">
                  <c:v>29.98</c:v>
                </c:pt>
                <c:pt idx="704">
                  <c:v>30.18</c:v>
                </c:pt>
                <c:pt idx="705">
                  <c:v>30.77</c:v>
                </c:pt>
                <c:pt idx="706">
                  <c:v>30.72</c:v>
                </c:pt>
                <c:pt idx="707">
                  <c:v>31.39</c:v>
                </c:pt>
                <c:pt idx="708">
                  <c:v>30.54</c:v>
                </c:pt>
                <c:pt idx="709">
                  <c:v>30.65</c:v>
                </c:pt>
                <c:pt idx="710">
                  <c:v>30.43</c:v>
                </c:pt>
                <c:pt idx="711">
                  <c:v>29.74</c:v>
                </c:pt>
                <c:pt idx="712">
                  <c:v>29.32</c:v>
                </c:pt>
                <c:pt idx="713">
                  <c:v>28.85</c:v>
                </c:pt>
                <c:pt idx="714">
                  <c:v>28.76</c:v>
                </c:pt>
                <c:pt idx="715">
                  <c:v>28.55</c:v>
                </c:pt>
                <c:pt idx="716">
                  <c:v>28.45</c:v>
                </c:pt>
                <c:pt idx="717">
                  <c:v>28.85</c:v>
                </c:pt>
                <c:pt idx="718">
                  <c:v>28.88</c:v>
                </c:pt>
                <c:pt idx="719">
                  <c:v>28.71</c:v>
                </c:pt>
                <c:pt idx="720">
                  <c:v>28.3</c:v>
                </c:pt>
                <c:pt idx="721">
                  <c:v>28.8</c:v>
                </c:pt>
                <c:pt idx="722">
                  <c:v>28.9</c:v>
                </c:pt>
                <c:pt idx="723">
                  <c:v>29.03</c:v>
                </c:pt>
                <c:pt idx="724">
                  <c:v>28.78</c:v>
                </c:pt>
                <c:pt idx="725">
                  <c:v>28.9</c:v>
                </c:pt>
                <c:pt idx="726">
                  <c:v>28.92</c:v>
                </c:pt>
                <c:pt idx="727">
                  <c:v>28.82</c:v>
                </c:pt>
                <c:pt idx="728">
                  <c:v>28.75</c:v>
                </c:pt>
                <c:pt idx="729">
                  <c:v>28.72</c:v>
                </c:pt>
                <c:pt idx="730">
                  <c:v>29.01</c:v>
                </c:pt>
                <c:pt idx="731">
                  <c:v>28.3</c:v>
                </c:pt>
                <c:pt idx="732">
                  <c:v>28.39</c:v>
                </c:pt>
                <c:pt idx="733">
                  <c:v>28.51</c:v>
                </c:pt>
                <c:pt idx="734">
                  <c:v>28.56</c:v>
                </c:pt>
                <c:pt idx="735">
                  <c:v>29.41</c:v>
                </c:pt>
                <c:pt idx="736">
                  <c:v>29.74</c:v>
                </c:pt>
                <c:pt idx="737">
                  <c:v>29.66</c:v>
                </c:pt>
                <c:pt idx="738">
                  <c:v>29.16</c:v>
                </c:pt>
                <c:pt idx="739">
                  <c:v>29.27</c:v>
                </c:pt>
                <c:pt idx="740">
                  <c:v>30.07</c:v>
                </c:pt>
                <c:pt idx="741">
                  <c:v>29.83</c:v>
                </c:pt>
                <c:pt idx="742">
                  <c:v>29.75</c:v>
                </c:pt>
                <c:pt idx="743">
                  <c:v>29.66</c:v>
                </c:pt>
                <c:pt idx="744">
                  <c:v>29.42</c:v>
                </c:pt>
                <c:pt idx="745">
                  <c:v>29.31</c:v>
                </c:pt>
                <c:pt idx="746">
                  <c:v>29.5</c:v>
                </c:pt>
                <c:pt idx="747">
                  <c:v>28.93</c:v>
                </c:pt>
                <c:pt idx="748">
                  <c:v>28.97</c:v>
                </c:pt>
                <c:pt idx="749">
                  <c:v>29.09</c:v>
                </c:pt>
                <c:pt idx="750">
                  <c:v>28.94</c:v>
                </c:pt>
                <c:pt idx="751">
                  <c:v>28.67</c:v>
                </c:pt>
                <c:pt idx="752">
                  <c:v>28.61</c:v>
                </c:pt>
                <c:pt idx="753">
                  <c:v>28.34</c:v>
                </c:pt>
                <c:pt idx="754">
                  <c:v>28.58</c:v>
                </c:pt>
                <c:pt idx="755">
                  <c:v>29.2</c:v>
                </c:pt>
                <c:pt idx="756">
                  <c:v>29.18</c:v>
                </c:pt>
                <c:pt idx="757">
                  <c:v>30.19</c:v>
                </c:pt>
                <c:pt idx="758">
                  <c:v>29.34</c:v>
                </c:pt>
                <c:pt idx="759">
                  <c:v>29.16</c:v>
                </c:pt>
                <c:pt idx="760">
                  <c:v>29.08</c:v>
                </c:pt>
                <c:pt idx="761">
                  <c:v>29.44</c:v>
                </c:pt>
                <c:pt idx="762">
                  <c:v>29.67</c:v>
                </c:pt>
                <c:pt idx="763">
                  <c:v>29.27</c:v>
                </c:pt>
                <c:pt idx="764">
                  <c:v>29.22</c:v>
                </c:pt>
                <c:pt idx="765">
                  <c:v>28.93</c:v>
                </c:pt>
                <c:pt idx="766">
                  <c:v>28.84</c:v>
                </c:pt>
                <c:pt idx="767">
                  <c:v>28.86</c:v>
                </c:pt>
                <c:pt idx="768">
                  <c:v>28.64</c:v>
                </c:pt>
                <c:pt idx="769">
                  <c:v>28.45</c:v>
                </c:pt>
                <c:pt idx="770">
                  <c:v>28.86</c:v>
                </c:pt>
                <c:pt idx="771">
                  <c:v>28.46</c:v>
                </c:pt>
                <c:pt idx="772">
                  <c:v>28.52</c:v>
                </c:pt>
                <c:pt idx="773">
                  <c:v>28.3</c:v>
                </c:pt>
                <c:pt idx="774">
                  <c:v>28.09</c:v>
                </c:pt>
                <c:pt idx="775">
                  <c:v>27.76</c:v>
                </c:pt>
                <c:pt idx="776">
                  <c:v>27.99</c:v>
                </c:pt>
                <c:pt idx="777">
                  <c:v>27.36</c:v>
                </c:pt>
                <c:pt idx="778">
                  <c:v>27.46</c:v>
                </c:pt>
                <c:pt idx="779">
                  <c:v>26.72</c:v>
                </c:pt>
                <c:pt idx="780">
                  <c:v>26.24</c:v>
                </c:pt>
                <c:pt idx="781">
                  <c:v>26.19</c:v>
                </c:pt>
                <c:pt idx="782">
                  <c:v>26.72</c:v>
                </c:pt>
                <c:pt idx="783">
                  <c:v>26.02</c:v>
                </c:pt>
                <c:pt idx="784">
                  <c:v>24.8</c:v>
                </c:pt>
                <c:pt idx="785">
                  <c:v>24.86</c:v>
                </c:pt>
                <c:pt idx="786">
                  <c:v>25.1</c:v>
                </c:pt>
                <c:pt idx="787">
                  <c:v>24.94</c:v>
                </c:pt>
                <c:pt idx="788">
                  <c:v>25.13</c:v>
                </c:pt>
                <c:pt idx="789">
                  <c:v>25.65</c:v>
                </c:pt>
                <c:pt idx="790">
                  <c:v>26.17</c:v>
                </c:pt>
                <c:pt idx="791">
                  <c:v>25.77</c:v>
                </c:pt>
                <c:pt idx="792">
                  <c:v>25.83</c:v>
                </c:pt>
                <c:pt idx="793">
                  <c:v>26.21</c:v>
                </c:pt>
                <c:pt idx="794">
                  <c:v>25.82</c:v>
                </c:pt>
                <c:pt idx="795">
                  <c:v>25.56</c:v>
                </c:pt>
                <c:pt idx="796">
                  <c:v>25.23</c:v>
                </c:pt>
                <c:pt idx="797">
                  <c:v>25.7</c:v>
                </c:pt>
                <c:pt idx="798">
                  <c:v>25.73</c:v>
                </c:pt>
                <c:pt idx="799">
                  <c:v>26.1</c:v>
                </c:pt>
                <c:pt idx="800">
                  <c:v>25.57</c:v>
                </c:pt>
                <c:pt idx="801">
                  <c:v>25.23</c:v>
                </c:pt>
                <c:pt idx="802">
                  <c:v>25.37</c:v>
                </c:pt>
                <c:pt idx="803">
                  <c:v>25.58</c:v>
                </c:pt>
                <c:pt idx="804">
                  <c:v>25.25</c:v>
                </c:pt>
                <c:pt idx="805">
                  <c:v>26.43</c:v>
                </c:pt>
                <c:pt idx="806">
                  <c:v>25.89</c:v>
                </c:pt>
                <c:pt idx="807">
                  <c:v>25.77</c:v>
                </c:pt>
                <c:pt idx="808">
                  <c:v>26.36</c:v>
                </c:pt>
                <c:pt idx="809">
                  <c:v>26.71</c:v>
                </c:pt>
                <c:pt idx="810">
                  <c:v>26.74</c:v>
                </c:pt>
                <c:pt idx="811">
                  <c:v>26.56</c:v>
                </c:pt>
                <c:pt idx="812">
                  <c:v>26.62</c:v>
                </c:pt>
                <c:pt idx="813">
                  <c:v>26.42</c:v>
                </c:pt>
                <c:pt idx="814">
                  <c:v>26.53</c:v>
                </c:pt>
                <c:pt idx="815">
                  <c:v>26.61</c:v>
                </c:pt>
                <c:pt idx="816">
                  <c:v>26.59</c:v>
                </c:pt>
                <c:pt idx="817">
                  <c:v>26.89</c:v>
                </c:pt>
                <c:pt idx="818">
                  <c:v>27.13</c:v>
                </c:pt>
                <c:pt idx="819">
                  <c:v>26.86</c:v>
                </c:pt>
                <c:pt idx="820">
                  <c:v>26.72</c:v>
                </c:pt>
                <c:pt idx="821">
                  <c:v>26.8</c:v>
                </c:pt>
                <c:pt idx="822">
                  <c:v>26.41</c:v>
                </c:pt>
                <c:pt idx="823">
                  <c:v>26.22</c:v>
                </c:pt>
                <c:pt idx="824">
                  <c:v>26.49</c:v>
                </c:pt>
                <c:pt idx="825">
                  <c:v>26.3</c:v>
                </c:pt>
                <c:pt idx="826">
                  <c:v>26.64</c:v>
                </c:pt>
                <c:pt idx="827">
                  <c:v>26.01</c:v>
                </c:pt>
                <c:pt idx="828">
                  <c:v>26.44</c:v>
                </c:pt>
                <c:pt idx="829">
                  <c:v>26.09</c:v>
                </c:pt>
                <c:pt idx="830">
                  <c:v>26.86</c:v>
                </c:pt>
                <c:pt idx="831">
                  <c:v>26.75</c:v>
                </c:pt>
                <c:pt idx="832">
                  <c:v>26.62</c:v>
                </c:pt>
                <c:pt idx="833">
                  <c:v>26.91</c:v>
                </c:pt>
                <c:pt idx="834">
                  <c:v>26.52</c:v>
                </c:pt>
                <c:pt idx="835">
                  <c:v>26.2</c:v>
                </c:pt>
                <c:pt idx="836">
                  <c:v>25.87</c:v>
                </c:pt>
                <c:pt idx="837">
                  <c:v>26.44</c:v>
                </c:pt>
                <c:pt idx="838">
                  <c:v>25.83</c:v>
                </c:pt>
                <c:pt idx="839">
                  <c:v>25.74</c:v>
                </c:pt>
                <c:pt idx="840">
                  <c:v>25.87</c:v>
                </c:pt>
                <c:pt idx="841">
                  <c:v>25.53</c:v>
                </c:pt>
                <c:pt idx="842">
                  <c:v>25.47</c:v>
                </c:pt>
                <c:pt idx="843">
                  <c:v>25.64</c:v>
                </c:pt>
                <c:pt idx="844">
                  <c:v>25.53</c:v>
                </c:pt>
                <c:pt idx="845">
                  <c:v>25.56</c:v>
                </c:pt>
                <c:pt idx="846">
                  <c:v>25.89</c:v>
                </c:pt>
                <c:pt idx="847">
                  <c:v>25.9</c:v>
                </c:pt>
                <c:pt idx="848">
                  <c:v>26.3</c:v>
                </c:pt>
                <c:pt idx="849">
                  <c:v>26.65</c:v>
                </c:pt>
                <c:pt idx="850">
                  <c:v>26.74</c:v>
                </c:pt>
                <c:pt idx="851">
                  <c:v>26.42</c:v>
                </c:pt>
                <c:pt idx="852">
                  <c:v>26.1</c:v>
                </c:pt>
                <c:pt idx="853">
                  <c:v>26.43</c:v>
                </c:pt>
                <c:pt idx="854">
                  <c:v>26.25</c:v>
                </c:pt>
                <c:pt idx="855">
                  <c:v>25.75</c:v>
                </c:pt>
                <c:pt idx="856">
                  <c:v>25.94</c:v>
                </c:pt>
                <c:pt idx="857">
                  <c:v>26.24</c:v>
                </c:pt>
                <c:pt idx="858">
                  <c:v>26.73</c:v>
                </c:pt>
                <c:pt idx="859">
                  <c:v>26.64</c:v>
                </c:pt>
                <c:pt idx="860">
                  <c:v>25.99</c:v>
                </c:pt>
                <c:pt idx="861">
                  <c:v>25.71</c:v>
                </c:pt>
                <c:pt idx="862">
                  <c:v>25.6</c:v>
                </c:pt>
                <c:pt idx="863">
                  <c:v>25.72</c:v>
                </c:pt>
                <c:pt idx="864">
                  <c:v>26.05</c:v>
                </c:pt>
                <c:pt idx="865">
                  <c:v>26.31</c:v>
                </c:pt>
                <c:pt idx="866">
                  <c:v>26.21</c:v>
                </c:pt>
                <c:pt idx="867">
                  <c:v>26.19</c:v>
                </c:pt>
                <c:pt idx="868">
                  <c:v>26.28</c:v>
                </c:pt>
                <c:pt idx="869">
                  <c:v>26.14</c:v>
                </c:pt>
                <c:pt idx="870">
                  <c:v>25.55</c:v>
                </c:pt>
                <c:pt idx="871">
                  <c:v>25.21</c:v>
                </c:pt>
                <c:pt idx="872">
                  <c:v>25.01</c:v>
                </c:pt>
                <c:pt idx="873">
                  <c:v>25.21</c:v>
                </c:pt>
                <c:pt idx="874">
                  <c:v>25.34</c:v>
                </c:pt>
                <c:pt idx="875">
                  <c:v>24.54</c:v>
                </c:pt>
                <c:pt idx="876">
                  <c:v>24.7</c:v>
                </c:pt>
                <c:pt idx="877">
                  <c:v>24.29</c:v>
                </c:pt>
                <c:pt idx="878">
                  <c:v>22.97</c:v>
                </c:pt>
                <c:pt idx="879">
                  <c:v>22.63</c:v>
                </c:pt>
                <c:pt idx="880">
                  <c:v>21.84</c:v>
                </c:pt>
                <c:pt idx="881">
                  <c:v>22.49</c:v>
                </c:pt>
                <c:pt idx="882">
                  <c:v>21.59</c:v>
                </c:pt>
                <c:pt idx="883">
                  <c:v>21.91</c:v>
                </c:pt>
                <c:pt idx="884">
                  <c:v>22.12</c:v>
                </c:pt>
                <c:pt idx="885">
                  <c:v>22.44</c:v>
                </c:pt>
                <c:pt idx="886">
                  <c:v>22.04</c:v>
                </c:pt>
                <c:pt idx="887">
                  <c:v>22.14</c:v>
                </c:pt>
                <c:pt idx="888">
                  <c:v>22.04</c:v>
                </c:pt>
                <c:pt idx="889">
                  <c:v>22.53</c:v>
                </c:pt>
                <c:pt idx="890">
                  <c:v>22.39</c:v>
                </c:pt>
                <c:pt idx="891">
                  <c:v>22.78</c:v>
                </c:pt>
                <c:pt idx="892">
                  <c:v>22.92</c:v>
                </c:pt>
                <c:pt idx="893">
                  <c:v>23.05</c:v>
                </c:pt>
                <c:pt idx="894">
                  <c:v>23.79</c:v>
                </c:pt>
                <c:pt idx="895">
                  <c:v>24.41</c:v>
                </c:pt>
                <c:pt idx="896">
                  <c:v>23.93</c:v>
                </c:pt>
                <c:pt idx="897">
                  <c:v>24.2</c:v>
                </c:pt>
                <c:pt idx="898">
                  <c:v>23.87</c:v>
                </c:pt>
                <c:pt idx="899">
                  <c:v>22.88</c:v>
                </c:pt>
                <c:pt idx="900">
                  <c:v>22.79</c:v>
                </c:pt>
                <c:pt idx="901">
                  <c:v>22.97</c:v>
                </c:pt>
                <c:pt idx="902">
                  <c:v>22.28</c:v>
                </c:pt>
                <c:pt idx="903">
                  <c:v>23.09</c:v>
                </c:pt>
                <c:pt idx="904">
                  <c:v>22.87</c:v>
                </c:pt>
                <c:pt idx="905">
                  <c:v>22.02</c:v>
                </c:pt>
                <c:pt idx="906">
                  <c:v>22.6</c:v>
                </c:pt>
                <c:pt idx="907">
                  <c:v>22.83</c:v>
                </c:pt>
                <c:pt idx="908">
                  <c:v>23</c:v>
                </c:pt>
                <c:pt idx="909">
                  <c:v>23.52</c:v>
                </c:pt>
                <c:pt idx="910">
                  <c:v>23.04</c:v>
                </c:pt>
                <c:pt idx="911">
                  <c:v>23.04</c:v>
                </c:pt>
                <c:pt idx="912">
                  <c:v>23.32</c:v>
                </c:pt>
                <c:pt idx="913">
                  <c:v>23.61</c:v>
                </c:pt>
                <c:pt idx="914">
                  <c:v>23.18</c:v>
                </c:pt>
                <c:pt idx="915">
                  <c:v>23.45</c:v>
                </c:pt>
                <c:pt idx="916">
                  <c:v>23.49</c:v>
                </c:pt>
                <c:pt idx="917">
                  <c:v>23.46</c:v>
                </c:pt>
                <c:pt idx="918">
                  <c:v>23.35</c:v>
                </c:pt>
                <c:pt idx="919">
                  <c:v>23.39</c:v>
                </c:pt>
                <c:pt idx="920">
                  <c:v>23.12</c:v>
                </c:pt>
                <c:pt idx="921">
                  <c:v>23.35</c:v>
                </c:pt>
                <c:pt idx="922">
                  <c:v>23.97</c:v>
                </c:pt>
                <c:pt idx="923">
                  <c:v>24.3</c:v>
                </c:pt>
                <c:pt idx="924">
                  <c:v>24.48</c:v>
                </c:pt>
                <c:pt idx="925">
                  <c:v>24.84</c:v>
                </c:pt>
                <c:pt idx="926">
                  <c:v>24.54</c:v>
                </c:pt>
                <c:pt idx="927">
                  <c:v>24.4</c:v>
                </c:pt>
                <c:pt idx="928">
                  <c:v>24</c:v>
                </c:pt>
                <c:pt idx="929">
                  <c:v>23.88</c:v>
                </c:pt>
                <c:pt idx="930">
                  <c:v>23.97</c:v>
                </c:pt>
                <c:pt idx="931">
                  <c:v>24.03</c:v>
                </c:pt>
                <c:pt idx="932">
                  <c:v>24.31</c:v>
                </c:pt>
                <c:pt idx="933">
                  <c:v>24.26</c:v>
                </c:pt>
                <c:pt idx="934">
                  <c:v>24.24</c:v>
                </c:pt>
                <c:pt idx="935">
                  <c:v>24.19</c:v>
                </c:pt>
                <c:pt idx="936">
                  <c:v>24.24</c:v>
                </c:pt>
                <c:pt idx="937">
                  <c:v>25.04</c:v>
                </c:pt>
                <c:pt idx="938">
                  <c:v>25.32</c:v>
                </c:pt>
                <c:pt idx="939">
                  <c:v>25.38</c:v>
                </c:pt>
                <c:pt idx="940">
                  <c:v>25.24</c:v>
                </c:pt>
                <c:pt idx="941">
                  <c:v>25.62</c:v>
                </c:pt>
                <c:pt idx="942">
                  <c:v>25.56</c:v>
                </c:pt>
                <c:pt idx="943">
                  <c:v>25.78</c:v>
                </c:pt>
                <c:pt idx="944">
                  <c:v>25.65</c:v>
                </c:pt>
                <c:pt idx="945">
                  <c:v>25.35</c:v>
                </c:pt>
                <c:pt idx="946">
                  <c:v>24.61</c:v>
                </c:pt>
                <c:pt idx="947">
                  <c:v>24.61</c:v>
                </c:pt>
                <c:pt idx="948">
                  <c:v>24.58</c:v>
                </c:pt>
                <c:pt idx="949">
                  <c:v>24.47</c:v>
                </c:pt>
                <c:pt idx="950">
                  <c:v>24.26</c:v>
                </c:pt>
                <c:pt idx="951">
                  <c:v>25.14</c:v>
                </c:pt>
                <c:pt idx="952">
                  <c:v>25.36</c:v>
                </c:pt>
                <c:pt idx="953">
                  <c:v>25.35</c:v>
                </c:pt>
                <c:pt idx="954">
                  <c:v>24.79</c:v>
                </c:pt>
                <c:pt idx="955">
                  <c:v>24.31</c:v>
                </c:pt>
                <c:pt idx="956">
                  <c:v>24.3</c:v>
                </c:pt>
                <c:pt idx="957">
                  <c:v>23.81</c:v>
                </c:pt>
                <c:pt idx="958">
                  <c:v>23.29</c:v>
                </c:pt>
                <c:pt idx="959">
                  <c:v>23.49</c:v>
                </c:pt>
                <c:pt idx="960">
                  <c:v>23.53</c:v>
                </c:pt>
                <c:pt idx="961">
                  <c:v>24.75</c:v>
                </c:pt>
                <c:pt idx="962">
                  <c:v>23.93</c:v>
                </c:pt>
                <c:pt idx="963">
                  <c:v>24.23</c:v>
                </c:pt>
                <c:pt idx="964">
                  <c:v>24.58</c:v>
                </c:pt>
                <c:pt idx="965">
                  <c:v>24.58</c:v>
                </c:pt>
                <c:pt idx="966">
                  <c:v>24.65</c:v>
                </c:pt>
                <c:pt idx="967">
                  <c:v>25.16</c:v>
                </c:pt>
                <c:pt idx="968">
                  <c:v>25.11</c:v>
                </c:pt>
                <c:pt idx="969">
                  <c:v>25.14</c:v>
                </c:pt>
                <c:pt idx="970">
                  <c:v>25.07</c:v>
                </c:pt>
                <c:pt idx="971">
                  <c:v>25.32</c:v>
                </c:pt>
                <c:pt idx="972">
                  <c:v>25.38</c:v>
                </c:pt>
                <c:pt idx="973">
                  <c:v>25.74</c:v>
                </c:pt>
                <c:pt idx="974">
                  <c:v>25.88</c:v>
                </c:pt>
                <c:pt idx="975">
                  <c:v>25.14</c:v>
                </c:pt>
                <c:pt idx="976">
                  <c:v>24.92</c:v>
                </c:pt>
                <c:pt idx="977">
                  <c:v>25.07</c:v>
                </c:pt>
                <c:pt idx="978">
                  <c:v>24.6</c:v>
                </c:pt>
                <c:pt idx="979">
                  <c:v>24.76</c:v>
                </c:pt>
                <c:pt idx="980">
                  <c:v>24.98</c:v>
                </c:pt>
                <c:pt idx="981">
                  <c:v>24.79</c:v>
                </c:pt>
                <c:pt idx="982">
                  <c:v>24.54</c:v>
                </c:pt>
                <c:pt idx="983">
                  <c:v>24.88</c:v>
                </c:pt>
                <c:pt idx="984">
                  <c:v>24.55</c:v>
                </c:pt>
                <c:pt idx="985">
                  <c:v>24.71</c:v>
                </c:pt>
                <c:pt idx="986">
                  <c:v>24.57</c:v>
                </c:pt>
                <c:pt idx="987">
                  <c:v>24.86</c:v>
                </c:pt>
                <c:pt idx="988">
                  <c:v>23.87</c:v>
                </c:pt>
                <c:pt idx="989">
                  <c:v>23.97</c:v>
                </c:pt>
                <c:pt idx="990">
                  <c:v>23.9</c:v>
                </c:pt>
                <c:pt idx="991">
                  <c:v>24.05</c:v>
                </c:pt>
                <c:pt idx="992">
                  <c:v>24.15</c:v>
                </c:pt>
                <c:pt idx="993">
                  <c:v>24.03</c:v>
                </c:pt>
                <c:pt idx="994">
                  <c:v>24.04</c:v>
                </c:pt>
                <c:pt idx="995">
                  <c:v>24.13</c:v>
                </c:pt>
                <c:pt idx="996">
                  <c:v>24.09</c:v>
                </c:pt>
                <c:pt idx="997">
                  <c:v>23.6</c:v>
                </c:pt>
                <c:pt idx="998">
                  <c:v>23.76</c:v>
                </c:pt>
                <c:pt idx="999">
                  <c:v>23.85</c:v>
                </c:pt>
                <c:pt idx="1000">
                  <c:v>25.48</c:v>
                </c:pt>
                <c:pt idx="1001">
                  <c:v>27.21</c:v>
                </c:pt>
                <c:pt idx="1002">
                  <c:v>27.08</c:v>
                </c:pt>
                <c:pt idx="1003">
                  <c:v>27.37</c:v>
                </c:pt>
                <c:pt idx="1004">
                  <c:v>26.43</c:v>
                </c:pt>
                <c:pt idx="1005">
                  <c:v>26.27</c:v>
                </c:pt>
                <c:pt idx="1006">
                  <c:v>25.68</c:v>
                </c:pt>
                <c:pt idx="1007">
                  <c:v>25.24</c:v>
                </c:pt>
                <c:pt idx="1008">
                  <c:v>24.78</c:v>
                </c:pt>
                <c:pt idx="1009">
                  <c:v>24.73</c:v>
                </c:pt>
                <c:pt idx="1010">
                  <c:v>24.52</c:v>
                </c:pt>
                <c:pt idx="1011">
                  <c:v>24.39</c:v>
                </c:pt>
                <c:pt idx="1012">
                  <c:v>24.23</c:v>
                </c:pt>
                <c:pt idx="1013">
                  <c:v>24.51</c:v>
                </c:pt>
                <c:pt idx="1014">
                  <c:v>24.69</c:v>
                </c:pt>
                <c:pt idx="1015">
                  <c:v>24.85</c:v>
                </c:pt>
                <c:pt idx="1016">
                  <c:v>24.72</c:v>
                </c:pt>
                <c:pt idx="1017">
                  <c:v>24.67</c:v>
                </c:pt>
                <c:pt idx="1018">
                  <c:v>24.76</c:v>
                </c:pt>
                <c:pt idx="1019">
                  <c:v>24.77</c:v>
                </c:pt>
                <c:pt idx="1020">
                  <c:v>24.5</c:v>
                </c:pt>
                <c:pt idx="1021">
                  <c:v>24.29</c:v>
                </c:pt>
                <c:pt idx="1022">
                  <c:v>24.29</c:v>
                </c:pt>
                <c:pt idx="1023">
                  <c:v>24.65</c:v>
                </c:pt>
                <c:pt idx="1024">
                  <c:v>24.66</c:v>
                </c:pt>
                <c:pt idx="1025">
                  <c:v>24.3</c:v>
                </c:pt>
                <c:pt idx="1026">
                  <c:v>24.61</c:v>
                </c:pt>
                <c:pt idx="1027">
                  <c:v>24.85</c:v>
                </c:pt>
                <c:pt idx="1028">
                  <c:v>24.43</c:v>
                </c:pt>
                <c:pt idx="1029">
                  <c:v>24.39</c:v>
                </c:pt>
                <c:pt idx="1030">
                  <c:v>25.51</c:v>
                </c:pt>
                <c:pt idx="1031">
                  <c:v>25.87</c:v>
                </c:pt>
                <c:pt idx="1032">
                  <c:v>25.79</c:v>
                </c:pt>
                <c:pt idx="1033">
                  <c:v>25.06</c:v>
                </c:pt>
                <c:pt idx="1034">
                  <c:v>25.08</c:v>
                </c:pt>
                <c:pt idx="1035">
                  <c:v>25.45</c:v>
                </c:pt>
                <c:pt idx="1036">
                  <c:v>24.88</c:v>
                </c:pt>
                <c:pt idx="1037">
                  <c:v>24.4</c:v>
                </c:pt>
                <c:pt idx="1038">
                  <c:v>25.04</c:v>
                </c:pt>
                <c:pt idx="1039">
                  <c:v>25.22</c:v>
                </c:pt>
                <c:pt idx="1040">
                  <c:v>25.72</c:v>
                </c:pt>
                <c:pt idx="1041">
                  <c:v>25.71</c:v>
                </c:pt>
                <c:pt idx="1042">
                  <c:v>25.74</c:v>
                </c:pt>
                <c:pt idx="1043">
                  <c:v>25.27</c:v>
                </c:pt>
                <c:pt idx="1044">
                  <c:v>25.15</c:v>
                </c:pt>
                <c:pt idx="1045">
                  <c:v>25.57</c:v>
                </c:pt>
                <c:pt idx="1046">
                  <c:v>25.7</c:v>
                </c:pt>
                <c:pt idx="1047">
                  <c:v>26.03</c:v>
                </c:pt>
                <c:pt idx="1048">
                  <c:v>25.77</c:v>
                </c:pt>
                <c:pt idx="1049">
                  <c:v>25.33</c:v>
                </c:pt>
                <c:pt idx="1050">
                  <c:v>25.78</c:v>
                </c:pt>
                <c:pt idx="1051">
                  <c:v>25.8</c:v>
                </c:pt>
                <c:pt idx="1052">
                  <c:v>25.85</c:v>
                </c:pt>
                <c:pt idx="1053">
                  <c:v>26.43</c:v>
                </c:pt>
                <c:pt idx="1054">
                  <c:v>25.53</c:v>
                </c:pt>
                <c:pt idx="1055">
                  <c:v>25.04</c:v>
                </c:pt>
                <c:pt idx="1056">
                  <c:v>25.04</c:v>
                </c:pt>
                <c:pt idx="1057">
                  <c:v>25.19</c:v>
                </c:pt>
                <c:pt idx="1058">
                  <c:v>25.21</c:v>
                </c:pt>
                <c:pt idx="1059">
                  <c:v>24.88</c:v>
                </c:pt>
                <c:pt idx="1060">
                  <c:v>25.03</c:v>
                </c:pt>
                <c:pt idx="1061">
                  <c:v>25.09</c:v>
                </c:pt>
                <c:pt idx="1062">
                  <c:v>25</c:v>
                </c:pt>
                <c:pt idx="1063">
                  <c:v>24.99</c:v>
                </c:pt>
                <c:pt idx="1064">
                  <c:v>24.9</c:v>
                </c:pt>
                <c:pt idx="1065">
                  <c:v>25.18</c:v>
                </c:pt>
                <c:pt idx="1066">
                  <c:v>25.17</c:v>
                </c:pt>
                <c:pt idx="1067">
                  <c:v>25.43</c:v>
                </c:pt>
                <c:pt idx="1068">
                  <c:v>25.28</c:v>
                </c:pt>
                <c:pt idx="1069">
                  <c:v>25.29</c:v>
                </c:pt>
                <c:pt idx="1070">
                  <c:v>25.48</c:v>
                </c:pt>
                <c:pt idx="1071">
                  <c:v>25.27</c:v>
                </c:pt>
                <c:pt idx="1072">
                  <c:v>25.15</c:v>
                </c:pt>
                <c:pt idx="1073">
                  <c:v>25.58</c:v>
                </c:pt>
                <c:pt idx="1074">
                  <c:v>25.89</c:v>
                </c:pt>
                <c:pt idx="1075">
                  <c:v>25.65</c:v>
                </c:pt>
                <c:pt idx="1076">
                  <c:v>25.52</c:v>
                </c:pt>
                <c:pt idx="1077">
                  <c:v>25.89</c:v>
                </c:pt>
                <c:pt idx="1078">
                  <c:v>26.1</c:v>
                </c:pt>
                <c:pt idx="1079">
                  <c:v>25.65</c:v>
                </c:pt>
                <c:pt idx="1080">
                  <c:v>25.88</c:v>
                </c:pt>
                <c:pt idx="1081">
                  <c:v>26.5</c:v>
                </c:pt>
                <c:pt idx="1082">
                  <c:v>25.86</c:v>
                </c:pt>
                <c:pt idx="1083">
                  <c:v>26.1</c:v>
                </c:pt>
                <c:pt idx="1084">
                  <c:v>26.44</c:v>
                </c:pt>
                <c:pt idx="1085">
                  <c:v>26.66</c:v>
                </c:pt>
                <c:pt idx="1086">
                  <c:v>25.77</c:v>
                </c:pt>
                <c:pt idx="1087">
                  <c:v>26.78</c:v>
                </c:pt>
                <c:pt idx="1088">
                  <c:v>26.49</c:v>
                </c:pt>
                <c:pt idx="1089">
                  <c:v>27.22</c:v>
                </c:pt>
                <c:pt idx="1090">
                  <c:v>27.05</c:v>
                </c:pt>
                <c:pt idx="1091">
                  <c:v>27.61</c:v>
                </c:pt>
                <c:pt idx="1092">
                  <c:v>27.73</c:v>
                </c:pt>
                <c:pt idx="1093">
                  <c:v>27.47</c:v>
                </c:pt>
                <c:pt idx="1094">
                  <c:v>27.58</c:v>
                </c:pt>
                <c:pt idx="1095">
                  <c:v>27.37</c:v>
                </c:pt>
                <c:pt idx="1096">
                  <c:v>27.37</c:v>
                </c:pt>
                <c:pt idx="1097">
                  <c:v>26.86</c:v>
                </c:pt>
                <c:pt idx="1098">
                  <c:v>26.65</c:v>
                </c:pt>
                <c:pt idx="1099">
                  <c:v>27.06</c:v>
                </c:pt>
                <c:pt idx="1100">
                  <c:v>27.14</c:v>
                </c:pt>
                <c:pt idx="1101">
                  <c:v>27.09</c:v>
                </c:pt>
                <c:pt idx="1102">
                  <c:v>27.1</c:v>
                </c:pt>
                <c:pt idx="1103">
                  <c:v>27.65</c:v>
                </c:pt>
                <c:pt idx="1104">
                  <c:v>27.26</c:v>
                </c:pt>
                <c:pt idx="1105">
                  <c:v>26.58</c:v>
                </c:pt>
                <c:pt idx="1106">
                  <c:v>26.62</c:v>
                </c:pt>
                <c:pt idx="1107">
                  <c:v>26.61</c:v>
                </c:pt>
                <c:pt idx="1108">
                  <c:v>27.05</c:v>
                </c:pt>
                <c:pt idx="1109">
                  <c:v>26.81</c:v>
                </c:pt>
                <c:pt idx="1110">
                  <c:v>27.16</c:v>
                </c:pt>
                <c:pt idx="1111">
                  <c:v>27.3</c:v>
                </c:pt>
                <c:pt idx="1112">
                  <c:v>26.86</c:v>
                </c:pt>
                <c:pt idx="1113">
                  <c:v>26.58</c:v>
                </c:pt>
                <c:pt idx="1114">
                  <c:v>26.61</c:v>
                </c:pt>
                <c:pt idx="1115">
                  <c:v>27.45</c:v>
                </c:pt>
                <c:pt idx="1116">
                  <c:v>27.32</c:v>
                </c:pt>
                <c:pt idx="1117">
                  <c:v>27.41</c:v>
                </c:pt>
                <c:pt idx="1118">
                  <c:v>26.97</c:v>
                </c:pt>
                <c:pt idx="1119">
                  <c:v>26.77</c:v>
                </c:pt>
                <c:pt idx="1120">
                  <c:v>26.96</c:v>
                </c:pt>
                <c:pt idx="1121">
                  <c:v>27.28</c:v>
                </c:pt>
                <c:pt idx="1122">
                  <c:v>27.57</c:v>
                </c:pt>
                <c:pt idx="1123">
                  <c:v>27.04</c:v>
                </c:pt>
                <c:pt idx="1124">
                  <c:v>27.77</c:v>
                </c:pt>
                <c:pt idx="1125">
                  <c:v>28.08</c:v>
                </c:pt>
                <c:pt idx="1126">
                  <c:v>28.55</c:v>
                </c:pt>
                <c:pt idx="1127">
                  <c:v>28.32</c:v>
                </c:pt>
                <c:pt idx="1128">
                  <c:v>27.83</c:v>
                </c:pt>
                <c:pt idx="1129">
                  <c:v>27.1</c:v>
                </c:pt>
                <c:pt idx="1130">
                  <c:v>27.47</c:v>
                </c:pt>
                <c:pt idx="1131">
                  <c:v>27.22</c:v>
                </c:pt>
                <c:pt idx="1132">
                  <c:v>26.92</c:v>
                </c:pt>
                <c:pt idx="1133">
                  <c:v>27.34</c:v>
                </c:pt>
                <c:pt idx="1134">
                  <c:v>27.11</c:v>
                </c:pt>
                <c:pt idx="1135">
                  <c:v>27.19</c:v>
                </c:pt>
                <c:pt idx="1136">
                  <c:v>27.22</c:v>
                </c:pt>
                <c:pt idx="1137">
                  <c:v>27.56</c:v>
                </c:pt>
                <c:pt idx="1138">
                  <c:v>27.52</c:v>
                </c:pt>
                <c:pt idx="1139">
                  <c:v>27.31</c:v>
                </c:pt>
                <c:pt idx="1140">
                  <c:v>26.8</c:v>
                </c:pt>
                <c:pt idx="1141">
                  <c:v>26.67</c:v>
                </c:pt>
                <c:pt idx="1142">
                  <c:v>27</c:v>
                </c:pt>
                <c:pt idx="1143">
                  <c:v>26.79</c:v>
                </c:pt>
                <c:pt idx="1144">
                  <c:v>26.48</c:v>
                </c:pt>
                <c:pt idx="1145">
                  <c:v>26.26</c:v>
                </c:pt>
                <c:pt idx="1146">
                  <c:v>26.7</c:v>
                </c:pt>
                <c:pt idx="1147">
                  <c:v>26.33</c:v>
                </c:pt>
                <c:pt idx="1148">
                  <c:v>26.3</c:v>
                </c:pt>
                <c:pt idx="1149">
                  <c:v>26.45</c:v>
                </c:pt>
                <c:pt idx="1150">
                  <c:v>26.53</c:v>
                </c:pt>
                <c:pt idx="1151">
                  <c:v>26.48</c:v>
                </c:pt>
                <c:pt idx="1152">
                  <c:v>25.68</c:v>
                </c:pt>
                <c:pt idx="1153">
                  <c:v>25.81</c:v>
                </c:pt>
                <c:pt idx="1154">
                  <c:v>25.87</c:v>
                </c:pt>
                <c:pt idx="1155">
                  <c:v>25.96</c:v>
                </c:pt>
                <c:pt idx="1156">
                  <c:v>25.75</c:v>
                </c:pt>
                <c:pt idx="1157">
                  <c:v>25.33</c:v>
                </c:pt>
                <c:pt idx="1158">
                  <c:v>25.33</c:v>
                </c:pt>
                <c:pt idx="1159">
                  <c:v>25.66</c:v>
                </c:pt>
                <c:pt idx="1160">
                  <c:v>25.79</c:v>
                </c:pt>
                <c:pt idx="1161">
                  <c:v>25.95</c:v>
                </c:pt>
                <c:pt idx="1162">
                  <c:v>25.9</c:v>
                </c:pt>
                <c:pt idx="1163">
                  <c:v>25.85</c:v>
                </c:pt>
                <c:pt idx="1164">
                  <c:v>26.21</c:v>
                </c:pt>
                <c:pt idx="1165">
                  <c:v>26.14</c:v>
                </c:pt>
                <c:pt idx="1166">
                  <c:v>26.18</c:v>
                </c:pt>
                <c:pt idx="1167">
                  <c:v>25.63</c:v>
                </c:pt>
                <c:pt idx="1168">
                  <c:v>25.55</c:v>
                </c:pt>
                <c:pt idx="1169">
                  <c:v>25.34</c:v>
                </c:pt>
                <c:pt idx="1170">
                  <c:v>25.69</c:v>
                </c:pt>
                <c:pt idx="1171">
                  <c:v>26.04</c:v>
                </c:pt>
                <c:pt idx="1172">
                  <c:v>25.62</c:v>
                </c:pt>
                <c:pt idx="1173">
                  <c:v>25.7</c:v>
                </c:pt>
                <c:pt idx="1174">
                  <c:v>25.6</c:v>
                </c:pt>
                <c:pt idx="1175">
                  <c:v>26.17</c:v>
                </c:pt>
                <c:pt idx="1176">
                  <c:v>26.21</c:v>
                </c:pt>
                <c:pt idx="1177">
                  <c:v>26</c:v>
                </c:pt>
                <c:pt idx="1178">
                  <c:v>26.04</c:v>
                </c:pt>
                <c:pt idx="1179">
                  <c:v>25.92</c:v>
                </c:pt>
                <c:pt idx="1180">
                  <c:v>25.21</c:v>
                </c:pt>
                <c:pt idx="1181">
                  <c:v>25.08</c:v>
                </c:pt>
                <c:pt idx="1182">
                  <c:v>24.72</c:v>
                </c:pt>
                <c:pt idx="1183">
                  <c:v>24.04</c:v>
                </c:pt>
                <c:pt idx="1184">
                  <c:v>23.67</c:v>
                </c:pt>
                <c:pt idx="1185">
                  <c:v>24.29</c:v>
                </c:pt>
                <c:pt idx="1186">
                  <c:v>24.37</c:v>
                </c:pt>
                <c:pt idx="1187">
                  <c:v>24.08</c:v>
                </c:pt>
                <c:pt idx="1188">
                  <c:v>23.88</c:v>
                </c:pt>
                <c:pt idx="1189">
                  <c:v>24.32</c:v>
                </c:pt>
                <c:pt idx="1190">
                  <c:v>23.72</c:v>
                </c:pt>
                <c:pt idx="1191">
                  <c:v>24.07</c:v>
                </c:pt>
                <c:pt idx="1192">
                  <c:v>24.05</c:v>
                </c:pt>
                <c:pt idx="1193">
                  <c:v>24.25</c:v>
                </c:pt>
                <c:pt idx="1194">
                  <c:v>24.17</c:v>
                </c:pt>
                <c:pt idx="1195">
                  <c:v>24.48</c:v>
                </c:pt>
                <c:pt idx="1196">
                  <c:v>24.25</c:v>
                </c:pt>
                <c:pt idx="1197">
                  <c:v>24.82</c:v>
                </c:pt>
                <c:pt idx="1198">
                  <c:v>25.14</c:v>
                </c:pt>
                <c:pt idx="1199">
                  <c:v>25.05</c:v>
                </c:pt>
                <c:pt idx="1200">
                  <c:v>24.75</c:v>
                </c:pt>
                <c:pt idx="1201">
                  <c:v>24.94</c:v>
                </c:pt>
                <c:pt idx="1202">
                  <c:v>24.82</c:v>
                </c:pt>
                <c:pt idx="1203">
                  <c:v>25.01</c:v>
                </c:pt>
                <c:pt idx="1204">
                  <c:v>24.54</c:v>
                </c:pt>
                <c:pt idx="1205">
                  <c:v>24.67</c:v>
                </c:pt>
                <c:pt idx="1206">
                  <c:v>25.25</c:v>
                </c:pt>
                <c:pt idx="1207">
                  <c:v>25.15</c:v>
                </c:pt>
                <c:pt idx="1208">
                  <c:v>24.91</c:v>
                </c:pt>
                <c:pt idx="1209">
                  <c:v>25.01</c:v>
                </c:pt>
                <c:pt idx="1210">
                  <c:v>25.03</c:v>
                </c:pt>
                <c:pt idx="1211">
                  <c:v>25.41</c:v>
                </c:pt>
                <c:pt idx="1212">
                  <c:v>25.81</c:v>
                </c:pt>
                <c:pt idx="1213">
                  <c:v>26.2</c:v>
                </c:pt>
                <c:pt idx="1214">
                  <c:v>26.76</c:v>
                </c:pt>
                <c:pt idx="1215">
                  <c:v>27.05</c:v>
                </c:pt>
                <c:pt idx="1216">
                  <c:v>26.62</c:v>
                </c:pt>
                <c:pt idx="1217">
                  <c:v>26.31</c:v>
                </c:pt>
                <c:pt idx="1218">
                  <c:v>26.8</c:v>
                </c:pt>
                <c:pt idx="1219">
                  <c:v>26.79</c:v>
                </c:pt>
                <c:pt idx="1220">
                  <c:v>26.87</c:v>
                </c:pt>
                <c:pt idx="1221">
                  <c:v>27.25</c:v>
                </c:pt>
                <c:pt idx="1222">
                  <c:v>28.24</c:v>
                </c:pt>
                <c:pt idx="1223">
                  <c:v>27.79</c:v>
                </c:pt>
                <c:pt idx="1224">
                  <c:v>28.07</c:v>
                </c:pt>
                <c:pt idx="1225">
                  <c:v>27.97</c:v>
                </c:pt>
                <c:pt idx="1226">
                  <c:v>28.57</c:v>
                </c:pt>
                <c:pt idx="1227">
                  <c:v>28.3</c:v>
                </c:pt>
                <c:pt idx="1228">
                  <c:v>28.02</c:v>
                </c:pt>
                <c:pt idx="1229">
                  <c:v>27.96</c:v>
                </c:pt>
                <c:pt idx="1230">
                  <c:v>28.46</c:v>
                </c:pt>
                <c:pt idx="1231">
                  <c:v>28.55</c:v>
                </c:pt>
                <c:pt idx="1232">
                  <c:v>29.02</c:v>
                </c:pt>
                <c:pt idx="1233">
                  <c:v>28.81</c:v>
                </c:pt>
                <c:pt idx="1234">
                  <c:v>28.45</c:v>
                </c:pt>
                <c:pt idx="1235">
                  <c:v>27.79</c:v>
                </c:pt>
                <c:pt idx="1236">
                  <c:v>27.78</c:v>
                </c:pt>
                <c:pt idx="1237">
                  <c:v>27.65</c:v>
                </c:pt>
                <c:pt idx="1238">
                  <c:v>27.72</c:v>
                </c:pt>
                <c:pt idx="1239">
                  <c:v>27.72</c:v>
                </c:pt>
                <c:pt idx="1240">
                  <c:v>27.55</c:v>
                </c:pt>
                <c:pt idx="1241">
                  <c:v>27.46</c:v>
                </c:pt>
                <c:pt idx="1242">
                  <c:v>27.64</c:v>
                </c:pt>
                <c:pt idx="1243">
                  <c:v>27.66</c:v>
                </c:pt>
                <c:pt idx="1244">
                  <c:v>27.74</c:v>
                </c:pt>
                <c:pt idx="1245">
                  <c:v>27.93</c:v>
                </c:pt>
                <c:pt idx="1246">
                  <c:v>28.18</c:v>
                </c:pt>
                <c:pt idx="1247">
                  <c:v>28.41</c:v>
                </c:pt>
                <c:pt idx="1248">
                  <c:v>28.67</c:v>
                </c:pt>
                <c:pt idx="1249">
                  <c:v>28.72</c:v>
                </c:pt>
                <c:pt idx="1250">
                  <c:v>28.72</c:v>
                </c:pt>
                <c:pt idx="1251">
                  <c:v>28.52</c:v>
                </c:pt>
                <c:pt idx="1252">
                  <c:v>28.12</c:v>
                </c:pt>
                <c:pt idx="1253">
                  <c:v>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A-4D1F-92E5-0C158C8D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0448079"/>
        <c:axId val="545423152"/>
      </c:lineChart>
      <c:dateAx>
        <c:axId val="70044807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45423152"/>
        <c:crosses val="autoZero"/>
        <c:auto val="0"/>
        <c:lblOffset val="100"/>
        <c:baseTimeUnit val="days"/>
      </c:dateAx>
      <c:valAx>
        <c:axId val="54542315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0044807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27-4504-9D3F-D5FECEB9DCF5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27-4504-9D3F-D5FECEB9DCF5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27-4504-9D3F-D5FECEB9DCF5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27-4504-9D3F-D5FECEB9DCF5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27-4504-9D3F-D5FECEB9DCF5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327-4504-9D3F-D5FECEB9DCF5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327-4504-9D3F-D5FECEB9DCF5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327-4504-9D3F-D5FECEB9DCF5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327-4504-9D3F-D5FECEB9DCF5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327-4504-9D3F-D5FECEB9DCF5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327-4504-9D3F-D5FECEB9DCF5}"/>
            </c:ext>
          </c:extLst>
        </c:ser>
        <c:ser>
          <c:idx val="11"/>
          <c:order val="11"/>
          <c:tx>
            <c:v>PFE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327-4504-9D3F-D5FECEB9D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4666096"/>
        <c:axId val="377397104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327-4504-9D3F-D5FECEB9DCF5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327-4504-9D3F-D5FECEB9DCF5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327-4504-9D3F-D5FECEB9DCF5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327-4504-9D3F-D5FECEB9DCF5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E327-4504-9D3F-D5FECEB9DCF5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E327-4504-9D3F-D5FECEB9DCF5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E327-4504-9D3F-D5FECEB9DCF5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327-4504-9D3F-D5FECEB9DCF5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327-4504-9D3F-D5FECEB9DCF5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327-4504-9D3F-D5FECEB9DCF5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E327-4504-9D3F-D5FECEB9DCF5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E327-4504-9D3F-D5FECEB9DCF5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E327-4504-9D3F-D5FECEB9DCF5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E327-4504-9D3F-D5FECEB9DCF5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E327-4504-9D3F-D5FECEB9DCF5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E327-4504-9D3F-D5FECEB9DCF5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E327-4504-9D3F-D5FECEB9DCF5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E327-4504-9D3F-D5FECEB9DCF5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E327-4504-9D3F-D5FECEB9DCF5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E327-4504-9D3F-D5FECEB9DCF5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E327-4504-9D3F-D5FECEB9DCF5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E327-4504-9D3F-D5FECEB9DCF5}"/>
            </c:ext>
          </c:extLst>
        </c:ser>
        <c:ser>
          <c:idx val="34"/>
          <c:order val="34"/>
          <c:tx>
            <c:v>PFE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E327-4504-9D3F-D5FECEB9DCF5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327-4504-9D3F-D5FECEB9DCF5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E327-4504-9D3F-D5FECEB9D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66096"/>
        <c:axId val="377397104"/>
      </c:scatterChart>
      <c:dateAx>
        <c:axId val="42466609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377397104"/>
        <c:crosses val="autoZero"/>
        <c:auto val="0"/>
        <c:lblOffset val="100"/>
        <c:baseTimeUnit val="days"/>
      </c:dateAx>
      <c:valAx>
        <c:axId val="377397104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42466609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PFE Price Chart">
          <a:extLst>
            <a:ext uri="{FF2B5EF4-FFF2-40B4-BE49-F238E27FC236}">
              <a16:creationId xmlns:a16="http://schemas.microsoft.com/office/drawing/2014/main" id="{32CE8827-409A-81C5-ECEA-00195C463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C7471A0F-88F1-F314-EBB9-107C164207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6084-FA91-4AEB-A58F-F895BCD1CA3F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42.53</v>
      </c>
      <c r="C5" s="5">
        <v>42.79</v>
      </c>
      <c r="D5" s="5">
        <v>42.28</v>
      </c>
      <c r="E5" s="5">
        <v>42.32</v>
      </c>
      <c r="F5" s="6">
        <v>19342560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42.06</v>
      </c>
      <c r="C6" s="5">
        <v>42.2</v>
      </c>
      <c r="D6" s="5">
        <v>41.69</v>
      </c>
      <c r="E6" s="5">
        <v>42.02</v>
      </c>
      <c r="F6" s="6">
        <v>30483840</v>
      </c>
    </row>
    <row r="7" spans="1:10" ht="15" x14ac:dyDescent="0.25">
      <c r="A7" s="4">
        <v>44476</v>
      </c>
      <c r="B7" s="5">
        <v>42.52</v>
      </c>
      <c r="C7" s="5">
        <v>42.96</v>
      </c>
      <c r="D7" s="5">
        <v>42.21</v>
      </c>
      <c r="E7" s="5">
        <v>42.74</v>
      </c>
      <c r="F7" s="6">
        <v>19778300</v>
      </c>
      <c r="H7" s="8" t="s">
        <v>13</v>
      </c>
    </row>
    <row r="8" spans="1:10" x14ac:dyDescent="0.2">
      <c r="A8" s="4">
        <v>44477</v>
      </c>
      <c r="B8" s="5">
        <v>42.73</v>
      </c>
      <c r="C8" s="5">
        <v>42.905000000000001</v>
      </c>
      <c r="D8" s="5">
        <v>42.34</v>
      </c>
      <c r="E8" s="5">
        <v>42.45</v>
      </c>
      <c r="F8" s="6">
        <v>12778600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42.45</v>
      </c>
      <c r="C9" s="5">
        <v>42.62</v>
      </c>
      <c r="D9" s="5">
        <v>42.01</v>
      </c>
      <c r="E9" s="5">
        <v>42.06</v>
      </c>
      <c r="F9" s="6">
        <v>11984160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42.16</v>
      </c>
      <c r="C10" s="5">
        <v>42.21</v>
      </c>
      <c r="D10" s="5">
        <v>41.66</v>
      </c>
      <c r="E10" s="5">
        <v>41.85</v>
      </c>
      <c r="F10" s="6">
        <v>16222300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41.75</v>
      </c>
      <c r="C11" s="5">
        <v>41.91</v>
      </c>
      <c r="D11" s="5">
        <v>40.94</v>
      </c>
      <c r="E11" s="5">
        <v>41.42</v>
      </c>
      <c r="F11" s="6">
        <v>28205720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41.56</v>
      </c>
      <c r="C12" s="5">
        <v>41.956499999999998</v>
      </c>
      <c r="D12" s="5">
        <v>41.515000000000001</v>
      </c>
      <c r="E12" s="5">
        <v>41.67</v>
      </c>
      <c r="F12" s="6">
        <v>17590310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41.9</v>
      </c>
      <c r="C13" s="5">
        <v>42.03</v>
      </c>
      <c r="D13" s="5">
        <v>41.38</v>
      </c>
      <c r="E13" s="5">
        <v>41.49</v>
      </c>
      <c r="F13" s="6">
        <v>23550340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41.45</v>
      </c>
      <c r="C14" s="5">
        <v>41.7</v>
      </c>
      <c r="D14" s="5">
        <v>41.04</v>
      </c>
      <c r="E14" s="5">
        <v>41.32</v>
      </c>
      <c r="F14" s="6">
        <v>21732990</v>
      </c>
      <c r="H14" s="10" t="s">
        <v>20</v>
      </c>
      <c r="I14" s="13">
        <f ca="1">IF($I$11="OK",INDEX(PxClose,I9),"")</f>
        <v>42.32</v>
      </c>
    </row>
    <row r="15" spans="1:10" x14ac:dyDescent="0.2">
      <c r="A15" s="4">
        <v>44488</v>
      </c>
      <c r="B15" s="5">
        <v>41.6</v>
      </c>
      <c r="C15" s="5">
        <v>42.2</v>
      </c>
      <c r="D15" s="5">
        <v>41.541800000000002</v>
      </c>
      <c r="E15" s="5">
        <v>42.09</v>
      </c>
      <c r="F15" s="6">
        <v>17159790</v>
      </c>
      <c r="H15" s="10" t="s">
        <v>21</v>
      </c>
      <c r="I15" s="13">
        <f ca="1">IF($I$11="OK",INDEX(PxClose,I10),"")</f>
        <v>27.8</v>
      </c>
    </row>
    <row r="16" spans="1:10" x14ac:dyDescent="0.2">
      <c r="A16" s="4">
        <v>44489</v>
      </c>
      <c r="B16" s="5">
        <v>42.12</v>
      </c>
      <c r="C16" s="5">
        <v>43.11</v>
      </c>
      <c r="D16" s="5">
        <v>42.1</v>
      </c>
      <c r="E16" s="5">
        <v>42.8</v>
      </c>
      <c r="F16" s="6">
        <v>22788280</v>
      </c>
      <c r="H16" s="14" t="s">
        <v>22</v>
      </c>
      <c r="I16" s="15">
        <f ca="1">IF($I$11="OK",I15/I14-1,"")</f>
        <v>-0.34310018903591677</v>
      </c>
    </row>
    <row r="17" spans="1:8" x14ac:dyDescent="0.2">
      <c r="A17" s="4">
        <v>44490</v>
      </c>
      <c r="B17" s="5">
        <v>43.055</v>
      </c>
      <c r="C17" s="5">
        <v>43.09</v>
      </c>
      <c r="D17" s="5">
        <v>42.43</v>
      </c>
      <c r="E17" s="5">
        <v>42.86</v>
      </c>
      <c r="F17" s="6">
        <v>22142320</v>
      </c>
    </row>
    <row r="18" spans="1:8" ht="15.75" x14ac:dyDescent="0.25">
      <c r="A18" s="4">
        <v>44491</v>
      </c>
      <c r="B18" s="5">
        <v>42.82</v>
      </c>
      <c r="C18" s="5">
        <v>43.19</v>
      </c>
      <c r="D18" s="5">
        <v>42.63</v>
      </c>
      <c r="E18" s="5">
        <v>43.16</v>
      </c>
      <c r="F18" s="6">
        <v>17183010</v>
      </c>
      <c r="H18" s="1" t="str">
        <f ca="1">IF($I$11&lt;&gt;"OK",$I$11,"PFE "&amp;IF(I16&gt;=0,"rose ","fell ")&amp;TEXT(ABS(I16),"0.0%")&amp;" from "&amp;TEXT(I14,"$#,##0.00")&amp;" on "&amp;TEXT(I12,"mmm d, yyyy")&amp;" to "&amp;TEXT(I15,"$#,##0.00")&amp;" on "&amp;TEXT(I13,"mmm d, yyyy")&amp;".")</f>
        <v>PFE fell 34.3% from $42.32 on Oct 5, 2021 to $27.80 on Oct 2, 2026.</v>
      </c>
    </row>
    <row r="19" spans="1:8" x14ac:dyDescent="0.2">
      <c r="A19" s="4">
        <v>44494</v>
      </c>
      <c r="B19" s="5">
        <v>43.2</v>
      </c>
      <c r="C19" s="5">
        <v>43.24</v>
      </c>
      <c r="D19" s="5">
        <v>42.57</v>
      </c>
      <c r="E19" s="5">
        <v>43.15</v>
      </c>
      <c r="F19" s="6">
        <v>22846240</v>
      </c>
    </row>
    <row r="20" spans="1:8" x14ac:dyDescent="0.2">
      <c r="A20" s="4">
        <v>44495</v>
      </c>
      <c r="B20" s="5">
        <v>43.33</v>
      </c>
      <c r="C20" s="5">
        <v>43.76</v>
      </c>
      <c r="D20" s="5">
        <v>42.92</v>
      </c>
      <c r="E20" s="5">
        <v>43.56</v>
      </c>
      <c r="F20" s="6">
        <v>29729050</v>
      </c>
    </row>
    <row r="21" spans="1:8" x14ac:dyDescent="0.2">
      <c r="A21" s="4">
        <v>44496</v>
      </c>
      <c r="B21" s="5">
        <v>43.46</v>
      </c>
      <c r="C21" s="5">
        <v>43.559899999999999</v>
      </c>
      <c r="D21" s="5">
        <v>42.68</v>
      </c>
      <c r="E21" s="5">
        <v>42.97</v>
      </c>
      <c r="F21" s="6">
        <v>22317480</v>
      </c>
    </row>
    <row r="22" spans="1:8" x14ac:dyDescent="0.2">
      <c r="A22" s="4">
        <v>44497</v>
      </c>
      <c r="B22" s="5">
        <v>42.95</v>
      </c>
      <c r="C22" s="5">
        <v>43.67</v>
      </c>
      <c r="D22" s="5">
        <v>42.94</v>
      </c>
      <c r="E22" s="5">
        <v>43.18</v>
      </c>
      <c r="F22" s="6">
        <v>18023410</v>
      </c>
    </row>
    <row r="23" spans="1:8" x14ac:dyDescent="0.2">
      <c r="A23" s="4">
        <v>44498</v>
      </c>
      <c r="B23" s="5">
        <v>43.09</v>
      </c>
      <c r="C23" s="5">
        <v>43.83</v>
      </c>
      <c r="D23" s="5">
        <v>42.854999999999997</v>
      </c>
      <c r="E23" s="5">
        <v>43.74</v>
      </c>
      <c r="F23" s="6">
        <v>30307490</v>
      </c>
    </row>
    <row r="24" spans="1:8" x14ac:dyDescent="0.2">
      <c r="A24" s="4">
        <v>44501</v>
      </c>
      <c r="B24" s="5">
        <v>44.14</v>
      </c>
      <c r="C24" s="5">
        <v>44.29</v>
      </c>
      <c r="D24" s="5">
        <v>43.44</v>
      </c>
      <c r="E24" s="5">
        <v>43.64</v>
      </c>
      <c r="F24" s="6">
        <v>32681520</v>
      </c>
    </row>
    <row r="25" spans="1:8" x14ac:dyDescent="0.2">
      <c r="A25" s="4">
        <v>44502</v>
      </c>
      <c r="B25" s="5">
        <v>45.075000000000003</v>
      </c>
      <c r="C25" s="5">
        <v>46.04</v>
      </c>
      <c r="D25" s="5">
        <v>43.05</v>
      </c>
      <c r="E25" s="5">
        <v>45.45</v>
      </c>
      <c r="F25" s="6">
        <v>69247980</v>
      </c>
    </row>
    <row r="26" spans="1:8" x14ac:dyDescent="0.2">
      <c r="A26" s="4">
        <v>44503</v>
      </c>
      <c r="B26" s="5">
        <v>45.52</v>
      </c>
      <c r="C26" s="5">
        <v>45.99</v>
      </c>
      <c r="D26" s="5">
        <v>44.48</v>
      </c>
      <c r="E26" s="5">
        <v>44.82</v>
      </c>
      <c r="F26" s="6">
        <v>44593140</v>
      </c>
    </row>
    <row r="27" spans="1:8" x14ac:dyDescent="0.2">
      <c r="A27" s="4">
        <v>44504</v>
      </c>
      <c r="B27" s="5">
        <v>44.29</v>
      </c>
      <c r="C27" s="5">
        <v>44.47</v>
      </c>
      <c r="D27" s="5">
        <v>43.305</v>
      </c>
      <c r="E27" s="5">
        <v>43.85</v>
      </c>
      <c r="F27" s="6">
        <v>38172540</v>
      </c>
    </row>
    <row r="28" spans="1:8" x14ac:dyDescent="0.2">
      <c r="A28" s="4">
        <v>44505</v>
      </c>
      <c r="B28" s="5">
        <v>48.09</v>
      </c>
      <c r="C28" s="5">
        <v>48.809899999999999</v>
      </c>
      <c r="D28" s="5">
        <v>46.55</v>
      </c>
      <c r="E28" s="5">
        <v>48.61</v>
      </c>
      <c r="F28" s="6">
        <v>173959100</v>
      </c>
    </row>
    <row r="29" spans="1:8" x14ac:dyDescent="0.2">
      <c r="A29" s="4">
        <v>44508</v>
      </c>
      <c r="B29" s="5">
        <v>48.61</v>
      </c>
      <c r="C29" s="5">
        <v>48.784999999999997</v>
      </c>
      <c r="D29" s="5">
        <v>47.6</v>
      </c>
      <c r="E29" s="5">
        <v>48.33</v>
      </c>
      <c r="F29" s="6">
        <v>57423270</v>
      </c>
    </row>
    <row r="30" spans="1:8" x14ac:dyDescent="0.2">
      <c r="A30" s="4">
        <v>44509</v>
      </c>
      <c r="B30" s="5">
        <v>48.33</v>
      </c>
      <c r="C30" s="5">
        <v>48.38</v>
      </c>
      <c r="D30" s="5">
        <v>47.15</v>
      </c>
      <c r="E30" s="5">
        <v>47.3</v>
      </c>
      <c r="F30" s="6">
        <v>29920440</v>
      </c>
    </row>
    <row r="31" spans="1:8" x14ac:dyDescent="0.2">
      <c r="A31" s="4">
        <v>44510</v>
      </c>
      <c r="B31" s="5">
        <v>47.4</v>
      </c>
      <c r="C31" s="5">
        <v>49.21</v>
      </c>
      <c r="D31" s="5">
        <v>47.4</v>
      </c>
      <c r="E31" s="5">
        <v>49.02</v>
      </c>
      <c r="F31" s="6">
        <v>42696200</v>
      </c>
    </row>
    <row r="32" spans="1:8" x14ac:dyDescent="0.2">
      <c r="A32" s="4">
        <v>44511</v>
      </c>
      <c r="B32" s="5">
        <v>49.23</v>
      </c>
      <c r="C32" s="5">
        <v>50.5</v>
      </c>
      <c r="D32" s="5">
        <v>48.732999999999997</v>
      </c>
      <c r="E32" s="5">
        <v>50.18</v>
      </c>
      <c r="F32" s="6">
        <v>42370390</v>
      </c>
    </row>
    <row r="33" spans="1:23" x14ac:dyDescent="0.2">
      <c r="A33" s="4">
        <v>44512</v>
      </c>
      <c r="B33" s="5">
        <v>50.42</v>
      </c>
      <c r="C33" s="5">
        <v>50.49</v>
      </c>
      <c r="D33" s="5">
        <v>49.57</v>
      </c>
      <c r="E33" s="5">
        <v>49.73</v>
      </c>
      <c r="F33" s="6">
        <v>27780570</v>
      </c>
    </row>
    <row r="34" spans="1:23" x14ac:dyDescent="0.2">
      <c r="A34" s="4">
        <v>44515</v>
      </c>
      <c r="B34" s="5">
        <v>49.73</v>
      </c>
      <c r="C34" s="5">
        <v>50.1</v>
      </c>
      <c r="D34" s="5">
        <v>49.37</v>
      </c>
      <c r="E34" s="5">
        <v>49.65</v>
      </c>
      <c r="F34" s="6">
        <v>27763220</v>
      </c>
    </row>
    <row r="35" spans="1:23" x14ac:dyDescent="0.2">
      <c r="A35" s="4">
        <v>44516</v>
      </c>
      <c r="B35" s="5">
        <v>49.47</v>
      </c>
      <c r="C35" s="5">
        <v>50.16</v>
      </c>
      <c r="D35" s="5">
        <v>48.89</v>
      </c>
      <c r="E35" s="5">
        <v>49.6</v>
      </c>
      <c r="F35" s="6">
        <v>31297220</v>
      </c>
    </row>
    <row r="36" spans="1:23" x14ac:dyDescent="0.2">
      <c r="A36" s="4">
        <v>44517</v>
      </c>
      <c r="B36" s="5">
        <v>49.94</v>
      </c>
      <c r="C36" s="5">
        <v>51.09</v>
      </c>
      <c r="D36" s="5">
        <v>49.685000000000002</v>
      </c>
      <c r="E36" s="5">
        <v>50.87</v>
      </c>
      <c r="F36" s="6">
        <v>36889770</v>
      </c>
    </row>
    <row r="37" spans="1:23" x14ac:dyDescent="0.2">
      <c r="A37" s="4">
        <v>44518</v>
      </c>
      <c r="B37" s="5">
        <v>51.1</v>
      </c>
      <c r="C37" s="5">
        <v>51.71</v>
      </c>
      <c r="D37" s="5">
        <v>50.61</v>
      </c>
      <c r="E37" s="5">
        <v>51.41</v>
      </c>
      <c r="F37" s="6">
        <v>32872570</v>
      </c>
    </row>
    <row r="38" spans="1:23" x14ac:dyDescent="0.2">
      <c r="A38" s="4">
        <v>44519</v>
      </c>
      <c r="B38" s="5">
        <v>51.96</v>
      </c>
      <c r="C38" s="5">
        <v>52.835000000000001</v>
      </c>
      <c r="D38" s="5">
        <v>50.68</v>
      </c>
      <c r="E38" s="5">
        <v>50.8</v>
      </c>
      <c r="F38" s="6">
        <v>47966180</v>
      </c>
    </row>
    <row r="39" spans="1:23" x14ac:dyDescent="0.2">
      <c r="A39" s="4">
        <v>44522</v>
      </c>
      <c r="B39" s="5">
        <v>50.95</v>
      </c>
      <c r="C39" s="5">
        <v>51.47</v>
      </c>
      <c r="D39" s="5">
        <v>50.38</v>
      </c>
      <c r="E39" s="5">
        <v>51.2</v>
      </c>
      <c r="F39" s="6">
        <v>27287940</v>
      </c>
    </row>
    <row r="40" spans="1:23" x14ac:dyDescent="0.2">
      <c r="A40" s="4">
        <v>44523</v>
      </c>
      <c r="B40" s="5">
        <v>50.58</v>
      </c>
      <c r="C40" s="5">
        <v>51.45</v>
      </c>
      <c r="D40" s="5">
        <v>50.3</v>
      </c>
      <c r="E40" s="5">
        <v>51.08</v>
      </c>
      <c r="F40" s="6">
        <v>24952590</v>
      </c>
    </row>
    <row r="41" spans="1:23" x14ac:dyDescent="0.2">
      <c r="A41" s="4">
        <v>44524</v>
      </c>
      <c r="B41" s="5">
        <v>51.18</v>
      </c>
      <c r="C41" s="5">
        <v>51.33</v>
      </c>
      <c r="D41" s="5">
        <v>50.704999999999998</v>
      </c>
      <c r="E41" s="5">
        <v>50.89</v>
      </c>
      <c r="F41" s="6">
        <v>18556750</v>
      </c>
    </row>
    <row r="42" spans="1:23" x14ac:dyDescent="0.2">
      <c r="A42" s="4">
        <v>44526</v>
      </c>
      <c r="B42" s="5">
        <v>54.034999999999997</v>
      </c>
      <c r="C42" s="5">
        <v>54.94</v>
      </c>
      <c r="D42" s="5">
        <v>53.25</v>
      </c>
      <c r="E42" s="5">
        <v>54</v>
      </c>
      <c r="F42" s="6">
        <v>66561300</v>
      </c>
    </row>
    <row r="43" spans="1:23" x14ac:dyDescent="0.2">
      <c r="A43" s="4">
        <v>44529</v>
      </c>
      <c r="B43" s="5">
        <v>55.15</v>
      </c>
      <c r="C43" s="5">
        <v>55.7</v>
      </c>
      <c r="D43" s="5">
        <v>52.11</v>
      </c>
      <c r="E43" s="5">
        <v>52.4</v>
      </c>
      <c r="F43" s="6">
        <v>72660760</v>
      </c>
    </row>
    <row r="44" spans="1:23" x14ac:dyDescent="0.2">
      <c r="A44" s="4">
        <v>44530</v>
      </c>
      <c r="B44" s="5">
        <v>52.31</v>
      </c>
      <c r="C44" s="5">
        <v>54.46</v>
      </c>
      <c r="D44" s="5">
        <v>51.91</v>
      </c>
      <c r="E44" s="5">
        <v>53.73</v>
      </c>
      <c r="F44" s="6">
        <v>64598390</v>
      </c>
    </row>
    <row r="45" spans="1:23" x14ac:dyDescent="0.2">
      <c r="A45" s="4">
        <v>44531</v>
      </c>
      <c r="B45" s="5">
        <v>52.47</v>
      </c>
      <c r="C45" s="5">
        <v>55.17</v>
      </c>
      <c r="D45" s="5">
        <v>51.86</v>
      </c>
      <c r="E45" s="5">
        <v>54.68</v>
      </c>
      <c r="F45" s="6">
        <v>59849360</v>
      </c>
    </row>
    <row r="46" spans="1:23" ht="15.75" x14ac:dyDescent="0.25">
      <c r="A46" s="4">
        <v>44532</v>
      </c>
      <c r="B46" s="5">
        <v>53.82</v>
      </c>
      <c r="C46" s="5">
        <v>55.08</v>
      </c>
      <c r="D46" s="5">
        <v>52.77</v>
      </c>
      <c r="E46" s="5">
        <v>53.04</v>
      </c>
      <c r="F46" s="6">
        <v>46361740</v>
      </c>
      <c r="U46" s="1" t="s">
        <v>49</v>
      </c>
    </row>
    <row r="47" spans="1:23" x14ac:dyDescent="0.2">
      <c r="A47" s="4">
        <v>44533</v>
      </c>
      <c r="B47" s="5">
        <v>53.71</v>
      </c>
      <c r="C47" s="5">
        <v>54.41</v>
      </c>
      <c r="D47" s="5">
        <v>53.101999999999997</v>
      </c>
      <c r="E47" s="5">
        <v>54.27</v>
      </c>
      <c r="F47" s="6">
        <v>37574770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53.78</v>
      </c>
      <c r="C48" s="5">
        <v>53.89</v>
      </c>
      <c r="D48" s="5">
        <v>51.25</v>
      </c>
      <c r="E48" s="5">
        <v>51.48</v>
      </c>
      <c r="F48" s="6">
        <v>53723980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51.25</v>
      </c>
      <c r="C49" s="5">
        <v>52.499899999999997</v>
      </c>
      <c r="D49" s="5">
        <v>50.4</v>
      </c>
      <c r="E49" s="5">
        <v>51.72</v>
      </c>
      <c r="F49" s="6">
        <v>41575440</v>
      </c>
      <c r="U49" s="23" t="s">
        <v>52</v>
      </c>
      <c r="V49" s="24">
        <f ca="1">IF($I$11="OK",INDEX('Peer Data'!$O$5:$O$1258,$I$10),"")</f>
        <v>-0.34310018903591677</v>
      </c>
      <c r="W49" s="25">
        <f ca="1">IF($I$11="OK",RANK(V49,$V$49:$V$60),"")</f>
        <v>12</v>
      </c>
    </row>
    <row r="50" spans="1:23" x14ac:dyDescent="0.2">
      <c r="A50" s="4">
        <v>44538</v>
      </c>
      <c r="B50" s="5">
        <v>52.75</v>
      </c>
      <c r="C50" s="5">
        <v>53.08</v>
      </c>
      <c r="D50" s="5">
        <v>51.03</v>
      </c>
      <c r="E50" s="5">
        <v>51.4</v>
      </c>
      <c r="F50" s="6">
        <v>37429200</v>
      </c>
      <c r="U50" s="26" t="s">
        <v>53</v>
      </c>
      <c r="V50" s="27">
        <f ca="1">IF($I$11="OK",INDEX('Peer Data'!$P$5:$P$1258,$I$10),"")</f>
        <v>0.78110587727043646</v>
      </c>
      <c r="W50" s="28">
        <f ca="1">IF($I$11="OK",RANK(V50,$V$49:$V$60),"")</f>
        <v>3</v>
      </c>
    </row>
    <row r="51" spans="1:23" x14ac:dyDescent="0.2">
      <c r="A51" s="4">
        <v>44539</v>
      </c>
      <c r="B51" s="5">
        <v>51.51</v>
      </c>
      <c r="C51" s="5">
        <v>52.844999999999999</v>
      </c>
      <c r="D51" s="5">
        <v>51.51</v>
      </c>
      <c r="E51" s="5">
        <v>52.08</v>
      </c>
      <c r="F51" s="6">
        <v>38325660</v>
      </c>
      <c r="U51" s="26" t="s">
        <v>54</v>
      </c>
      <c r="V51" s="27">
        <f ca="1">IF($I$11="OK",INDEX('Peer Data'!$Q$5:$Q$1258,$I$10),"")</f>
        <v>0.2966942148760332</v>
      </c>
      <c r="W51" s="28">
        <f ca="1">IF($I$11="OK",RANK(V51,$V$49:$V$60),"")</f>
        <v>6</v>
      </c>
    </row>
    <row r="52" spans="1:23" x14ac:dyDescent="0.2">
      <c r="A52" s="4">
        <v>44540</v>
      </c>
      <c r="B52" s="5">
        <v>51.2</v>
      </c>
      <c r="C52" s="5">
        <v>52.85</v>
      </c>
      <c r="D52" s="5">
        <v>51.11</v>
      </c>
      <c r="E52" s="5">
        <v>52.78</v>
      </c>
      <c r="F52" s="6">
        <v>26079360</v>
      </c>
      <c r="U52" s="26" t="s">
        <v>55</v>
      </c>
      <c r="V52" s="27">
        <f ca="1">IF($I$11="OK",INDEX('Peer Data'!$R$5:$R$1258,$I$10),"")</f>
        <v>-1.5593929879644142E-2</v>
      </c>
      <c r="W52" s="28">
        <f ca="1">IF($I$11="OK",RANK(V52,$V$49:$V$60),"")</f>
        <v>9</v>
      </c>
    </row>
    <row r="53" spans="1:23" x14ac:dyDescent="0.2">
      <c r="A53" s="4">
        <v>44543</v>
      </c>
      <c r="B53" s="5">
        <v>53.44</v>
      </c>
      <c r="C53" s="5">
        <v>55.73</v>
      </c>
      <c r="D53" s="5">
        <v>53.44</v>
      </c>
      <c r="E53" s="5">
        <v>55.2</v>
      </c>
      <c r="F53" s="6">
        <v>54923240</v>
      </c>
      <c r="U53" s="26" t="s">
        <v>56</v>
      </c>
      <c r="V53" s="27">
        <f ca="1">IF($I$11="OK",INDEX('Peer Data'!$S$5:$S$1258,$I$10),"")</f>
        <v>0.11884368308351179</v>
      </c>
      <c r="W53" s="28">
        <f ca="1">IF($I$11="OK",RANK(V53,$V$49:$V$60),"")</f>
        <v>7</v>
      </c>
    </row>
    <row r="54" spans="1:23" x14ac:dyDescent="0.2">
      <c r="A54" s="4">
        <v>44544</v>
      </c>
      <c r="B54" s="5">
        <v>54.77</v>
      </c>
      <c r="C54" s="5">
        <v>55.95</v>
      </c>
      <c r="D54" s="5">
        <v>54.316000000000003</v>
      </c>
      <c r="E54" s="5">
        <v>55.54</v>
      </c>
      <c r="F54" s="6">
        <v>48685670</v>
      </c>
      <c r="U54" s="26" t="s">
        <v>57</v>
      </c>
      <c r="V54" s="27">
        <f ca="1">IF($I$11="OK",INDEX('Peer Data'!$T$5:$T$1258,$I$10),"")</f>
        <v>-0.17384105960264895</v>
      </c>
      <c r="W54" s="28">
        <f ca="1">IF($I$11="OK",RANK(V54,$V$49:$V$60),"")</f>
        <v>11</v>
      </c>
    </row>
    <row r="55" spans="1:23" x14ac:dyDescent="0.2">
      <c r="A55" s="4">
        <v>44545</v>
      </c>
      <c r="B55" s="5">
        <v>56.11</v>
      </c>
      <c r="C55" s="5">
        <v>58.914999999999999</v>
      </c>
      <c r="D55" s="5">
        <v>55.89</v>
      </c>
      <c r="E55" s="5">
        <v>58.8</v>
      </c>
      <c r="F55" s="6">
        <v>75202910</v>
      </c>
      <c r="U55" s="26" t="s">
        <v>58</v>
      </c>
      <c r="V55" s="27">
        <f ca="1">IF($I$11="OK",INDEX('Peer Data'!$U$5:$U$1258,$I$10),"")</f>
        <v>-2.6535253980288109E-2</v>
      </c>
      <c r="W55" s="28">
        <f ca="1">IF($I$11="OK",RANK(V55,$V$49:$V$60),"")</f>
        <v>10</v>
      </c>
    </row>
    <row r="56" spans="1:23" x14ac:dyDescent="0.2">
      <c r="A56" s="4">
        <v>44546</v>
      </c>
      <c r="B56" s="5">
        <v>58.36</v>
      </c>
      <c r="C56" s="5">
        <v>61.43</v>
      </c>
      <c r="D56" s="5">
        <v>57.75</v>
      </c>
      <c r="E56" s="5">
        <v>61.25</v>
      </c>
      <c r="F56" s="6">
        <v>75183650</v>
      </c>
      <c r="U56" s="26" t="s">
        <v>59</v>
      </c>
      <c r="V56" s="27">
        <f ca="1">IF($I$11="OK",INDEX('Peer Data'!$V$5:$V$1258,$I$10),"")</f>
        <v>0.76838235294117663</v>
      </c>
      <c r="W56" s="28">
        <f ca="1">IF($I$11="OK",RANK(V56,$V$49:$V$60),"")</f>
        <v>4</v>
      </c>
    </row>
    <row r="57" spans="1:23" x14ac:dyDescent="0.2">
      <c r="A57" s="4">
        <v>44547</v>
      </c>
      <c r="B57" s="5">
        <v>59.93</v>
      </c>
      <c r="C57" s="5">
        <v>61.19</v>
      </c>
      <c r="D57" s="5">
        <v>58.7</v>
      </c>
      <c r="E57" s="5">
        <v>59.48</v>
      </c>
      <c r="F57" s="6">
        <v>104320200</v>
      </c>
      <c r="U57" s="26" t="s">
        <v>60</v>
      </c>
      <c r="V57" s="27">
        <f ca="1">IF($I$11="OK",INDEX('Peer Data'!$W$5:$W$1258,$I$10),"")</f>
        <v>3.9489022647555529</v>
      </c>
      <c r="W57" s="28">
        <f ca="1">IF($I$11="OK",RANK(V57,$V$49:$V$60),"")</f>
        <v>1</v>
      </c>
    </row>
    <row r="58" spans="1:23" x14ac:dyDescent="0.2">
      <c r="A58" s="4">
        <v>44550</v>
      </c>
      <c r="B58" s="5">
        <v>60.6</v>
      </c>
      <c r="C58" s="5">
        <v>61.71</v>
      </c>
      <c r="D58" s="5">
        <v>59.83</v>
      </c>
      <c r="E58" s="5">
        <v>61.02</v>
      </c>
      <c r="F58" s="6">
        <v>55712220</v>
      </c>
      <c r="U58" s="26" t="s">
        <v>61</v>
      </c>
      <c r="V58" s="27">
        <f ca="1">IF($I$11="OK",INDEX('Peer Data'!$X$5:$X$1258,$I$10),"")</f>
        <v>3.3812341504649179E-2</v>
      </c>
      <c r="W58" s="28">
        <f ca="1">IF($I$11="OK",RANK(V58,$V$49:$V$60),"")</f>
        <v>8</v>
      </c>
    </row>
    <row r="59" spans="1:23" x14ac:dyDescent="0.2">
      <c r="A59" s="4">
        <v>44551</v>
      </c>
      <c r="B59" s="5">
        <v>60.01</v>
      </c>
      <c r="C59" s="5">
        <v>60.04</v>
      </c>
      <c r="D59" s="5">
        <v>57.16</v>
      </c>
      <c r="E59" s="5">
        <v>58.95</v>
      </c>
      <c r="F59" s="6">
        <v>63877880</v>
      </c>
      <c r="U59" s="26" t="s">
        <v>62</v>
      </c>
      <c r="V59" s="27">
        <f ca="1">IF($I$11="OK",INDEX('Peer Data'!$Y$5:$Y$1258,$I$10),"")</f>
        <v>0.60439904749968631</v>
      </c>
      <c r="W59" s="28">
        <f ca="1">IF($I$11="OK",RANK(V59,$V$49:$V$60),"")</f>
        <v>5</v>
      </c>
    </row>
    <row r="60" spans="1:23" x14ac:dyDescent="0.2">
      <c r="A60" s="4">
        <v>44552</v>
      </c>
      <c r="B60" s="5">
        <v>59.25</v>
      </c>
      <c r="C60" s="5">
        <v>60.585000000000001</v>
      </c>
      <c r="D60" s="5">
        <v>58.22</v>
      </c>
      <c r="E60" s="5">
        <v>59.55</v>
      </c>
      <c r="F60" s="6">
        <v>62594920</v>
      </c>
      <c r="U60" s="29" t="s">
        <v>63</v>
      </c>
      <c r="V60" s="30">
        <f ca="1">IF($I$11="OK",INDEX('Peer Data'!$Z$5:$Z$1258,$I$10),"")</f>
        <v>1.3999634736553737</v>
      </c>
      <c r="W60" s="31">
        <f ca="1">IF($I$11="OK",RANK(V60,$V$49:$V$60),"")</f>
        <v>2</v>
      </c>
    </row>
    <row r="61" spans="1:23" x14ac:dyDescent="0.2">
      <c r="A61" s="4">
        <v>44553</v>
      </c>
      <c r="B61" s="5">
        <v>59.82</v>
      </c>
      <c r="C61" s="5">
        <v>60.08</v>
      </c>
      <c r="D61" s="5">
        <v>58.31</v>
      </c>
      <c r="E61" s="5">
        <v>58.71</v>
      </c>
      <c r="F61" s="6">
        <v>39203200</v>
      </c>
    </row>
    <row r="62" spans="1:23" x14ac:dyDescent="0.2">
      <c r="A62" s="4">
        <v>44557</v>
      </c>
      <c r="B62" s="5">
        <v>58.85</v>
      </c>
      <c r="C62" s="5">
        <v>59.38</v>
      </c>
      <c r="D62" s="5">
        <v>58.231000000000002</v>
      </c>
      <c r="E62" s="5">
        <v>59.2</v>
      </c>
      <c r="F62" s="6">
        <v>27362580</v>
      </c>
    </row>
    <row r="63" spans="1:23" x14ac:dyDescent="0.2">
      <c r="A63" s="4">
        <v>44558</v>
      </c>
      <c r="B63" s="5">
        <v>59.05</v>
      </c>
      <c r="C63" s="5">
        <v>59.45</v>
      </c>
      <c r="D63" s="5">
        <v>57.08</v>
      </c>
      <c r="E63" s="5">
        <v>58.01</v>
      </c>
      <c r="F63" s="6">
        <v>36901700</v>
      </c>
    </row>
    <row r="64" spans="1:23" x14ac:dyDescent="0.2">
      <c r="A64" s="4">
        <v>44559</v>
      </c>
      <c r="B64" s="5">
        <v>57.31</v>
      </c>
      <c r="C64" s="5">
        <v>58.03</v>
      </c>
      <c r="D64" s="5">
        <v>57.07</v>
      </c>
      <c r="E64" s="5">
        <v>57.58</v>
      </c>
      <c r="F64" s="6">
        <v>26170220</v>
      </c>
    </row>
    <row r="65" spans="1:6" x14ac:dyDescent="0.2">
      <c r="A65" s="4">
        <v>44560</v>
      </c>
      <c r="B65" s="5">
        <v>57.75</v>
      </c>
      <c r="C65" s="5">
        <v>58.74</v>
      </c>
      <c r="D65" s="5">
        <v>57.53</v>
      </c>
      <c r="E65" s="5">
        <v>58.4</v>
      </c>
      <c r="F65" s="6">
        <v>24559000</v>
      </c>
    </row>
    <row r="66" spans="1:6" x14ac:dyDescent="0.2">
      <c r="A66" s="4">
        <v>44561</v>
      </c>
      <c r="B66" s="5">
        <v>58.53</v>
      </c>
      <c r="C66" s="5">
        <v>59.8</v>
      </c>
      <c r="D66" s="5">
        <v>58.44</v>
      </c>
      <c r="E66" s="5">
        <v>59.05</v>
      </c>
      <c r="F66" s="6">
        <v>28579620</v>
      </c>
    </row>
    <row r="67" spans="1:6" x14ac:dyDescent="0.2">
      <c r="A67" s="4">
        <v>44564</v>
      </c>
      <c r="B67" s="5">
        <v>58.5</v>
      </c>
      <c r="C67" s="5">
        <v>58.55</v>
      </c>
      <c r="D67" s="5">
        <v>56.34</v>
      </c>
      <c r="E67" s="5">
        <v>56.65</v>
      </c>
      <c r="F67" s="6">
        <v>57253150</v>
      </c>
    </row>
    <row r="68" spans="1:6" x14ac:dyDescent="0.2">
      <c r="A68" s="4">
        <v>44565</v>
      </c>
      <c r="B68" s="5">
        <v>56.22</v>
      </c>
      <c r="C68" s="5">
        <v>56.43</v>
      </c>
      <c r="D68" s="5">
        <v>53.94</v>
      </c>
      <c r="E68" s="5">
        <v>54.53</v>
      </c>
      <c r="F68" s="6">
        <v>66993080</v>
      </c>
    </row>
    <row r="69" spans="1:6" x14ac:dyDescent="0.2">
      <c r="A69" s="4">
        <v>44566</v>
      </c>
      <c r="B69" s="5">
        <v>55.84</v>
      </c>
      <c r="C69" s="5">
        <v>56.44</v>
      </c>
      <c r="D69" s="5">
        <v>55.37</v>
      </c>
      <c r="E69" s="5">
        <v>55.63</v>
      </c>
      <c r="F69" s="6">
        <v>52956420</v>
      </c>
    </row>
    <row r="70" spans="1:6" x14ac:dyDescent="0.2">
      <c r="A70" s="4">
        <v>44567</v>
      </c>
      <c r="B70" s="5">
        <v>55.16</v>
      </c>
      <c r="C70" s="5">
        <v>55.63</v>
      </c>
      <c r="D70" s="5">
        <v>54.49</v>
      </c>
      <c r="E70" s="5">
        <v>54.84</v>
      </c>
      <c r="F70" s="6">
        <v>37000390</v>
      </c>
    </row>
    <row r="71" spans="1:6" x14ac:dyDescent="0.2">
      <c r="A71" s="4">
        <v>44568</v>
      </c>
      <c r="B71" s="5">
        <v>55.36</v>
      </c>
      <c r="C71" s="5">
        <v>55.77</v>
      </c>
      <c r="D71" s="5">
        <v>54.63</v>
      </c>
      <c r="E71" s="5">
        <v>55.72</v>
      </c>
      <c r="F71" s="6">
        <v>27703370</v>
      </c>
    </row>
    <row r="72" spans="1:6" x14ac:dyDescent="0.2">
      <c r="A72" s="4">
        <v>44571</v>
      </c>
      <c r="B72" s="5">
        <v>55.71</v>
      </c>
      <c r="C72" s="5">
        <v>56.26</v>
      </c>
      <c r="D72" s="5">
        <v>54.74</v>
      </c>
      <c r="E72" s="5">
        <v>56.24</v>
      </c>
      <c r="F72" s="6">
        <v>34044650</v>
      </c>
    </row>
    <row r="73" spans="1:6" x14ac:dyDescent="0.2">
      <c r="A73" s="4">
        <v>44572</v>
      </c>
      <c r="B73" s="5">
        <v>56.75</v>
      </c>
      <c r="C73" s="5">
        <v>57.43</v>
      </c>
      <c r="D73" s="5">
        <v>55.81</v>
      </c>
      <c r="E73" s="5">
        <v>56.69</v>
      </c>
      <c r="F73" s="6">
        <v>33576630</v>
      </c>
    </row>
    <row r="74" spans="1:6" x14ac:dyDescent="0.2">
      <c r="A74" s="4">
        <v>44573</v>
      </c>
      <c r="B74" s="5">
        <v>56.34</v>
      </c>
      <c r="C74" s="5">
        <v>57.16</v>
      </c>
      <c r="D74" s="5">
        <v>55.9</v>
      </c>
      <c r="E74" s="5">
        <v>56.65</v>
      </c>
      <c r="F74" s="6">
        <v>27608530</v>
      </c>
    </row>
    <row r="75" spans="1:6" x14ac:dyDescent="0.2">
      <c r="A75" s="4">
        <v>44574</v>
      </c>
      <c r="B75" s="5">
        <v>56.53</v>
      </c>
      <c r="C75" s="5">
        <v>56.75</v>
      </c>
      <c r="D75" s="5">
        <v>55.22</v>
      </c>
      <c r="E75" s="5">
        <v>55.54</v>
      </c>
      <c r="F75" s="6">
        <v>28117940</v>
      </c>
    </row>
    <row r="76" spans="1:6" x14ac:dyDescent="0.2">
      <c r="A76" s="4">
        <v>44575</v>
      </c>
      <c r="B76" s="5">
        <v>54.98</v>
      </c>
      <c r="C76" s="5">
        <v>55.38</v>
      </c>
      <c r="D76" s="5">
        <v>54.51</v>
      </c>
      <c r="E76" s="5">
        <v>54.95</v>
      </c>
      <c r="F76" s="6">
        <v>27072550</v>
      </c>
    </row>
    <row r="77" spans="1:6" x14ac:dyDescent="0.2">
      <c r="A77" s="4">
        <v>44579</v>
      </c>
      <c r="B77" s="5">
        <v>54.5</v>
      </c>
      <c r="C77" s="5">
        <v>54.55</v>
      </c>
      <c r="D77" s="5">
        <v>53.43</v>
      </c>
      <c r="E77" s="5">
        <v>54.11</v>
      </c>
      <c r="F77" s="6">
        <v>35607020</v>
      </c>
    </row>
    <row r="78" spans="1:6" x14ac:dyDescent="0.2">
      <c r="A78" s="4">
        <v>44580</v>
      </c>
      <c r="B78" s="5">
        <v>53.65</v>
      </c>
      <c r="C78" s="5">
        <v>54.49</v>
      </c>
      <c r="D78" s="5">
        <v>53.45</v>
      </c>
      <c r="E78" s="5">
        <v>53.54</v>
      </c>
      <c r="F78" s="6">
        <v>27300370</v>
      </c>
    </row>
    <row r="79" spans="1:6" x14ac:dyDescent="0.2">
      <c r="A79" s="4">
        <v>44581</v>
      </c>
      <c r="B79" s="5">
        <v>53.96</v>
      </c>
      <c r="C79" s="5">
        <v>54.515000000000001</v>
      </c>
      <c r="D79" s="5">
        <v>53.07</v>
      </c>
      <c r="E79" s="5">
        <v>54.05</v>
      </c>
      <c r="F79" s="6">
        <v>35105320</v>
      </c>
    </row>
    <row r="80" spans="1:6" x14ac:dyDescent="0.2">
      <c r="A80" s="4">
        <v>44582</v>
      </c>
      <c r="B80" s="5">
        <v>54.42</v>
      </c>
      <c r="C80" s="5">
        <v>54.865000000000002</v>
      </c>
      <c r="D80" s="5">
        <v>52.463700000000003</v>
      </c>
      <c r="E80" s="5">
        <v>52.79</v>
      </c>
      <c r="F80" s="6">
        <v>41058970</v>
      </c>
    </row>
    <row r="81" spans="1:6" x14ac:dyDescent="0.2">
      <c r="A81" s="4">
        <v>44585</v>
      </c>
      <c r="B81" s="5">
        <v>51.75</v>
      </c>
      <c r="C81" s="5">
        <v>52.06</v>
      </c>
      <c r="D81" s="5">
        <v>49.814999999999998</v>
      </c>
      <c r="E81" s="5">
        <v>51.54</v>
      </c>
      <c r="F81" s="6">
        <v>59080740</v>
      </c>
    </row>
    <row r="82" spans="1:6" x14ac:dyDescent="0.2">
      <c r="A82" s="4">
        <v>44586</v>
      </c>
      <c r="B82" s="5">
        <v>51.36</v>
      </c>
      <c r="C82" s="5">
        <v>52.835000000000001</v>
      </c>
      <c r="D82" s="5">
        <v>51.24</v>
      </c>
      <c r="E82" s="5">
        <v>52.54</v>
      </c>
      <c r="F82" s="6">
        <v>43983170</v>
      </c>
    </row>
    <row r="83" spans="1:6" x14ac:dyDescent="0.2">
      <c r="A83" s="4">
        <v>44587</v>
      </c>
      <c r="B83" s="5">
        <v>52.57</v>
      </c>
      <c r="C83" s="5">
        <v>53.62</v>
      </c>
      <c r="D83" s="5">
        <v>52.454999999999998</v>
      </c>
      <c r="E83" s="5">
        <v>53.01</v>
      </c>
      <c r="F83" s="6">
        <v>39644850</v>
      </c>
    </row>
    <row r="84" spans="1:6" x14ac:dyDescent="0.2">
      <c r="A84" s="4">
        <v>44588</v>
      </c>
      <c r="B84" s="5">
        <v>53.02</v>
      </c>
      <c r="C84" s="5">
        <v>54.58</v>
      </c>
      <c r="D84" s="5">
        <v>53</v>
      </c>
      <c r="E84" s="5">
        <v>53.37</v>
      </c>
      <c r="F84" s="6">
        <v>36957200</v>
      </c>
    </row>
    <row r="85" spans="1:6" x14ac:dyDescent="0.2">
      <c r="A85" s="4">
        <v>44589</v>
      </c>
      <c r="B85" s="5">
        <v>53.77</v>
      </c>
      <c r="C85" s="5">
        <v>54.67</v>
      </c>
      <c r="D85" s="5">
        <v>53.1</v>
      </c>
      <c r="E85" s="5">
        <v>54.33</v>
      </c>
      <c r="F85" s="6">
        <v>28590400</v>
      </c>
    </row>
    <row r="86" spans="1:6" x14ac:dyDescent="0.2">
      <c r="A86" s="4">
        <v>44592</v>
      </c>
      <c r="B86" s="5">
        <v>54</v>
      </c>
      <c r="C86" s="5">
        <v>54.14</v>
      </c>
      <c r="D86" s="5">
        <v>52.384999999999998</v>
      </c>
      <c r="E86" s="5">
        <v>52.69</v>
      </c>
      <c r="F86" s="6">
        <v>38644580</v>
      </c>
    </row>
    <row r="87" spans="1:6" x14ac:dyDescent="0.2">
      <c r="A87" s="4">
        <v>44593</v>
      </c>
      <c r="B87" s="5">
        <v>52.74</v>
      </c>
      <c r="C87" s="5">
        <v>53.16</v>
      </c>
      <c r="D87" s="5">
        <v>52.39</v>
      </c>
      <c r="E87" s="5">
        <v>53.07</v>
      </c>
      <c r="F87" s="6">
        <v>27883330</v>
      </c>
    </row>
    <row r="88" spans="1:6" x14ac:dyDescent="0.2">
      <c r="A88" s="4">
        <v>44594</v>
      </c>
      <c r="B88" s="5">
        <v>52.84</v>
      </c>
      <c r="C88" s="5">
        <v>54.13</v>
      </c>
      <c r="D88" s="5">
        <v>52.45</v>
      </c>
      <c r="E88" s="5">
        <v>53.86</v>
      </c>
      <c r="F88" s="6">
        <v>32039350</v>
      </c>
    </row>
    <row r="89" spans="1:6" x14ac:dyDescent="0.2">
      <c r="A89" s="4">
        <v>44595</v>
      </c>
      <c r="B89" s="5">
        <v>53.325000000000003</v>
      </c>
      <c r="C89" s="5">
        <v>53.89</v>
      </c>
      <c r="D89" s="5">
        <v>53.09</v>
      </c>
      <c r="E89" s="5">
        <v>53.38</v>
      </c>
      <c r="F89" s="6">
        <v>22635800</v>
      </c>
    </row>
    <row r="90" spans="1:6" x14ac:dyDescent="0.2">
      <c r="A90" s="4">
        <v>44596</v>
      </c>
      <c r="B90" s="5">
        <v>53.02</v>
      </c>
      <c r="C90" s="5">
        <v>53.43</v>
      </c>
      <c r="D90" s="5">
        <v>52.63</v>
      </c>
      <c r="E90" s="5">
        <v>53</v>
      </c>
      <c r="F90" s="6">
        <v>24932160</v>
      </c>
    </row>
    <row r="91" spans="1:6" x14ac:dyDescent="0.2">
      <c r="A91" s="4">
        <v>44599</v>
      </c>
      <c r="B91" s="5">
        <v>53.3</v>
      </c>
      <c r="C91" s="5">
        <v>53.577599999999997</v>
      </c>
      <c r="D91" s="5">
        <v>52.24</v>
      </c>
      <c r="E91" s="5">
        <v>53.21</v>
      </c>
      <c r="F91" s="6">
        <v>32358540</v>
      </c>
    </row>
    <row r="92" spans="1:6" x14ac:dyDescent="0.2">
      <c r="A92" s="4">
        <v>44600</v>
      </c>
      <c r="B92" s="5">
        <v>50.64</v>
      </c>
      <c r="C92" s="5">
        <v>51.8</v>
      </c>
      <c r="D92" s="5">
        <v>49.69</v>
      </c>
      <c r="E92" s="5">
        <v>51.7</v>
      </c>
      <c r="F92" s="6">
        <v>67921970</v>
      </c>
    </row>
    <row r="93" spans="1:6" x14ac:dyDescent="0.2">
      <c r="A93" s="4">
        <v>44601</v>
      </c>
      <c r="B93" s="5">
        <v>51.64</v>
      </c>
      <c r="C93" s="5">
        <v>51.715000000000003</v>
      </c>
      <c r="D93" s="5">
        <v>50.9</v>
      </c>
      <c r="E93" s="5">
        <v>51.47</v>
      </c>
      <c r="F93" s="6">
        <v>38522210</v>
      </c>
    </row>
    <row r="94" spans="1:6" x14ac:dyDescent="0.2">
      <c r="A94" s="4">
        <v>44602</v>
      </c>
      <c r="B94" s="5">
        <v>51.04</v>
      </c>
      <c r="C94" s="5">
        <v>51.37</v>
      </c>
      <c r="D94" s="5">
        <v>50.39</v>
      </c>
      <c r="E94" s="5">
        <v>50.6</v>
      </c>
      <c r="F94" s="6">
        <v>34200600</v>
      </c>
    </row>
    <row r="95" spans="1:6" x14ac:dyDescent="0.2">
      <c r="A95" s="4">
        <v>44603</v>
      </c>
      <c r="B95" s="5">
        <v>50.33</v>
      </c>
      <c r="C95" s="5">
        <v>51.24</v>
      </c>
      <c r="D95" s="5">
        <v>50.075000000000003</v>
      </c>
      <c r="E95" s="5">
        <v>50.78</v>
      </c>
      <c r="F95" s="6">
        <v>34997790</v>
      </c>
    </row>
    <row r="96" spans="1:6" x14ac:dyDescent="0.2">
      <c r="A96" s="4">
        <v>44606</v>
      </c>
      <c r="B96" s="5">
        <v>49.82</v>
      </c>
      <c r="C96" s="5">
        <v>50.5</v>
      </c>
      <c r="D96" s="5">
        <v>48.48</v>
      </c>
      <c r="E96" s="5">
        <v>49.8</v>
      </c>
      <c r="F96" s="6">
        <v>42973120</v>
      </c>
    </row>
    <row r="97" spans="1:6" x14ac:dyDescent="0.2">
      <c r="A97" s="4">
        <v>44607</v>
      </c>
      <c r="B97" s="5">
        <v>49.8</v>
      </c>
      <c r="C97" s="5">
        <v>50.039900000000003</v>
      </c>
      <c r="D97" s="5">
        <v>49.21</v>
      </c>
      <c r="E97" s="5">
        <v>49.79</v>
      </c>
      <c r="F97" s="6">
        <v>29161060</v>
      </c>
    </row>
    <row r="98" spans="1:6" x14ac:dyDescent="0.2">
      <c r="A98" s="4">
        <v>44608</v>
      </c>
      <c r="B98" s="5">
        <v>49.59</v>
      </c>
      <c r="C98" s="5">
        <v>50.774999999999999</v>
      </c>
      <c r="D98" s="5">
        <v>49.43</v>
      </c>
      <c r="E98" s="5">
        <v>49.68</v>
      </c>
      <c r="F98" s="6">
        <v>27672590</v>
      </c>
    </row>
    <row r="99" spans="1:6" x14ac:dyDescent="0.2">
      <c r="A99" s="4">
        <v>44609</v>
      </c>
      <c r="B99" s="5">
        <v>49.81</v>
      </c>
      <c r="C99" s="5">
        <v>49.96</v>
      </c>
      <c r="D99" s="5">
        <v>48.75</v>
      </c>
      <c r="E99" s="5">
        <v>48.9</v>
      </c>
      <c r="F99" s="6">
        <v>21231670</v>
      </c>
    </row>
    <row r="100" spans="1:6" x14ac:dyDescent="0.2">
      <c r="A100" s="4">
        <v>44610</v>
      </c>
      <c r="B100" s="5">
        <v>48.78</v>
      </c>
      <c r="C100" s="5">
        <v>49.515000000000001</v>
      </c>
      <c r="D100" s="5">
        <v>48.2</v>
      </c>
      <c r="E100" s="5">
        <v>48.53</v>
      </c>
      <c r="F100" s="6">
        <v>26955310</v>
      </c>
    </row>
    <row r="101" spans="1:6" x14ac:dyDescent="0.2">
      <c r="A101" s="4">
        <v>44614</v>
      </c>
      <c r="B101" s="5">
        <v>47.54</v>
      </c>
      <c r="C101" s="5">
        <v>48.31</v>
      </c>
      <c r="D101" s="5">
        <v>47.344999999999999</v>
      </c>
      <c r="E101" s="5">
        <v>47.53</v>
      </c>
      <c r="F101" s="6">
        <v>34814810</v>
      </c>
    </row>
    <row r="102" spans="1:6" x14ac:dyDescent="0.2">
      <c r="A102" s="4">
        <v>44615</v>
      </c>
      <c r="B102" s="5">
        <v>47.59</v>
      </c>
      <c r="C102" s="5">
        <v>48.16</v>
      </c>
      <c r="D102" s="5">
        <v>46.78</v>
      </c>
      <c r="E102" s="5">
        <v>46.87</v>
      </c>
      <c r="F102" s="6">
        <v>25792980</v>
      </c>
    </row>
    <row r="103" spans="1:6" x14ac:dyDescent="0.2">
      <c r="A103" s="4">
        <v>44616</v>
      </c>
      <c r="B103" s="5">
        <v>45.86</v>
      </c>
      <c r="C103" s="5">
        <v>46.755000000000003</v>
      </c>
      <c r="D103" s="5">
        <v>45.4</v>
      </c>
      <c r="E103" s="5">
        <v>45.96</v>
      </c>
      <c r="F103" s="6">
        <v>44227350</v>
      </c>
    </row>
    <row r="104" spans="1:6" x14ac:dyDescent="0.2">
      <c r="A104" s="4">
        <v>44617</v>
      </c>
      <c r="B104" s="5">
        <v>45.81</v>
      </c>
      <c r="C104" s="5">
        <v>48.03</v>
      </c>
      <c r="D104" s="5">
        <v>45.74</v>
      </c>
      <c r="E104" s="5">
        <v>47.72</v>
      </c>
      <c r="F104" s="6">
        <v>31199190</v>
      </c>
    </row>
    <row r="105" spans="1:6" x14ac:dyDescent="0.2">
      <c r="A105" s="4">
        <v>44620</v>
      </c>
      <c r="B105" s="5">
        <v>46.82</v>
      </c>
      <c r="C105" s="5">
        <v>47.17</v>
      </c>
      <c r="D105" s="5">
        <v>46.34</v>
      </c>
      <c r="E105" s="5">
        <v>46.94</v>
      </c>
      <c r="F105" s="6">
        <v>35296050</v>
      </c>
    </row>
    <row r="106" spans="1:6" x14ac:dyDescent="0.2">
      <c r="A106" s="4">
        <v>44621</v>
      </c>
      <c r="B106" s="5">
        <v>46.69</v>
      </c>
      <c r="C106" s="5">
        <v>47.136800000000001</v>
      </c>
      <c r="D106" s="5">
        <v>45.44</v>
      </c>
      <c r="E106" s="5">
        <v>45.75</v>
      </c>
      <c r="F106" s="6">
        <v>29854510</v>
      </c>
    </row>
    <row r="107" spans="1:6" x14ac:dyDescent="0.2">
      <c r="A107" s="4">
        <v>44622</v>
      </c>
      <c r="B107" s="5">
        <v>46.11</v>
      </c>
      <c r="C107" s="5">
        <v>47.93</v>
      </c>
      <c r="D107" s="5">
        <v>46</v>
      </c>
      <c r="E107" s="5">
        <v>47.7</v>
      </c>
      <c r="F107" s="6">
        <v>36516150</v>
      </c>
    </row>
    <row r="108" spans="1:6" x14ac:dyDescent="0.2">
      <c r="A108" s="4">
        <v>44623</v>
      </c>
      <c r="B108" s="5">
        <v>47.68</v>
      </c>
      <c r="C108" s="5">
        <v>48.585000000000001</v>
      </c>
      <c r="D108" s="5">
        <v>47.48</v>
      </c>
      <c r="E108" s="5">
        <v>47.83</v>
      </c>
      <c r="F108" s="6">
        <v>30553340</v>
      </c>
    </row>
    <row r="109" spans="1:6" x14ac:dyDescent="0.2">
      <c r="A109" s="4">
        <v>44624</v>
      </c>
      <c r="B109" s="5">
        <v>47.5</v>
      </c>
      <c r="C109" s="5">
        <v>48.77</v>
      </c>
      <c r="D109" s="5">
        <v>47.41</v>
      </c>
      <c r="E109" s="5">
        <v>48.65</v>
      </c>
      <c r="F109" s="6">
        <v>33222900</v>
      </c>
    </row>
    <row r="110" spans="1:6" x14ac:dyDescent="0.2">
      <c r="A110" s="4">
        <v>44627</v>
      </c>
      <c r="B110" s="5">
        <v>48.25</v>
      </c>
      <c r="C110" s="5">
        <v>48.84</v>
      </c>
      <c r="D110" s="5">
        <v>47.515000000000001</v>
      </c>
      <c r="E110" s="5">
        <v>47.98</v>
      </c>
      <c r="F110" s="6">
        <v>33171300</v>
      </c>
    </row>
    <row r="111" spans="1:6" x14ac:dyDescent="0.2">
      <c r="A111" s="4">
        <v>44628</v>
      </c>
      <c r="B111" s="5">
        <v>47.58</v>
      </c>
      <c r="C111" s="5">
        <v>48.418199999999999</v>
      </c>
      <c r="D111" s="5">
        <v>46.465000000000003</v>
      </c>
      <c r="E111" s="5">
        <v>47.44</v>
      </c>
      <c r="F111" s="6">
        <v>32913300</v>
      </c>
    </row>
    <row r="112" spans="1:6" x14ac:dyDescent="0.2">
      <c r="A112" s="4">
        <v>44629</v>
      </c>
      <c r="B112" s="5">
        <v>48.13</v>
      </c>
      <c r="C112" s="5">
        <v>49.22</v>
      </c>
      <c r="D112" s="5">
        <v>48</v>
      </c>
      <c r="E112" s="5">
        <v>48.75</v>
      </c>
      <c r="F112" s="6">
        <v>24718920</v>
      </c>
    </row>
    <row r="113" spans="1:6" x14ac:dyDescent="0.2">
      <c r="A113" s="4">
        <v>44630</v>
      </c>
      <c r="B113" s="5">
        <v>48.305</v>
      </c>
      <c r="C113" s="5">
        <v>49.29</v>
      </c>
      <c r="D113" s="5">
        <v>48.05</v>
      </c>
      <c r="E113" s="5">
        <v>49.2</v>
      </c>
      <c r="F113" s="6">
        <v>24542340</v>
      </c>
    </row>
    <row r="114" spans="1:6" x14ac:dyDescent="0.2">
      <c r="A114" s="4">
        <v>44631</v>
      </c>
      <c r="B114" s="5">
        <v>49.14</v>
      </c>
      <c r="C114" s="5">
        <v>50.9</v>
      </c>
      <c r="D114" s="5">
        <v>48.942500000000003</v>
      </c>
      <c r="E114" s="5">
        <v>50.27</v>
      </c>
      <c r="F114" s="6">
        <v>33701930</v>
      </c>
    </row>
    <row r="115" spans="1:6" x14ac:dyDescent="0.2">
      <c r="A115" s="4">
        <v>44634</v>
      </c>
      <c r="B115" s="5">
        <v>50.72</v>
      </c>
      <c r="C115" s="5">
        <v>52.91</v>
      </c>
      <c r="D115" s="5">
        <v>50.39</v>
      </c>
      <c r="E115" s="5">
        <v>52.25</v>
      </c>
      <c r="F115" s="6">
        <v>42314540</v>
      </c>
    </row>
    <row r="116" spans="1:6" x14ac:dyDescent="0.2">
      <c r="A116" s="4">
        <v>44635</v>
      </c>
      <c r="B116" s="5">
        <v>52.62</v>
      </c>
      <c r="C116" s="5">
        <v>52.92</v>
      </c>
      <c r="D116" s="5">
        <v>51.18</v>
      </c>
      <c r="E116" s="5">
        <v>52.21</v>
      </c>
      <c r="F116" s="6">
        <v>30172130</v>
      </c>
    </row>
    <row r="117" spans="1:6" x14ac:dyDescent="0.2">
      <c r="A117" s="4">
        <v>44636</v>
      </c>
      <c r="B117" s="5">
        <v>52.54</v>
      </c>
      <c r="C117" s="5">
        <v>53.27</v>
      </c>
      <c r="D117" s="5">
        <v>52.18</v>
      </c>
      <c r="E117" s="5">
        <v>52.92</v>
      </c>
      <c r="F117" s="6">
        <v>29891420</v>
      </c>
    </row>
    <row r="118" spans="1:6" x14ac:dyDescent="0.2">
      <c r="A118" s="4">
        <v>44637</v>
      </c>
      <c r="B118" s="5">
        <v>52.92</v>
      </c>
      <c r="C118" s="5">
        <v>54.25</v>
      </c>
      <c r="D118" s="5">
        <v>52.79</v>
      </c>
      <c r="E118" s="5">
        <v>54.24</v>
      </c>
      <c r="F118" s="6">
        <v>30598580</v>
      </c>
    </row>
    <row r="119" spans="1:6" x14ac:dyDescent="0.2">
      <c r="A119" s="4">
        <v>44638</v>
      </c>
      <c r="B119" s="5">
        <v>54.38</v>
      </c>
      <c r="C119" s="5">
        <v>55</v>
      </c>
      <c r="D119" s="5">
        <v>53.704999999999998</v>
      </c>
      <c r="E119" s="5">
        <v>54.51</v>
      </c>
      <c r="F119" s="6">
        <v>51814970</v>
      </c>
    </row>
    <row r="120" spans="1:6" x14ac:dyDescent="0.2">
      <c r="A120" s="4">
        <v>44641</v>
      </c>
      <c r="B120" s="5">
        <v>54.24</v>
      </c>
      <c r="C120" s="5">
        <v>55.3</v>
      </c>
      <c r="D120" s="5">
        <v>53.9</v>
      </c>
      <c r="E120" s="5">
        <v>54.19</v>
      </c>
      <c r="F120" s="6">
        <v>34592460</v>
      </c>
    </row>
    <row r="121" spans="1:6" x14ac:dyDescent="0.2">
      <c r="A121" s="4">
        <v>44642</v>
      </c>
      <c r="B121" s="5">
        <v>54.2</v>
      </c>
      <c r="C121" s="5">
        <v>54.32</v>
      </c>
      <c r="D121" s="5">
        <v>52.494999999999997</v>
      </c>
      <c r="E121" s="5">
        <v>53.04</v>
      </c>
      <c r="F121" s="6">
        <v>32253610</v>
      </c>
    </row>
    <row r="122" spans="1:6" x14ac:dyDescent="0.2">
      <c r="A122" s="4">
        <v>44643</v>
      </c>
      <c r="B122" s="5">
        <v>53.02</v>
      </c>
      <c r="C122" s="5">
        <v>53.5</v>
      </c>
      <c r="D122" s="5">
        <v>52.155000000000001</v>
      </c>
      <c r="E122" s="5">
        <v>52.19</v>
      </c>
      <c r="F122" s="6">
        <v>29183690</v>
      </c>
    </row>
    <row r="123" spans="1:6" x14ac:dyDescent="0.2">
      <c r="A123" s="4">
        <v>44644</v>
      </c>
      <c r="B123" s="5">
        <v>52.54</v>
      </c>
      <c r="C123" s="5">
        <v>52.844999999999999</v>
      </c>
      <c r="D123" s="5">
        <v>52.29</v>
      </c>
      <c r="E123" s="5">
        <v>52.59</v>
      </c>
      <c r="F123" s="6">
        <v>25177480</v>
      </c>
    </row>
    <row r="124" spans="1:6" x14ac:dyDescent="0.2">
      <c r="A124" s="4">
        <v>44645</v>
      </c>
      <c r="B124" s="5">
        <v>52.74</v>
      </c>
      <c r="C124" s="5">
        <v>53.25</v>
      </c>
      <c r="D124" s="5">
        <v>52.51</v>
      </c>
      <c r="E124" s="5">
        <v>52.78</v>
      </c>
      <c r="F124" s="6">
        <v>17435470</v>
      </c>
    </row>
    <row r="125" spans="1:6" x14ac:dyDescent="0.2">
      <c r="A125" s="4">
        <v>44648</v>
      </c>
      <c r="B125" s="5">
        <v>52.53</v>
      </c>
      <c r="C125" s="5">
        <v>53.56</v>
      </c>
      <c r="D125" s="5">
        <v>52.5</v>
      </c>
      <c r="E125" s="5">
        <v>53.28</v>
      </c>
      <c r="F125" s="6">
        <v>21863710</v>
      </c>
    </row>
    <row r="126" spans="1:6" x14ac:dyDescent="0.2">
      <c r="A126" s="4">
        <v>44649</v>
      </c>
      <c r="B126" s="5">
        <v>54</v>
      </c>
      <c r="C126" s="5">
        <v>54.08</v>
      </c>
      <c r="D126" s="5">
        <v>52.62</v>
      </c>
      <c r="E126" s="5">
        <v>52.74</v>
      </c>
      <c r="F126" s="6">
        <v>39970030</v>
      </c>
    </row>
    <row r="127" spans="1:6" x14ac:dyDescent="0.2">
      <c r="A127" s="4">
        <v>44650</v>
      </c>
      <c r="B127" s="5">
        <v>53.2</v>
      </c>
      <c r="C127" s="5">
        <v>53.719900000000003</v>
      </c>
      <c r="D127" s="5">
        <v>51.970100000000002</v>
      </c>
      <c r="E127" s="5">
        <v>52.44</v>
      </c>
      <c r="F127" s="6">
        <v>27599650</v>
      </c>
    </row>
    <row r="128" spans="1:6" x14ac:dyDescent="0.2">
      <c r="A128" s="4">
        <v>44651</v>
      </c>
      <c r="B128" s="5">
        <v>52</v>
      </c>
      <c r="C128" s="5">
        <v>52.875</v>
      </c>
      <c r="D128" s="5">
        <v>51.74</v>
      </c>
      <c r="E128" s="5">
        <v>51.77</v>
      </c>
      <c r="F128" s="6">
        <v>26055230</v>
      </c>
    </row>
    <row r="129" spans="1:6" x14ac:dyDescent="0.2">
      <c r="A129" s="4">
        <v>44652</v>
      </c>
      <c r="B129" s="5">
        <v>52.12</v>
      </c>
      <c r="C129" s="5">
        <v>52.16</v>
      </c>
      <c r="D129" s="5">
        <v>51.1</v>
      </c>
      <c r="E129" s="5">
        <v>51.57</v>
      </c>
      <c r="F129" s="6">
        <v>19073140</v>
      </c>
    </row>
    <row r="130" spans="1:6" x14ac:dyDescent="0.2">
      <c r="A130" s="4">
        <v>44655</v>
      </c>
      <c r="B130" s="5">
        <v>51.78</v>
      </c>
      <c r="C130" s="5">
        <v>51.87</v>
      </c>
      <c r="D130" s="5">
        <v>50.37</v>
      </c>
      <c r="E130" s="5">
        <v>50.94</v>
      </c>
      <c r="F130" s="6">
        <v>20491540</v>
      </c>
    </row>
    <row r="131" spans="1:6" x14ac:dyDescent="0.2">
      <c r="A131" s="4">
        <v>44656</v>
      </c>
      <c r="B131" s="5">
        <v>50.81</v>
      </c>
      <c r="C131" s="5">
        <v>52.15</v>
      </c>
      <c r="D131" s="5">
        <v>50.75</v>
      </c>
      <c r="E131" s="5">
        <v>51.24</v>
      </c>
      <c r="F131" s="6">
        <v>21176710</v>
      </c>
    </row>
    <row r="132" spans="1:6" x14ac:dyDescent="0.2">
      <c r="A132" s="4">
        <v>44657</v>
      </c>
      <c r="B132" s="5">
        <v>51.16</v>
      </c>
      <c r="C132" s="5">
        <v>53.09</v>
      </c>
      <c r="D132" s="5">
        <v>51.16</v>
      </c>
      <c r="E132" s="5">
        <v>52.87</v>
      </c>
      <c r="F132" s="6">
        <v>31717520</v>
      </c>
    </row>
    <row r="133" spans="1:6" x14ac:dyDescent="0.2">
      <c r="A133" s="4">
        <v>44658</v>
      </c>
      <c r="B133" s="5">
        <v>52.5</v>
      </c>
      <c r="C133" s="5">
        <v>55.41</v>
      </c>
      <c r="D133" s="5">
        <v>52.5</v>
      </c>
      <c r="E133" s="5">
        <v>55.16</v>
      </c>
      <c r="F133" s="6">
        <v>36305670</v>
      </c>
    </row>
    <row r="134" spans="1:6" x14ac:dyDescent="0.2">
      <c r="A134" s="4">
        <v>44659</v>
      </c>
      <c r="B134" s="5">
        <v>54.85</v>
      </c>
      <c r="C134" s="5">
        <v>55.58</v>
      </c>
      <c r="D134" s="5">
        <v>54.46</v>
      </c>
      <c r="E134" s="5">
        <v>55.17</v>
      </c>
      <c r="F134" s="6">
        <v>24612250</v>
      </c>
    </row>
    <row r="135" spans="1:6" x14ac:dyDescent="0.2">
      <c r="A135" s="4">
        <v>44662</v>
      </c>
      <c r="B135" s="5">
        <v>55.46</v>
      </c>
      <c r="C135" s="5">
        <v>56.32</v>
      </c>
      <c r="D135" s="5">
        <v>53.774999999999999</v>
      </c>
      <c r="E135" s="5">
        <v>53.93</v>
      </c>
      <c r="F135" s="6">
        <v>22054310</v>
      </c>
    </row>
    <row r="136" spans="1:6" x14ac:dyDescent="0.2">
      <c r="A136" s="4">
        <v>44663</v>
      </c>
      <c r="B136" s="5">
        <v>53.3</v>
      </c>
      <c r="C136" s="5">
        <v>53.93</v>
      </c>
      <c r="D136" s="5">
        <v>52.645000000000003</v>
      </c>
      <c r="E136" s="5">
        <v>53.11</v>
      </c>
      <c r="F136" s="6">
        <v>22810730</v>
      </c>
    </row>
    <row r="137" spans="1:6" x14ac:dyDescent="0.2">
      <c r="A137" s="4">
        <v>44664</v>
      </c>
      <c r="B137" s="5">
        <v>53.13</v>
      </c>
      <c r="C137" s="5">
        <v>53.82</v>
      </c>
      <c r="D137" s="5">
        <v>52.7</v>
      </c>
      <c r="E137" s="5">
        <v>53.1</v>
      </c>
      <c r="F137" s="6">
        <v>15777810</v>
      </c>
    </row>
    <row r="138" spans="1:6" x14ac:dyDescent="0.2">
      <c r="A138" s="4">
        <v>44665</v>
      </c>
      <c r="B138" s="5">
        <v>53.4</v>
      </c>
      <c r="C138" s="5">
        <v>53.909399999999998</v>
      </c>
      <c r="D138" s="5">
        <v>53.04</v>
      </c>
      <c r="E138" s="5">
        <v>53.12</v>
      </c>
      <c r="F138" s="6">
        <v>17240120</v>
      </c>
    </row>
    <row r="139" spans="1:6" x14ac:dyDescent="0.2">
      <c r="A139" s="4">
        <v>44669</v>
      </c>
      <c r="B139" s="5">
        <v>52.83</v>
      </c>
      <c r="C139" s="5">
        <v>53.11</v>
      </c>
      <c r="D139" s="5">
        <v>51.63</v>
      </c>
      <c r="E139" s="5">
        <v>51.84</v>
      </c>
      <c r="F139" s="6">
        <v>17065050</v>
      </c>
    </row>
    <row r="140" spans="1:6" x14ac:dyDescent="0.2">
      <c r="A140" s="4">
        <v>44670</v>
      </c>
      <c r="B140" s="5">
        <v>51.66</v>
      </c>
      <c r="C140" s="5">
        <v>51.88</v>
      </c>
      <c r="D140" s="5">
        <v>49.37</v>
      </c>
      <c r="E140" s="5">
        <v>50.18</v>
      </c>
      <c r="F140" s="6">
        <v>33441510</v>
      </c>
    </row>
    <row r="141" spans="1:6" x14ac:dyDescent="0.2">
      <c r="A141" s="4">
        <v>44671</v>
      </c>
      <c r="B141" s="5">
        <v>50</v>
      </c>
      <c r="C141" s="5">
        <v>50.16</v>
      </c>
      <c r="D141" s="5">
        <v>49.21</v>
      </c>
      <c r="E141" s="5">
        <v>49.75</v>
      </c>
      <c r="F141" s="6">
        <v>24751800</v>
      </c>
    </row>
    <row r="142" spans="1:6" x14ac:dyDescent="0.2">
      <c r="A142" s="4">
        <v>44672</v>
      </c>
      <c r="B142" s="5">
        <v>49.93</v>
      </c>
      <c r="C142" s="5">
        <v>50.01</v>
      </c>
      <c r="D142" s="5">
        <v>48.92</v>
      </c>
      <c r="E142" s="5">
        <v>49.11</v>
      </c>
      <c r="F142" s="6">
        <v>19105580</v>
      </c>
    </row>
    <row r="143" spans="1:6" x14ac:dyDescent="0.2">
      <c r="A143" s="4">
        <v>44673</v>
      </c>
      <c r="B143" s="5">
        <v>48.95</v>
      </c>
      <c r="C143" s="5">
        <v>49.1</v>
      </c>
      <c r="D143" s="5">
        <v>47.9</v>
      </c>
      <c r="E143" s="5">
        <v>48.13</v>
      </c>
      <c r="F143" s="6">
        <v>22156800</v>
      </c>
    </row>
    <row r="144" spans="1:6" x14ac:dyDescent="0.2">
      <c r="A144" s="4">
        <v>44676</v>
      </c>
      <c r="B144" s="5">
        <v>47.85</v>
      </c>
      <c r="C144" s="5">
        <v>49.19</v>
      </c>
      <c r="D144" s="5">
        <v>47.12</v>
      </c>
      <c r="E144" s="5">
        <v>48.95</v>
      </c>
      <c r="F144" s="6">
        <v>27390590</v>
      </c>
    </row>
    <row r="145" spans="1:6" x14ac:dyDescent="0.2">
      <c r="A145" s="4">
        <v>44677</v>
      </c>
      <c r="B145" s="5">
        <v>48.99</v>
      </c>
      <c r="C145" s="5">
        <v>50.25</v>
      </c>
      <c r="D145" s="5">
        <v>48.92</v>
      </c>
      <c r="E145" s="5">
        <v>49.03</v>
      </c>
      <c r="F145" s="6">
        <v>25366480</v>
      </c>
    </row>
    <row r="146" spans="1:6" x14ac:dyDescent="0.2">
      <c r="A146" s="4">
        <v>44678</v>
      </c>
      <c r="B146" s="5">
        <v>49.11</v>
      </c>
      <c r="C146" s="5">
        <v>49.91</v>
      </c>
      <c r="D146" s="5">
        <v>48.21</v>
      </c>
      <c r="E146" s="5">
        <v>49.74</v>
      </c>
      <c r="F146" s="6">
        <v>25819240</v>
      </c>
    </row>
    <row r="147" spans="1:6" x14ac:dyDescent="0.2">
      <c r="A147" s="4">
        <v>44679</v>
      </c>
      <c r="B147" s="5">
        <v>50.44</v>
      </c>
      <c r="C147" s="5">
        <v>50.7699</v>
      </c>
      <c r="D147" s="5">
        <v>49.484999999999999</v>
      </c>
      <c r="E147" s="5">
        <v>50.51</v>
      </c>
      <c r="F147" s="6">
        <v>28227720</v>
      </c>
    </row>
    <row r="148" spans="1:6" x14ac:dyDescent="0.2">
      <c r="A148" s="4">
        <v>44680</v>
      </c>
      <c r="B148" s="5">
        <v>49.87</v>
      </c>
      <c r="C148" s="5">
        <v>50.335000000000001</v>
      </c>
      <c r="D148" s="5">
        <v>49</v>
      </c>
      <c r="E148" s="5">
        <v>49.07</v>
      </c>
      <c r="F148" s="6">
        <v>28343300</v>
      </c>
    </row>
    <row r="149" spans="1:6" x14ac:dyDescent="0.2">
      <c r="A149" s="4">
        <v>44683</v>
      </c>
      <c r="B149" s="5">
        <v>47.68</v>
      </c>
      <c r="C149" s="5">
        <v>48.76</v>
      </c>
      <c r="D149" s="5">
        <v>47.46</v>
      </c>
      <c r="E149" s="5">
        <v>48.34</v>
      </c>
      <c r="F149" s="6">
        <v>36228410</v>
      </c>
    </row>
    <row r="150" spans="1:6" x14ac:dyDescent="0.2">
      <c r="A150" s="4">
        <v>44684</v>
      </c>
      <c r="B150" s="5">
        <v>48.87</v>
      </c>
      <c r="C150" s="5">
        <v>50.04</v>
      </c>
      <c r="D150" s="5">
        <v>47.7</v>
      </c>
      <c r="E150" s="5">
        <v>49.29</v>
      </c>
      <c r="F150" s="6">
        <v>33716940</v>
      </c>
    </row>
    <row r="151" spans="1:6" x14ac:dyDescent="0.2">
      <c r="A151" s="4">
        <v>44685</v>
      </c>
      <c r="B151" s="5">
        <v>48.89</v>
      </c>
      <c r="C151" s="5">
        <v>49.87</v>
      </c>
      <c r="D151" s="5">
        <v>47.91</v>
      </c>
      <c r="E151" s="5">
        <v>49.66</v>
      </c>
      <c r="F151" s="6">
        <v>28613660</v>
      </c>
    </row>
    <row r="152" spans="1:6" x14ac:dyDescent="0.2">
      <c r="A152" s="4">
        <v>44686</v>
      </c>
      <c r="B152" s="5">
        <v>49.46</v>
      </c>
      <c r="C152" s="5">
        <v>49.55</v>
      </c>
      <c r="D152" s="5">
        <v>47.55</v>
      </c>
      <c r="E152" s="5">
        <v>48.45</v>
      </c>
      <c r="F152" s="6">
        <v>28333000</v>
      </c>
    </row>
    <row r="153" spans="1:6" x14ac:dyDescent="0.2">
      <c r="A153" s="4">
        <v>44687</v>
      </c>
      <c r="B153" s="5">
        <v>48.09</v>
      </c>
      <c r="C153" s="5">
        <v>49.215000000000003</v>
      </c>
      <c r="D153" s="5">
        <v>48.04</v>
      </c>
      <c r="E153" s="5">
        <v>49.04</v>
      </c>
      <c r="F153" s="6">
        <v>19891430</v>
      </c>
    </row>
    <row r="154" spans="1:6" x14ac:dyDescent="0.2">
      <c r="A154" s="4">
        <v>44690</v>
      </c>
      <c r="B154" s="5">
        <v>48.38</v>
      </c>
      <c r="C154" s="5">
        <v>49.17</v>
      </c>
      <c r="D154" s="5">
        <v>47.77</v>
      </c>
      <c r="E154" s="5">
        <v>48.64</v>
      </c>
      <c r="F154" s="6">
        <v>25012350</v>
      </c>
    </row>
    <row r="155" spans="1:6" x14ac:dyDescent="0.2">
      <c r="A155" s="4">
        <v>44691</v>
      </c>
      <c r="B155" s="5">
        <v>49.04</v>
      </c>
      <c r="C155" s="5">
        <v>49.9</v>
      </c>
      <c r="D155" s="5">
        <v>48.685000000000002</v>
      </c>
      <c r="E155" s="5">
        <v>49.49</v>
      </c>
      <c r="F155" s="6">
        <v>27335890</v>
      </c>
    </row>
    <row r="156" spans="1:6" x14ac:dyDescent="0.2">
      <c r="A156" s="4">
        <v>44692</v>
      </c>
      <c r="B156" s="5">
        <v>49.07</v>
      </c>
      <c r="C156" s="5">
        <v>50.234999999999999</v>
      </c>
      <c r="D156" s="5">
        <v>49.03</v>
      </c>
      <c r="E156" s="5">
        <v>49.45</v>
      </c>
      <c r="F156" s="6">
        <v>29699500</v>
      </c>
    </row>
    <row r="157" spans="1:6" x14ac:dyDescent="0.2">
      <c r="A157" s="4">
        <v>44693</v>
      </c>
      <c r="B157" s="5">
        <v>49</v>
      </c>
      <c r="C157" s="5">
        <v>50.43</v>
      </c>
      <c r="D157" s="5">
        <v>48.72</v>
      </c>
      <c r="E157" s="5">
        <v>50.39</v>
      </c>
      <c r="F157" s="6">
        <v>33468440</v>
      </c>
    </row>
    <row r="158" spans="1:6" x14ac:dyDescent="0.2">
      <c r="A158" s="4">
        <v>44694</v>
      </c>
      <c r="B158" s="5">
        <v>50.38</v>
      </c>
      <c r="C158" s="5">
        <v>50.79</v>
      </c>
      <c r="D158" s="5">
        <v>49.68</v>
      </c>
      <c r="E158" s="5">
        <v>49.92</v>
      </c>
      <c r="F158" s="6">
        <v>22423690</v>
      </c>
    </row>
    <row r="159" spans="1:6" x14ac:dyDescent="0.2">
      <c r="A159" s="4">
        <v>44697</v>
      </c>
      <c r="B159" s="5">
        <v>49.87</v>
      </c>
      <c r="C159" s="5">
        <v>51.05</v>
      </c>
      <c r="D159" s="5">
        <v>49.87</v>
      </c>
      <c r="E159" s="5">
        <v>50.67</v>
      </c>
      <c r="F159" s="6">
        <v>19435570</v>
      </c>
    </row>
    <row r="160" spans="1:6" x14ac:dyDescent="0.2">
      <c r="A160" s="4">
        <v>44698</v>
      </c>
      <c r="B160" s="5">
        <v>50.95</v>
      </c>
      <c r="C160" s="5">
        <v>51.52</v>
      </c>
      <c r="D160" s="5">
        <v>50.18</v>
      </c>
      <c r="E160" s="5">
        <v>51.34</v>
      </c>
      <c r="F160" s="6">
        <v>19918200</v>
      </c>
    </row>
    <row r="161" spans="1:6" x14ac:dyDescent="0.2">
      <c r="A161" s="4">
        <v>44699</v>
      </c>
      <c r="B161" s="5">
        <v>51.22</v>
      </c>
      <c r="C161" s="5">
        <v>51.42</v>
      </c>
      <c r="D161" s="5">
        <v>50.16</v>
      </c>
      <c r="E161" s="5">
        <v>50.4</v>
      </c>
      <c r="F161" s="6">
        <v>22275990</v>
      </c>
    </row>
    <row r="162" spans="1:6" x14ac:dyDescent="0.2">
      <c r="A162" s="4">
        <v>44700</v>
      </c>
      <c r="B162" s="5">
        <v>50</v>
      </c>
      <c r="C162" s="5">
        <v>50.884999999999998</v>
      </c>
      <c r="D162" s="5">
        <v>49.59</v>
      </c>
      <c r="E162" s="5">
        <v>50.65</v>
      </c>
      <c r="F162" s="6">
        <v>19865520</v>
      </c>
    </row>
    <row r="163" spans="1:6" x14ac:dyDescent="0.2">
      <c r="A163" s="4">
        <v>44701</v>
      </c>
      <c r="B163" s="5">
        <v>51.265000000000001</v>
      </c>
      <c r="C163" s="5">
        <v>52.6999</v>
      </c>
      <c r="D163" s="5">
        <v>51.13</v>
      </c>
      <c r="E163" s="5">
        <v>52.47</v>
      </c>
      <c r="F163" s="6">
        <v>31250360</v>
      </c>
    </row>
    <row r="164" spans="1:6" x14ac:dyDescent="0.2">
      <c r="A164" s="4">
        <v>44704</v>
      </c>
      <c r="B164" s="5">
        <v>52.58</v>
      </c>
      <c r="C164" s="5">
        <v>53.695</v>
      </c>
      <c r="D164" s="5">
        <v>52.48</v>
      </c>
      <c r="E164" s="5">
        <v>52.88</v>
      </c>
      <c r="F164" s="6">
        <v>24035840</v>
      </c>
    </row>
    <row r="165" spans="1:6" x14ac:dyDescent="0.2">
      <c r="A165" s="4">
        <v>44705</v>
      </c>
      <c r="B165" s="5">
        <v>52.71</v>
      </c>
      <c r="C165" s="5">
        <v>53.607999999999997</v>
      </c>
      <c r="D165" s="5">
        <v>52.71</v>
      </c>
      <c r="E165" s="5">
        <v>53.41</v>
      </c>
      <c r="F165" s="6">
        <v>26729780</v>
      </c>
    </row>
    <row r="166" spans="1:6" x14ac:dyDescent="0.2">
      <c r="A166" s="4">
        <v>44706</v>
      </c>
      <c r="B166" s="5">
        <v>53.2</v>
      </c>
      <c r="C166" s="5">
        <v>54.05</v>
      </c>
      <c r="D166" s="5">
        <v>53.045000000000002</v>
      </c>
      <c r="E166" s="5">
        <v>53.71</v>
      </c>
      <c r="F166" s="6">
        <v>24003920</v>
      </c>
    </row>
    <row r="167" spans="1:6" x14ac:dyDescent="0.2">
      <c r="A167" s="4">
        <v>44707</v>
      </c>
      <c r="B167" s="5">
        <v>54.06</v>
      </c>
      <c r="C167" s="5">
        <v>54.92</v>
      </c>
      <c r="D167" s="5">
        <v>53.88</v>
      </c>
      <c r="E167" s="5">
        <v>53.99</v>
      </c>
      <c r="F167" s="6">
        <v>23516310</v>
      </c>
    </row>
    <row r="168" spans="1:6" x14ac:dyDescent="0.2">
      <c r="A168" s="4">
        <v>44708</v>
      </c>
      <c r="B168" s="5">
        <v>53.92</v>
      </c>
      <c r="C168" s="5">
        <v>54.405000000000001</v>
      </c>
      <c r="D168" s="5">
        <v>53.515000000000001</v>
      </c>
      <c r="E168" s="5">
        <v>53.91</v>
      </c>
      <c r="F168" s="6">
        <v>21407510</v>
      </c>
    </row>
    <row r="169" spans="1:6" x14ac:dyDescent="0.2">
      <c r="A169" s="4">
        <v>44712</v>
      </c>
      <c r="B169" s="5">
        <v>53.32</v>
      </c>
      <c r="C169" s="5">
        <v>53.494999999999997</v>
      </c>
      <c r="D169" s="5">
        <v>51.94</v>
      </c>
      <c r="E169" s="5">
        <v>53.04</v>
      </c>
      <c r="F169" s="6">
        <v>66058200</v>
      </c>
    </row>
    <row r="170" spans="1:6" x14ac:dyDescent="0.2">
      <c r="A170" s="4">
        <v>44713</v>
      </c>
      <c r="B170" s="5">
        <v>53.25</v>
      </c>
      <c r="C170" s="5">
        <v>53.28</v>
      </c>
      <c r="D170" s="5">
        <v>51.835000000000001</v>
      </c>
      <c r="E170" s="5">
        <v>52.37</v>
      </c>
      <c r="F170" s="6">
        <v>17430570</v>
      </c>
    </row>
    <row r="171" spans="1:6" x14ac:dyDescent="0.2">
      <c r="A171" s="4">
        <v>44714</v>
      </c>
      <c r="B171" s="5">
        <v>52.37</v>
      </c>
      <c r="C171" s="5">
        <v>52.74</v>
      </c>
      <c r="D171" s="5">
        <v>51.041499999999999</v>
      </c>
      <c r="E171" s="5">
        <v>52.68</v>
      </c>
      <c r="F171" s="6">
        <v>21903360</v>
      </c>
    </row>
    <row r="172" spans="1:6" x14ac:dyDescent="0.2">
      <c r="A172" s="4">
        <v>44715</v>
      </c>
      <c r="B172" s="5">
        <v>52.46</v>
      </c>
      <c r="C172" s="5">
        <v>53.53</v>
      </c>
      <c r="D172" s="5">
        <v>52.46</v>
      </c>
      <c r="E172" s="5">
        <v>53.2</v>
      </c>
      <c r="F172" s="6">
        <v>18124960</v>
      </c>
    </row>
    <row r="173" spans="1:6" x14ac:dyDescent="0.2">
      <c r="A173" s="4">
        <v>44718</v>
      </c>
      <c r="B173" s="5">
        <v>53.19</v>
      </c>
      <c r="C173" s="5">
        <v>53.715000000000003</v>
      </c>
      <c r="D173" s="5">
        <v>53</v>
      </c>
      <c r="E173" s="5">
        <v>53.26</v>
      </c>
      <c r="F173" s="6">
        <v>16544400</v>
      </c>
    </row>
    <row r="174" spans="1:6" x14ac:dyDescent="0.2">
      <c r="A174" s="4">
        <v>44719</v>
      </c>
      <c r="B174" s="5">
        <v>53.28</v>
      </c>
      <c r="C174" s="5">
        <v>53.97</v>
      </c>
      <c r="D174" s="5">
        <v>53.01</v>
      </c>
      <c r="E174" s="5">
        <v>53.96</v>
      </c>
      <c r="F174" s="6">
        <v>15091190</v>
      </c>
    </row>
    <row r="175" spans="1:6" x14ac:dyDescent="0.2">
      <c r="A175" s="4">
        <v>44720</v>
      </c>
      <c r="B175" s="5">
        <v>54.06</v>
      </c>
      <c r="C175" s="5">
        <v>54.56</v>
      </c>
      <c r="D175" s="5">
        <v>53.41</v>
      </c>
      <c r="E175" s="5">
        <v>53.47</v>
      </c>
      <c r="F175" s="6">
        <v>12789800</v>
      </c>
    </row>
    <row r="176" spans="1:6" x14ac:dyDescent="0.2">
      <c r="A176" s="4">
        <v>44721</v>
      </c>
      <c r="B176" s="5">
        <v>53.265000000000001</v>
      </c>
      <c r="C176" s="5">
        <v>53.65</v>
      </c>
      <c r="D176" s="5">
        <v>51.7</v>
      </c>
      <c r="E176" s="5">
        <v>51.78</v>
      </c>
      <c r="F176" s="6">
        <v>17578110</v>
      </c>
    </row>
    <row r="177" spans="1:6" x14ac:dyDescent="0.2">
      <c r="A177" s="4">
        <v>44722</v>
      </c>
      <c r="B177" s="5">
        <v>51.31</v>
      </c>
      <c r="C177" s="5">
        <v>51.37</v>
      </c>
      <c r="D177" s="5">
        <v>49.95</v>
      </c>
      <c r="E177" s="5">
        <v>49.97</v>
      </c>
      <c r="F177" s="6">
        <v>23832190</v>
      </c>
    </row>
    <row r="178" spans="1:6" x14ac:dyDescent="0.2">
      <c r="A178" s="4">
        <v>44725</v>
      </c>
      <c r="B178" s="5">
        <v>48.82</v>
      </c>
      <c r="C178" s="5">
        <v>49.28</v>
      </c>
      <c r="D178" s="5">
        <v>47.71</v>
      </c>
      <c r="E178" s="5">
        <v>47.91</v>
      </c>
      <c r="F178" s="6">
        <v>26988990</v>
      </c>
    </row>
    <row r="179" spans="1:6" x14ac:dyDescent="0.2">
      <c r="A179" s="4">
        <v>44726</v>
      </c>
      <c r="B179" s="5">
        <v>47.75</v>
      </c>
      <c r="C179" s="5">
        <v>48.465000000000003</v>
      </c>
      <c r="D179" s="5">
        <v>47.22</v>
      </c>
      <c r="E179" s="5">
        <v>47.92</v>
      </c>
      <c r="F179" s="6">
        <v>23290330</v>
      </c>
    </row>
    <row r="180" spans="1:6" x14ac:dyDescent="0.2">
      <c r="A180" s="4">
        <v>44727</v>
      </c>
      <c r="B180" s="5">
        <v>47.88</v>
      </c>
      <c r="C180" s="5">
        <v>48.98</v>
      </c>
      <c r="D180" s="5">
        <v>47.18</v>
      </c>
      <c r="E180" s="5">
        <v>48.51</v>
      </c>
      <c r="F180" s="6">
        <v>25748000</v>
      </c>
    </row>
    <row r="181" spans="1:6" x14ac:dyDescent="0.2">
      <c r="A181" s="4">
        <v>44728</v>
      </c>
      <c r="B181" s="5">
        <v>47.69</v>
      </c>
      <c r="C181" s="5">
        <v>48</v>
      </c>
      <c r="D181" s="5">
        <v>47.055</v>
      </c>
      <c r="E181" s="5">
        <v>47.48</v>
      </c>
      <c r="F181" s="6">
        <v>20424510</v>
      </c>
    </row>
    <row r="182" spans="1:6" x14ac:dyDescent="0.2">
      <c r="A182" s="4">
        <v>44729</v>
      </c>
      <c r="B182" s="5">
        <v>47.38</v>
      </c>
      <c r="C182" s="5">
        <v>48.03</v>
      </c>
      <c r="D182" s="5">
        <v>46.28</v>
      </c>
      <c r="E182" s="5">
        <v>46.53</v>
      </c>
      <c r="F182" s="6">
        <v>45047690</v>
      </c>
    </row>
    <row r="183" spans="1:6" x14ac:dyDescent="0.2">
      <c r="A183" s="4">
        <v>44733</v>
      </c>
      <c r="B183" s="5">
        <v>47.32</v>
      </c>
      <c r="C183" s="5">
        <v>48.44</v>
      </c>
      <c r="D183" s="5">
        <v>46.954000000000001</v>
      </c>
      <c r="E183" s="5">
        <v>48.11</v>
      </c>
      <c r="F183" s="6">
        <v>19622150</v>
      </c>
    </row>
    <row r="184" spans="1:6" x14ac:dyDescent="0.2">
      <c r="A184" s="4">
        <v>44734</v>
      </c>
      <c r="B184" s="5">
        <v>48.03</v>
      </c>
      <c r="C184" s="5">
        <v>49.579000000000001</v>
      </c>
      <c r="D184" s="5">
        <v>47.770800000000001</v>
      </c>
      <c r="E184" s="5">
        <v>49.07</v>
      </c>
      <c r="F184" s="6">
        <v>20384880</v>
      </c>
    </row>
    <row r="185" spans="1:6" x14ac:dyDescent="0.2">
      <c r="A185" s="4">
        <v>44735</v>
      </c>
      <c r="B185" s="5">
        <v>49.23</v>
      </c>
      <c r="C185" s="5">
        <v>50.17</v>
      </c>
      <c r="D185" s="5">
        <v>48.98</v>
      </c>
      <c r="E185" s="5">
        <v>50.09</v>
      </c>
      <c r="F185" s="6">
        <v>20061650</v>
      </c>
    </row>
    <row r="186" spans="1:6" x14ac:dyDescent="0.2">
      <c r="A186" s="4">
        <v>44736</v>
      </c>
      <c r="B186" s="5">
        <v>50.65</v>
      </c>
      <c r="C186" s="5">
        <v>51.64</v>
      </c>
      <c r="D186" s="5">
        <v>50.3</v>
      </c>
      <c r="E186" s="5">
        <v>51.59</v>
      </c>
      <c r="F186" s="6">
        <v>24343180</v>
      </c>
    </row>
    <row r="187" spans="1:6" x14ac:dyDescent="0.2">
      <c r="A187" s="4">
        <v>44739</v>
      </c>
      <c r="B187" s="5">
        <v>51.48</v>
      </c>
      <c r="C187" s="5">
        <v>52.225000000000001</v>
      </c>
      <c r="D187" s="5">
        <v>51.26</v>
      </c>
      <c r="E187" s="5">
        <v>51.88</v>
      </c>
      <c r="F187" s="6">
        <v>16154270</v>
      </c>
    </row>
    <row r="188" spans="1:6" x14ac:dyDescent="0.2">
      <c r="A188" s="4">
        <v>44740</v>
      </c>
      <c r="B188" s="5">
        <v>51.83</v>
      </c>
      <c r="C188" s="5">
        <v>51.97</v>
      </c>
      <c r="D188" s="5">
        <v>50.41</v>
      </c>
      <c r="E188" s="5">
        <v>50.66</v>
      </c>
      <c r="F188" s="6">
        <v>16458770</v>
      </c>
    </row>
    <row r="189" spans="1:6" x14ac:dyDescent="0.2">
      <c r="A189" s="4">
        <v>44741</v>
      </c>
      <c r="B189" s="5">
        <v>50.73</v>
      </c>
      <c r="C189" s="5">
        <v>51.44</v>
      </c>
      <c r="D189" s="5">
        <v>50.66</v>
      </c>
      <c r="E189" s="5">
        <v>50.94</v>
      </c>
      <c r="F189" s="6">
        <v>13925670</v>
      </c>
    </row>
    <row r="190" spans="1:6" x14ac:dyDescent="0.2">
      <c r="A190" s="4">
        <v>44742</v>
      </c>
      <c r="B190" s="5">
        <v>51.69</v>
      </c>
      <c r="C190" s="5">
        <v>52.884999999999998</v>
      </c>
      <c r="D190" s="5">
        <v>51.085000000000001</v>
      </c>
      <c r="E190" s="5">
        <v>52.43</v>
      </c>
      <c r="F190" s="6">
        <v>33495730</v>
      </c>
    </row>
    <row r="191" spans="1:6" x14ac:dyDescent="0.2">
      <c r="A191" s="4">
        <v>44743</v>
      </c>
      <c r="B191" s="5">
        <v>52.04</v>
      </c>
      <c r="C191" s="5">
        <v>52.37</v>
      </c>
      <c r="D191" s="5">
        <v>51.25</v>
      </c>
      <c r="E191" s="5">
        <v>52.31</v>
      </c>
      <c r="F191" s="6">
        <v>16143270</v>
      </c>
    </row>
    <row r="192" spans="1:6" x14ac:dyDescent="0.2">
      <c r="A192" s="4">
        <v>44747</v>
      </c>
      <c r="B192" s="5">
        <v>51.75</v>
      </c>
      <c r="C192" s="5">
        <v>51.89</v>
      </c>
      <c r="D192" s="5">
        <v>50.4</v>
      </c>
      <c r="E192" s="5">
        <v>51.64</v>
      </c>
      <c r="F192" s="6">
        <v>18407850</v>
      </c>
    </row>
    <row r="193" spans="1:6" x14ac:dyDescent="0.2">
      <c r="A193" s="4">
        <v>44748</v>
      </c>
      <c r="B193" s="5">
        <v>51.64</v>
      </c>
      <c r="C193" s="5">
        <v>52.96</v>
      </c>
      <c r="D193" s="5">
        <v>51.58</v>
      </c>
      <c r="E193" s="5">
        <v>52.75</v>
      </c>
      <c r="F193" s="6">
        <v>21305530</v>
      </c>
    </row>
    <row r="194" spans="1:6" x14ac:dyDescent="0.2">
      <c r="A194" s="4">
        <v>44749</v>
      </c>
      <c r="B194" s="5">
        <v>52.95</v>
      </c>
      <c r="C194" s="5">
        <v>53.54</v>
      </c>
      <c r="D194" s="5">
        <v>52.79</v>
      </c>
      <c r="E194" s="5">
        <v>53.42</v>
      </c>
      <c r="F194" s="6">
        <v>17847630</v>
      </c>
    </row>
    <row r="195" spans="1:6" x14ac:dyDescent="0.2">
      <c r="A195" s="4">
        <v>44750</v>
      </c>
      <c r="B195" s="5">
        <v>53.05</v>
      </c>
      <c r="C195" s="5">
        <v>53.92</v>
      </c>
      <c r="D195" s="5">
        <v>52.76</v>
      </c>
      <c r="E195" s="5">
        <v>53.17</v>
      </c>
      <c r="F195" s="6">
        <v>11322700</v>
      </c>
    </row>
    <row r="196" spans="1:6" x14ac:dyDescent="0.2">
      <c r="A196" s="4">
        <v>44753</v>
      </c>
      <c r="B196" s="5">
        <v>53</v>
      </c>
      <c r="C196" s="5">
        <v>53.74</v>
      </c>
      <c r="D196" s="5">
        <v>52.75</v>
      </c>
      <c r="E196" s="5">
        <v>52.89</v>
      </c>
      <c r="F196" s="6">
        <v>12924940</v>
      </c>
    </row>
    <row r="197" spans="1:6" x14ac:dyDescent="0.2">
      <c r="A197" s="4">
        <v>44754</v>
      </c>
      <c r="B197" s="5">
        <v>52.69</v>
      </c>
      <c r="C197" s="5">
        <v>52.78</v>
      </c>
      <c r="D197" s="5">
        <v>51.704999999999998</v>
      </c>
      <c r="E197" s="5">
        <v>52.04</v>
      </c>
      <c r="F197" s="6">
        <v>14633530</v>
      </c>
    </row>
    <row r="198" spans="1:6" x14ac:dyDescent="0.2">
      <c r="A198" s="4">
        <v>44755</v>
      </c>
      <c r="B198" s="5">
        <v>51.86</v>
      </c>
      <c r="C198" s="5">
        <v>52.31</v>
      </c>
      <c r="D198" s="5">
        <v>51.51</v>
      </c>
      <c r="E198" s="5">
        <v>51.79</v>
      </c>
      <c r="F198" s="6">
        <v>12927320</v>
      </c>
    </row>
    <row r="199" spans="1:6" x14ac:dyDescent="0.2">
      <c r="A199" s="4">
        <v>44756</v>
      </c>
      <c r="B199" s="5">
        <v>50.75</v>
      </c>
      <c r="C199" s="5">
        <v>51.59</v>
      </c>
      <c r="D199" s="5">
        <v>50.63</v>
      </c>
      <c r="E199" s="5">
        <v>51.39</v>
      </c>
      <c r="F199" s="6">
        <v>14023840</v>
      </c>
    </row>
    <row r="200" spans="1:6" x14ac:dyDescent="0.2">
      <c r="A200" s="4">
        <v>44757</v>
      </c>
      <c r="B200" s="5">
        <v>51.04</v>
      </c>
      <c r="C200" s="5">
        <v>51.91</v>
      </c>
      <c r="D200" s="5">
        <v>50.43</v>
      </c>
      <c r="E200" s="5">
        <v>51.75</v>
      </c>
      <c r="F200" s="6">
        <v>19885710</v>
      </c>
    </row>
    <row r="201" spans="1:6" x14ac:dyDescent="0.2">
      <c r="A201" s="4">
        <v>44760</v>
      </c>
      <c r="B201" s="5">
        <v>51.96</v>
      </c>
      <c r="C201" s="5">
        <v>51.97</v>
      </c>
      <c r="D201" s="5">
        <v>50.52</v>
      </c>
      <c r="E201" s="5">
        <v>50.75</v>
      </c>
      <c r="F201" s="6">
        <v>15742860</v>
      </c>
    </row>
    <row r="202" spans="1:6" x14ac:dyDescent="0.2">
      <c r="A202" s="4">
        <v>44761</v>
      </c>
      <c r="B202" s="5">
        <v>51.04</v>
      </c>
      <c r="C202" s="5">
        <v>51.51</v>
      </c>
      <c r="D202" s="5">
        <v>50.604999999999997</v>
      </c>
      <c r="E202" s="5">
        <v>51.37</v>
      </c>
      <c r="F202" s="6">
        <v>13402110</v>
      </c>
    </row>
    <row r="203" spans="1:6" x14ac:dyDescent="0.2">
      <c r="A203" s="4">
        <v>44762</v>
      </c>
      <c r="B203" s="5">
        <v>51.39</v>
      </c>
      <c r="C203" s="5">
        <v>51.46</v>
      </c>
      <c r="D203" s="5">
        <v>50.5137</v>
      </c>
      <c r="E203" s="5">
        <v>50.82</v>
      </c>
      <c r="F203" s="6">
        <v>12774400</v>
      </c>
    </row>
    <row r="204" spans="1:6" x14ac:dyDescent="0.2">
      <c r="A204" s="4">
        <v>44763</v>
      </c>
      <c r="B204" s="5">
        <v>50.57</v>
      </c>
      <c r="C204" s="5">
        <v>51.14</v>
      </c>
      <c r="D204" s="5">
        <v>50.18</v>
      </c>
      <c r="E204" s="5">
        <v>51.12</v>
      </c>
      <c r="F204" s="6">
        <v>15103830</v>
      </c>
    </row>
    <row r="205" spans="1:6" x14ac:dyDescent="0.2">
      <c r="A205" s="4">
        <v>44764</v>
      </c>
      <c r="B205" s="5">
        <v>51.26</v>
      </c>
      <c r="C205" s="5">
        <v>51.53</v>
      </c>
      <c r="D205" s="5">
        <v>50.95</v>
      </c>
      <c r="E205" s="5">
        <v>51.23</v>
      </c>
      <c r="F205" s="6">
        <v>10932120</v>
      </c>
    </row>
    <row r="206" spans="1:6" x14ac:dyDescent="0.2">
      <c r="A206" s="4">
        <v>44767</v>
      </c>
      <c r="B206" s="5">
        <v>51.34</v>
      </c>
      <c r="C206" s="5">
        <v>51.875</v>
      </c>
      <c r="D206" s="5">
        <v>51.34</v>
      </c>
      <c r="E206" s="5">
        <v>51.77</v>
      </c>
      <c r="F206" s="6">
        <v>12995820</v>
      </c>
    </row>
    <row r="207" spans="1:6" x14ac:dyDescent="0.2">
      <c r="A207" s="4">
        <v>44768</v>
      </c>
      <c r="B207" s="5">
        <v>51.84</v>
      </c>
      <c r="C207" s="5">
        <v>52.85</v>
      </c>
      <c r="D207" s="5">
        <v>51.71</v>
      </c>
      <c r="E207" s="5">
        <v>52.3</v>
      </c>
      <c r="F207" s="6">
        <v>16632510</v>
      </c>
    </row>
    <row r="208" spans="1:6" x14ac:dyDescent="0.2">
      <c r="A208" s="4">
        <v>44769</v>
      </c>
      <c r="B208" s="5">
        <v>51.94</v>
      </c>
      <c r="C208" s="5">
        <v>52.254399999999997</v>
      </c>
      <c r="D208" s="5">
        <v>51.185000000000002</v>
      </c>
      <c r="E208" s="5">
        <v>51.95</v>
      </c>
      <c r="F208" s="6">
        <v>19203520</v>
      </c>
    </row>
    <row r="209" spans="1:6" x14ac:dyDescent="0.2">
      <c r="A209" s="4">
        <v>44770</v>
      </c>
      <c r="B209" s="5">
        <v>50.844999999999999</v>
      </c>
      <c r="C209" s="5">
        <v>52.33</v>
      </c>
      <c r="D209" s="5">
        <v>49.1</v>
      </c>
      <c r="E209" s="5">
        <v>50.72</v>
      </c>
      <c r="F209" s="6">
        <v>38984890</v>
      </c>
    </row>
    <row r="210" spans="1:6" x14ac:dyDescent="0.2">
      <c r="A210" s="4">
        <v>44771</v>
      </c>
      <c r="B210" s="5">
        <v>50.56</v>
      </c>
      <c r="C210" s="5">
        <v>50.71</v>
      </c>
      <c r="D210" s="5">
        <v>49.28</v>
      </c>
      <c r="E210" s="5">
        <v>50.51</v>
      </c>
      <c r="F210" s="6">
        <v>25037900</v>
      </c>
    </row>
    <row r="211" spans="1:6" x14ac:dyDescent="0.2">
      <c r="A211" s="4">
        <v>44774</v>
      </c>
      <c r="B211" s="5">
        <v>50.32</v>
      </c>
      <c r="C211" s="5">
        <v>51.3</v>
      </c>
      <c r="D211" s="5">
        <v>50.15</v>
      </c>
      <c r="E211" s="5">
        <v>50.61</v>
      </c>
      <c r="F211" s="6">
        <v>19709860</v>
      </c>
    </row>
    <row r="212" spans="1:6" x14ac:dyDescent="0.2">
      <c r="A212" s="4">
        <v>44775</v>
      </c>
      <c r="B212" s="5">
        <v>50.9</v>
      </c>
      <c r="C212" s="5">
        <v>51.47</v>
      </c>
      <c r="D212" s="5">
        <v>49.63</v>
      </c>
      <c r="E212" s="5">
        <v>49.69</v>
      </c>
      <c r="F212" s="6">
        <v>17802020</v>
      </c>
    </row>
    <row r="213" spans="1:6" x14ac:dyDescent="0.2">
      <c r="A213" s="4">
        <v>44776</v>
      </c>
      <c r="B213" s="5">
        <v>49.79</v>
      </c>
      <c r="C213" s="5">
        <v>50.07</v>
      </c>
      <c r="D213" s="5">
        <v>49.34</v>
      </c>
      <c r="E213" s="5">
        <v>49.86</v>
      </c>
      <c r="F213" s="6">
        <v>16500080</v>
      </c>
    </row>
    <row r="214" spans="1:6" x14ac:dyDescent="0.2">
      <c r="A214" s="4">
        <v>44777</v>
      </c>
      <c r="B214" s="5">
        <v>49.9</v>
      </c>
      <c r="C214" s="5">
        <v>50.045000000000002</v>
      </c>
      <c r="D214" s="5">
        <v>49.21</v>
      </c>
      <c r="E214" s="5">
        <v>49.86</v>
      </c>
      <c r="F214" s="6">
        <v>17026270</v>
      </c>
    </row>
    <row r="215" spans="1:6" x14ac:dyDescent="0.2">
      <c r="A215" s="4">
        <v>44778</v>
      </c>
      <c r="B215" s="5">
        <v>49.64</v>
      </c>
      <c r="C215" s="5">
        <v>49.97</v>
      </c>
      <c r="D215" s="5">
        <v>49.062899999999999</v>
      </c>
      <c r="E215" s="5">
        <v>49.27</v>
      </c>
      <c r="F215" s="6">
        <v>16376600</v>
      </c>
    </row>
    <row r="216" spans="1:6" x14ac:dyDescent="0.2">
      <c r="A216" s="4">
        <v>44781</v>
      </c>
      <c r="B216" s="5">
        <v>49.39</v>
      </c>
      <c r="C216" s="5">
        <v>49.81</v>
      </c>
      <c r="D216" s="5">
        <v>48.94</v>
      </c>
      <c r="E216" s="5">
        <v>49.57</v>
      </c>
      <c r="F216" s="6">
        <v>16077440</v>
      </c>
    </row>
    <row r="217" spans="1:6" x14ac:dyDescent="0.2">
      <c r="A217" s="4">
        <v>44782</v>
      </c>
      <c r="B217" s="5">
        <v>49.75</v>
      </c>
      <c r="C217" s="5">
        <v>50.11</v>
      </c>
      <c r="D217" s="5">
        <v>49.52</v>
      </c>
      <c r="E217" s="5">
        <v>49.78</v>
      </c>
      <c r="F217" s="6">
        <v>12095590</v>
      </c>
    </row>
    <row r="218" spans="1:6" x14ac:dyDescent="0.2">
      <c r="A218" s="4">
        <v>44783</v>
      </c>
      <c r="B218" s="5">
        <v>49.924999999999997</v>
      </c>
      <c r="C218" s="5">
        <v>50.045000000000002</v>
      </c>
      <c r="D218" s="5">
        <v>49.38</v>
      </c>
      <c r="E218" s="5">
        <v>49.95</v>
      </c>
      <c r="F218" s="6">
        <v>17355140</v>
      </c>
    </row>
    <row r="219" spans="1:6" x14ac:dyDescent="0.2">
      <c r="A219" s="4">
        <v>44784</v>
      </c>
      <c r="B219" s="5">
        <v>48.22</v>
      </c>
      <c r="C219" s="5">
        <v>49.13</v>
      </c>
      <c r="D219" s="5">
        <v>47.81</v>
      </c>
      <c r="E219" s="5">
        <v>48.29</v>
      </c>
      <c r="F219" s="6">
        <v>44048790</v>
      </c>
    </row>
    <row r="220" spans="1:6" x14ac:dyDescent="0.2">
      <c r="A220" s="4">
        <v>44785</v>
      </c>
      <c r="B220" s="5">
        <v>48.55</v>
      </c>
      <c r="C220" s="5">
        <v>50.39</v>
      </c>
      <c r="D220" s="5">
        <v>48.55</v>
      </c>
      <c r="E220" s="5">
        <v>50.11</v>
      </c>
      <c r="F220" s="6">
        <v>25835470</v>
      </c>
    </row>
    <row r="221" spans="1:6" x14ac:dyDescent="0.2">
      <c r="A221" s="4">
        <v>44788</v>
      </c>
      <c r="B221" s="5">
        <v>49.97</v>
      </c>
      <c r="C221" s="5">
        <v>50.064999999999998</v>
      </c>
      <c r="D221" s="5">
        <v>49.384999999999998</v>
      </c>
      <c r="E221" s="5">
        <v>49.75</v>
      </c>
      <c r="F221" s="6">
        <v>15797760</v>
      </c>
    </row>
    <row r="222" spans="1:6" x14ac:dyDescent="0.2">
      <c r="A222" s="4">
        <v>44789</v>
      </c>
      <c r="B222" s="5">
        <v>49.38</v>
      </c>
      <c r="C222" s="5">
        <v>50.18</v>
      </c>
      <c r="D222" s="5">
        <v>49.36</v>
      </c>
      <c r="E222" s="5">
        <v>49.86</v>
      </c>
      <c r="F222" s="6">
        <v>12874770</v>
      </c>
    </row>
    <row r="223" spans="1:6" x14ac:dyDescent="0.2">
      <c r="A223" s="4">
        <v>44790</v>
      </c>
      <c r="B223" s="5">
        <v>49.65</v>
      </c>
      <c r="C223" s="5">
        <v>49.86</v>
      </c>
      <c r="D223" s="5">
        <v>49.25</v>
      </c>
      <c r="E223" s="5">
        <v>49.27</v>
      </c>
      <c r="F223" s="6">
        <v>13607170</v>
      </c>
    </row>
    <row r="224" spans="1:6" x14ac:dyDescent="0.2">
      <c r="A224" s="4">
        <v>44791</v>
      </c>
      <c r="B224" s="5">
        <v>49.39</v>
      </c>
      <c r="C224" s="5">
        <v>49.519799999999996</v>
      </c>
      <c r="D224" s="5">
        <v>48.38</v>
      </c>
      <c r="E224" s="5">
        <v>48.58</v>
      </c>
      <c r="F224" s="6">
        <v>18916320</v>
      </c>
    </row>
    <row r="225" spans="1:6" x14ac:dyDescent="0.2">
      <c r="A225" s="4">
        <v>44792</v>
      </c>
      <c r="B225" s="5">
        <v>48.84</v>
      </c>
      <c r="C225" s="5">
        <v>49.445</v>
      </c>
      <c r="D225" s="5">
        <v>48.73</v>
      </c>
      <c r="E225" s="5">
        <v>49.15</v>
      </c>
      <c r="F225" s="6">
        <v>15350200</v>
      </c>
    </row>
    <row r="226" spans="1:6" x14ac:dyDescent="0.2">
      <c r="A226" s="4">
        <v>44795</v>
      </c>
      <c r="B226" s="5">
        <v>49.21</v>
      </c>
      <c r="C226" s="5">
        <v>49.395000000000003</v>
      </c>
      <c r="D226" s="5">
        <v>48.734999999999999</v>
      </c>
      <c r="E226" s="5">
        <v>48.9</v>
      </c>
      <c r="F226" s="6">
        <v>13601210</v>
      </c>
    </row>
    <row r="227" spans="1:6" x14ac:dyDescent="0.2">
      <c r="A227" s="4">
        <v>44796</v>
      </c>
      <c r="B227" s="5">
        <v>48.42</v>
      </c>
      <c r="C227" s="5">
        <v>48.52</v>
      </c>
      <c r="D227" s="5">
        <v>47.76</v>
      </c>
      <c r="E227" s="5">
        <v>48.01</v>
      </c>
      <c r="F227" s="6">
        <v>16248860</v>
      </c>
    </row>
    <row r="228" spans="1:6" x14ac:dyDescent="0.2">
      <c r="A228" s="4">
        <v>44797</v>
      </c>
      <c r="B228" s="5">
        <v>47.9</v>
      </c>
      <c r="C228" s="5">
        <v>48.01</v>
      </c>
      <c r="D228" s="5">
        <v>47.38</v>
      </c>
      <c r="E228" s="5">
        <v>47.43</v>
      </c>
      <c r="F228" s="6">
        <v>15551470</v>
      </c>
    </row>
    <row r="229" spans="1:6" x14ac:dyDescent="0.2">
      <c r="A229" s="4">
        <v>44798</v>
      </c>
      <c r="B229" s="5">
        <v>47.52</v>
      </c>
      <c r="C229" s="5">
        <v>47.95</v>
      </c>
      <c r="D229" s="5">
        <v>47.27</v>
      </c>
      <c r="E229" s="5">
        <v>47.9</v>
      </c>
      <c r="F229" s="6">
        <v>14460000</v>
      </c>
    </row>
    <row r="230" spans="1:6" x14ac:dyDescent="0.2">
      <c r="A230" s="4">
        <v>44799</v>
      </c>
      <c r="B230" s="5">
        <v>47.62</v>
      </c>
      <c r="C230" s="5">
        <v>47.96</v>
      </c>
      <c r="D230" s="5">
        <v>46.701000000000001</v>
      </c>
      <c r="E230" s="5">
        <v>46.82</v>
      </c>
      <c r="F230" s="6">
        <v>16546730</v>
      </c>
    </row>
    <row r="231" spans="1:6" x14ac:dyDescent="0.2">
      <c r="A231" s="4">
        <v>44802</v>
      </c>
      <c r="B231" s="5">
        <v>46.375</v>
      </c>
      <c r="C231" s="5">
        <v>46.69</v>
      </c>
      <c r="D231" s="5">
        <v>46.12</v>
      </c>
      <c r="E231" s="5">
        <v>46.23</v>
      </c>
      <c r="F231" s="6">
        <v>13400450</v>
      </c>
    </row>
    <row r="232" spans="1:6" x14ac:dyDescent="0.2">
      <c r="A232" s="4">
        <v>44803</v>
      </c>
      <c r="B232" s="5">
        <v>46.34</v>
      </c>
      <c r="C232" s="5">
        <v>46.35</v>
      </c>
      <c r="D232" s="5">
        <v>45.795000000000002</v>
      </c>
      <c r="E232" s="5">
        <v>45.85</v>
      </c>
      <c r="F232" s="6">
        <v>16303020</v>
      </c>
    </row>
    <row r="233" spans="1:6" x14ac:dyDescent="0.2">
      <c r="A233" s="4">
        <v>44804</v>
      </c>
      <c r="B233" s="5">
        <v>46.01</v>
      </c>
      <c r="C233" s="5">
        <v>46.284999999999997</v>
      </c>
      <c r="D233" s="5">
        <v>45.13</v>
      </c>
      <c r="E233" s="5">
        <v>45.23</v>
      </c>
      <c r="F233" s="6">
        <v>26416770</v>
      </c>
    </row>
    <row r="234" spans="1:6" x14ac:dyDescent="0.2">
      <c r="A234" s="4">
        <v>44805</v>
      </c>
      <c r="B234" s="5">
        <v>45.14</v>
      </c>
      <c r="C234" s="5">
        <v>46.65</v>
      </c>
      <c r="D234" s="5">
        <v>45.14</v>
      </c>
      <c r="E234" s="5">
        <v>46.63</v>
      </c>
      <c r="F234" s="6">
        <v>19947620</v>
      </c>
    </row>
    <row r="235" spans="1:6" x14ac:dyDescent="0.2">
      <c r="A235" s="4">
        <v>44806</v>
      </c>
      <c r="B235" s="5">
        <v>46.74</v>
      </c>
      <c r="C235" s="5">
        <v>46.8</v>
      </c>
      <c r="D235" s="5">
        <v>45.53</v>
      </c>
      <c r="E235" s="5">
        <v>45.7</v>
      </c>
      <c r="F235" s="6">
        <v>14667690</v>
      </c>
    </row>
    <row r="236" spans="1:6" x14ac:dyDescent="0.2">
      <c r="A236" s="4">
        <v>44810</v>
      </c>
      <c r="B236" s="5">
        <v>45.96</v>
      </c>
      <c r="C236" s="5">
        <v>46.44</v>
      </c>
      <c r="D236" s="5">
        <v>45.53</v>
      </c>
      <c r="E236" s="5">
        <v>45.76</v>
      </c>
      <c r="F236" s="6">
        <v>17153470</v>
      </c>
    </row>
    <row r="237" spans="1:6" x14ac:dyDescent="0.2">
      <c r="A237" s="4">
        <v>44811</v>
      </c>
      <c r="B237" s="5">
        <v>45.7</v>
      </c>
      <c r="C237" s="5">
        <v>46.21</v>
      </c>
      <c r="D237" s="5">
        <v>45.38</v>
      </c>
      <c r="E237" s="5">
        <v>46.13</v>
      </c>
      <c r="F237" s="6">
        <v>15378910</v>
      </c>
    </row>
    <row r="238" spans="1:6" x14ac:dyDescent="0.2">
      <c r="A238" s="4">
        <v>44812</v>
      </c>
      <c r="B238" s="5">
        <v>46.02</v>
      </c>
      <c r="C238" s="5">
        <v>47.12</v>
      </c>
      <c r="D238" s="5">
        <v>45.87</v>
      </c>
      <c r="E238" s="5">
        <v>47.08</v>
      </c>
      <c r="F238" s="6">
        <v>18271040</v>
      </c>
    </row>
    <row r="239" spans="1:6" x14ac:dyDescent="0.2">
      <c r="A239" s="4">
        <v>44813</v>
      </c>
      <c r="B239" s="5">
        <v>47.2</v>
      </c>
      <c r="C239" s="5">
        <v>47.99</v>
      </c>
      <c r="D239" s="5">
        <v>47.1</v>
      </c>
      <c r="E239" s="5">
        <v>47.84</v>
      </c>
      <c r="F239" s="6">
        <v>17509280</v>
      </c>
    </row>
    <row r="240" spans="1:6" x14ac:dyDescent="0.2">
      <c r="A240" s="4">
        <v>44816</v>
      </c>
      <c r="B240" s="5">
        <v>48.08</v>
      </c>
      <c r="C240" s="5">
        <v>48.35</v>
      </c>
      <c r="D240" s="5">
        <v>47.69</v>
      </c>
      <c r="E240" s="5">
        <v>47.76</v>
      </c>
      <c r="F240" s="6">
        <v>13744800</v>
      </c>
    </row>
    <row r="241" spans="1:6" x14ac:dyDescent="0.2">
      <c r="A241" s="4">
        <v>44817</v>
      </c>
      <c r="B241" s="5">
        <v>47.13</v>
      </c>
      <c r="C241" s="5">
        <v>47.32</v>
      </c>
      <c r="D241" s="5">
        <v>46.02</v>
      </c>
      <c r="E241" s="5">
        <v>46.19</v>
      </c>
      <c r="F241" s="6">
        <v>16603180</v>
      </c>
    </row>
    <row r="242" spans="1:6" x14ac:dyDescent="0.2">
      <c r="A242" s="4">
        <v>44818</v>
      </c>
      <c r="B242" s="5">
        <v>46.2</v>
      </c>
      <c r="C242" s="5">
        <v>46.41</v>
      </c>
      <c r="D242" s="5">
        <v>45.78</v>
      </c>
      <c r="E242" s="5">
        <v>46.15</v>
      </c>
      <c r="F242" s="6">
        <v>17162510</v>
      </c>
    </row>
    <row r="243" spans="1:6" x14ac:dyDescent="0.2">
      <c r="A243" s="4">
        <v>44819</v>
      </c>
      <c r="B243" s="5">
        <v>46.11</v>
      </c>
      <c r="C243" s="5">
        <v>46.29</v>
      </c>
      <c r="D243" s="5">
        <v>45.7</v>
      </c>
      <c r="E243" s="5">
        <v>45.94</v>
      </c>
      <c r="F243" s="6">
        <v>15801970</v>
      </c>
    </row>
    <row r="244" spans="1:6" x14ac:dyDescent="0.2">
      <c r="A244" s="4">
        <v>44820</v>
      </c>
      <c r="B244" s="5">
        <v>46.09</v>
      </c>
      <c r="C244" s="5">
        <v>46.62</v>
      </c>
      <c r="D244" s="5">
        <v>45.64</v>
      </c>
      <c r="E244" s="5">
        <v>46.03</v>
      </c>
      <c r="F244" s="6">
        <v>30629510</v>
      </c>
    </row>
    <row r="245" spans="1:6" x14ac:dyDescent="0.2">
      <c r="A245" s="4">
        <v>44823</v>
      </c>
      <c r="B245" s="5">
        <v>45.68</v>
      </c>
      <c r="C245" s="5">
        <v>45.88</v>
      </c>
      <c r="D245" s="5">
        <v>44.78</v>
      </c>
      <c r="E245" s="5">
        <v>45.44</v>
      </c>
      <c r="F245" s="6">
        <v>16256160</v>
      </c>
    </row>
    <row r="246" spans="1:6" x14ac:dyDescent="0.2">
      <c r="A246" s="4">
        <v>44824</v>
      </c>
      <c r="B246" s="5">
        <v>45</v>
      </c>
      <c r="C246" s="5">
        <v>45.27</v>
      </c>
      <c r="D246" s="5">
        <v>44.44</v>
      </c>
      <c r="E246" s="5">
        <v>44.77</v>
      </c>
      <c r="F246" s="6">
        <v>15369000</v>
      </c>
    </row>
    <row r="247" spans="1:6" x14ac:dyDescent="0.2">
      <c r="A247" s="4">
        <v>44825</v>
      </c>
      <c r="B247" s="5">
        <v>44.81</v>
      </c>
      <c r="C247" s="5">
        <v>44.98</v>
      </c>
      <c r="D247" s="5">
        <v>43.9</v>
      </c>
      <c r="E247" s="5">
        <v>43.92</v>
      </c>
      <c r="F247" s="6">
        <v>17505210</v>
      </c>
    </row>
    <row r="248" spans="1:6" x14ac:dyDescent="0.2">
      <c r="A248" s="4">
        <v>44826</v>
      </c>
      <c r="B248" s="5">
        <v>43.67</v>
      </c>
      <c r="C248" s="5">
        <v>45</v>
      </c>
      <c r="D248" s="5">
        <v>43.52</v>
      </c>
      <c r="E248" s="5">
        <v>44.57</v>
      </c>
      <c r="F248" s="6">
        <v>18508100</v>
      </c>
    </row>
    <row r="249" spans="1:6" x14ac:dyDescent="0.2">
      <c r="A249" s="4">
        <v>44827</v>
      </c>
      <c r="B249" s="5">
        <v>44.44</v>
      </c>
      <c r="C249" s="5">
        <v>44.56</v>
      </c>
      <c r="D249" s="5">
        <v>43.575000000000003</v>
      </c>
      <c r="E249" s="5">
        <v>44.08</v>
      </c>
      <c r="F249" s="6">
        <v>18871670</v>
      </c>
    </row>
    <row r="250" spans="1:6" x14ac:dyDescent="0.2">
      <c r="A250" s="4">
        <v>44830</v>
      </c>
      <c r="B250" s="5">
        <v>43.81</v>
      </c>
      <c r="C250" s="5">
        <v>44.33</v>
      </c>
      <c r="D250" s="5">
        <v>43.67</v>
      </c>
      <c r="E250" s="5">
        <v>43.83</v>
      </c>
      <c r="F250" s="6">
        <v>18680220</v>
      </c>
    </row>
    <row r="251" spans="1:6" x14ac:dyDescent="0.2">
      <c r="A251" s="4">
        <v>44831</v>
      </c>
      <c r="B251" s="5">
        <v>44.22</v>
      </c>
      <c r="C251" s="5">
        <v>44.58</v>
      </c>
      <c r="D251" s="5">
        <v>43.734999999999999</v>
      </c>
      <c r="E251" s="5">
        <v>44.09</v>
      </c>
      <c r="F251" s="6">
        <v>21562670</v>
      </c>
    </row>
    <row r="252" spans="1:6" x14ac:dyDescent="0.2">
      <c r="A252" s="4">
        <v>44832</v>
      </c>
      <c r="B252" s="5">
        <v>44.67</v>
      </c>
      <c r="C252" s="5">
        <v>44.81</v>
      </c>
      <c r="D252" s="5">
        <v>44.215000000000003</v>
      </c>
      <c r="E252" s="5">
        <v>44.43</v>
      </c>
      <c r="F252" s="6">
        <v>16532560</v>
      </c>
    </row>
    <row r="253" spans="1:6" x14ac:dyDescent="0.2">
      <c r="A253" s="4">
        <v>44833</v>
      </c>
      <c r="B253" s="5">
        <v>44.41</v>
      </c>
      <c r="C253" s="5">
        <v>44.62</v>
      </c>
      <c r="D253" s="5">
        <v>43.95</v>
      </c>
      <c r="E253" s="5">
        <v>44.16</v>
      </c>
      <c r="F253" s="6">
        <v>13559860</v>
      </c>
    </row>
    <row r="254" spans="1:6" x14ac:dyDescent="0.2">
      <c r="A254" s="4">
        <v>44834</v>
      </c>
      <c r="B254" s="5">
        <v>44.17</v>
      </c>
      <c r="C254" s="5">
        <v>44.604999999999997</v>
      </c>
      <c r="D254" s="5">
        <v>43.73</v>
      </c>
      <c r="E254" s="5">
        <v>43.76</v>
      </c>
      <c r="F254" s="6">
        <v>22962290</v>
      </c>
    </row>
    <row r="255" spans="1:6" x14ac:dyDescent="0.2">
      <c r="A255" s="4">
        <v>44837</v>
      </c>
      <c r="B255" s="5">
        <v>44.07</v>
      </c>
      <c r="C255" s="5">
        <v>44.28</v>
      </c>
      <c r="D255" s="5">
        <v>43.49</v>
      </c>
      <c r="E255" s="5">
        <v>44.14</v>
      </c>
      <c r="F255" s="6">
        <v>22834280</v>
      </c>
    </row>
    <row r="256" spans="1:6" x14ac:dyDescent="0.2">
      <c r="A256" s="4">
        <v>44838</v>
      </c>
      <c r="B256" s="5">
        <v>44.25</v>
      </c>
      <c r="C256" s="5">
        <v>44.84</v>
      </c>
      <c r="D256" s="5">
        <v>44.09</v>
      </c>
      <c r="E256" s="5">
        <v>44.46</v>
      </c>
      <c r="F256" s="6">
        <v>28198850</v>
      </c>
    </row>
    <row r="257" spans="1:6" x14ac:dyDescent="0.2">
      <c r="A257" s="4">
        <v>44839</v>
      </c>
      <c r="B257" s="5">
        <v>44.12</v>
      </c>
      <c r="C257" s="5">
        <v>44.37</v>
      </c>
      <c r="D257" s="5">
        <v>43.68</v>
      </c>
      <c r="E257" s="5">
        <v>44.12</v>
      </c>
      <c r="F257" s="6">
        <v>15673440</v>
      </c>
    </row>
    <row r="258" spans="1:6" x14ac:dyDescent="0.2">
      <c r="A258" s="4">
        <v>44840</v>
      </c>
      <c r="B258" s="5">
        <v>43.76</v>
      </c>
      <c r="C258" s="5">
        <v>43.774999999999999</v>
      </c>
      <c r="D258" s="5">
        <v>43.04</v>
      </c>
      <c r="E258" s="5">
        <v>43.09</v>
      </c>
      <c r="F258" s="6">
        <v>22068160</v>
      </c>
    </row>
    <row r="259" spans="1:6" x14ac:dyDescent="0.2">
      <c r="A259" s="4">
        <v>44841</v>
      </c>
      <c r="B259" s="5">
        <v>43.05</v>
      </c>
      <c r="C259" s="5">
        <v>43.05</v>
      </c>
      <c r="D259" s="5">
        <v>41.9208</v>
      </c>
      <c r="E259" s="5">
        <v>42.32</v>
      </c>
      <c r="F259" s="6">
        <v>20095010</v>
      </c>
    </row>
    <row r="260" spans="1:6" x14ac:dyDescent="0.2">
      <c r="A260" s="4">
        <v>44844</v>
      </c>
      <c r="B260" s="5">
        <v>42.35</v>
      </c>
      <c r="C260" s="5">
        <v>42.62</v>
      </c>
      <c r="D260" s="5">
        <v>41.75</v>
      </c>
      <c r="E260" s="5">
        <v>41.75</v>
      </c>
      <c r="F260" s="6">
        <v>17888000</v>
      </c>
    </row>
    <row r="261" spans="1:6" x14ac:dyDescent="0.2">
      <c r="A261" s="4">
        <v>44845</v>
      </c>
      <c r="B261" s="5">
        <v>41.66</v>
      </c>
      <c r="C261" s="5">
        <v>42.57</v>
      </c>
      <c r="D261" s="5">
        <v>41.445</v>
      </c>
      <c r="E261" s="5">
        <v>41.92</v>
      </c>
      <c r="F261" s="6">
        <v>20981150</v>
      </c>
    </row>
    <row r="262" spans="1:6" x14ac:dyDescent="0.2">
      <c r="A262" s="4">
        <v>44846</v>
      </c>
      <c r="B262" s="5">
        <v>42.09</v>
      </c>
      <c r="C262" s="5">
        <v>43.14</v>
      </c>
      <c r="D262" s="5">
        <v>41.92</v>
      </c>
      <c r="E262" s="5">
        <v>42.03</v>
      </c>
      <c r="F262" s="6">
        <v>18803630</v>
      </c>
    </row>
    <row r="263" spans="1:6" x14ac:dyDescent="0.2">
      <c r="A263" s="4">
        <v>44847</v>
      </c>
      <c r="B263" s="5">
        <v>41.76</v>
      </c>
      <c r="C263" s="5">
        <v>43.16</v>
      </c>
      <c r="D263" s="5">
        <v>41.7</v>
      </c>
      <c r="E263" s="5">
        <v>42.98</v>
      </c>
      <c r="F263" s="6">
        <v>23135230</v>
      </c>
    </row>
    <row r="264" spans="1:6" x14ac:dyDescent="0.2">
      <c r="A264" s="4">
        <v>44848</v>
      </c>
      <c r="B264" s="5">
        <v>42.89</v>
      </c>
      <c r="C264" s="5">
        <v>43.375</v>
      </c>
      <c r="D264" s="5">
        <v>42.36</v>
      </c>
      <c r="E264" s="5">
        <v>42.86</v>
      </c>
      <c r="F264" s="6">
        <v>16983570</v>
      </c>
    </row>
    <row r="265" spans="1:6" x14ac:dyDescent="0.2">
      <c r="A265" s="4">
        <v>44851</v>
      </c>
      <c r="B265" s="5">
        <v>43.19</v>
      </c>
      <c r="C265" s="5">
        <v>43.81</v>
      </c>
      <c r="D265" s="5">
        <v>43.19</v>
      </c>
      <c r="E265" s="5">
        <v>43.65</v>
      </c>
      <c r="F265" s="6">
        <v>16678400</v>
      </c>
    </row>
    <row r="266" spans="1:6" x14ac:dyDescent="0.2">
      <c r="A266" s="4">
        <v>44852</v>
      </c>
      <c r="B266" s="5">
        <v>44.05</v>
      </c>
      <c r="C266" s="5">
        <v>44.36</v>
      </c>
      <c r="D266" s="5">
        <v>43.620100000000001</v>
      </c>
      <c r="E266" s="5">
        <v>44.09</v>
      </c>
      <c r="F266" s="6">
        <v>18442760</v>
      </c>
    </row>
    <row r="267" spans="1:6" x14ac:dyDescent="0.2">
      <c r="A267" s="4">
        <v>44853</v>
      </c>
      <c r="B267" s="5">
        <v>43.91</v>
      </c>
      <c r="C267" s="5">
        <v>44.07</v>
      </c>
      <c r="D267" s="5">
        <v>42.74</v>
      </c>
      <c r="E267" s="5">
        <v>43.11</v>
      </c>
      <c r="F267" s="6">
        <v>23054690</v>
      </c>
    </row>
    <row r="268" spans="1:6" x14ac:dyDescent="0.2">
      <c r="A268" s="4">
        <v>44854</v>
      </c>
      <c r="B268" s="5">
        <v>43.27</v>
      </c>
      <c r="C268" s="5">
        <v>43.41</v>
      </c>
      <c r="D268" s="5">
        <v>42.822600000000001</v>
      </c>
      <c r="E268" s="5">
        <v>42.91</v>
      </c>
      <c r="F268" s="6">
        <v>17714960</v>
      </c>
    </row>
    <row r="269" spans="1:6" x14ac:dyDescent="0.2">
      <c r="A269" s="4">
        <v>44855</v>
      </c>
      <c r="B269" s="5">
        <v>43.31</v>
      </c>
      <c r="C269" s="5">
        <v>45.16</v>
      </c>
      <c r="D269" s="5">
        <v>42.99</v>
      </c>
      <c r="E269" s="5">
        <v>44.95</v>
      </c>
      <c r="F269" s="6">
        <v>36575710</v>
      </c>
    </row>
    <row r="270" spans="1:6" x14ac:dyDescent="0.2">
      <c r="A270" s="4">
        <v>44858</v>
      </c>
      <c r="B270" s="5">
        <v>45.075000000000003</v>
      </c>
      <c r="C270" s="5">
        <v>45.87</v>
      </c>
      <c r="D270" s="5">
        <v>44.984999999999999</v>
      </c>
      <c r="E270" s="5">
        <v>45.54</v>
      </c>
      <c r="F270" s="6">
        <v>24971990</v>
      </c>
    </row>
    <row r="271" spans="1:6" x14ac:dyDescent="0.2">
      <c r="A271" s="4">
        <v>44859</v>
      </c>
      <c r="B271" s="5">
        <v>45.27</v>
      </c>
      <c r="C271" s="5">
        <v>45.82</v>
      </c>
      <c r="D271" s="5">
        <v>44.89</v>
      </c>
      <c r="E271" s="5">
        <v>45.59</v>
      </c>
      <c r="F271" s="6">
        <v>23126980</v>
      </c>
    </row>
    <row r="272" spans="1:6" x14ac:dyDescent="0.2">
      <c r="A272" s="4">
        <v>44860</v>
      </c>
      <c r="B272" s="5">
        <v>45.92</v>
      </c>
      <c r="C272" s="5">
        <v>46.65</v>
      </c>
      <c r="D272" s="5">
        <v>45.62</v>
      </c>
      <c r="E272" s="5">
        <v>46.06</v>
      </c>
      <c r="F272" s="6">
        <v>21413030</v>
      </c>
    </row>
    <row r="273" spans="1:6" x14ac:dyDescent="0.2">
      <c r="A273" s="4">
        <v>44861</v>
      </c>
      <c r="B273" s="5">
        <v>45.81</v>
      </c>
      <c r="C273" s="5">
        <v>46.107900000000001</v>
      </c>
      <c r="D273" s="5">
        <v>45.68</v>
      </c>
      <c r="E273" s="5">
        <v>45.74</v>
      </c>
      <c r="F273" s="6">
        <v>20377730</v>
      </c>
    </row>
    <row r="274" spans="1:6" x14ac:dyDescent="0.2">
      <c r="A274" s="4">
        <v>44862</v>
      </c>
      <c r="B274" s="5">
        <v>45.98</v>
      </c>
      <c r="C274" s="5">
        <v>47.52</v>
      </c>
      <c r="D274" s="5">
        <v>45.93</v>
      </c>
      <c r="E274" s="5">
        <v>47.43</v>
      </c>
      <c r="F274" s="6">
        <v>27854040</v>
      </c>
    </row>
    <row r="275" spans="1:6" x14ac:dyDescent="0.2">
      <c r="A275" s="4">
        <v>44865</v>
      </c>
      <c r="B275" s="5">
        <v>47.08</v>
      </c>
      <c r="C275" s="5">
        <v>47.384999999999998</v>
      </c>
      <c r="D275" s="5">
        <v>46.54</v>
      </c>
      <c r="E275" s="5">
        <v>46.55</v>
      </c>
      <c r="F275" s="6">
        <v>29961710</v>
      </c>
    </row>
    <row r="276" spans="1:6" x14ac:dyDescent="0.2">
      <c r="A276" s="4">
        <v>44866</v>
      </c>
      <c r="B276" s="5">
        <v>48</v>
      </c>
      <c r="C276" s="5">
        <v>48.42</v>
      </c>
      <c r="D276" s="5">
        <v>47.4</v>
      </c>
      <c r="E276" s="5">
        <v>48.01</v>
      </c>
      <c r="F276" s="6">
        <v>30614540</v>
      </c>
    </row>
    <row r="277" spans="1:6" x14ac:dyDescent="0.2">
      <c r="A277" s="4">
        <v>44867</v>
      </c>
      <c r="B277" s="5">
        <v>47.77</v>
      </c>
      <c r="C277" s="5">
        <v>48.17</v>
      </c>
      <c r="D277" s="5">
        <v>46.95</v>
      </c>
      <c r="E277" s="5">
        <v>47.07</v>
      </c>
      <c r="F277" s="6">
        <v>25813070</v>
      </c>
    </row>
    <row r="278" spans="1:6" x14ac:dyDescent="0.2">
      <c r="A278" s="4">
        <v>44868</v>
      </c>
      <c r="B278" s="5">
        <v>46.36</v>
      </c>
      <c r="C278" s="5">
        <v>46.8</v>
      </c>
      <c r="D278" s="5">
        <v>46.16</v>
      </c>
      <c r="E278" s="5">
        <v>46.57</v>
      </c>
      <c r="F278" s="6">
        <v>20124630</v>
      </c>
    </row>
    <row r="279" spans="1:6" x14ac:dyDescent="0.2">
      <c r="A279" s="4">
        <v>44869</v>
      </c>
      <c r="B279" s="5">
        <v>47.47</v>
      </c>
      <c r="C279" s="5">
        <v>47.54</v>
      </c>
      <c r="D279" s="5">
        <v>46.61</v>
      </c>
      <c r="E279" s="5">
        <v>47.22</v>
      </c>
      <c r="F279" s="6">
        <v>24528470</v>
      </c>
    </row>
    <row r="280" spans="1:6" x14ac:dyDescent="0.2">
      <c r="A280" s="4">
        <v>44872</v>
      </c>
      <c r="B280" s="5">
        <v>47.16</v>
      </c>
      <c r="C280" s="5">
        <v>47.65</v>
      </c>
      <c r="D280" s="5">
        <v>46.75</v>
      </c>
      <c r="E280" s="5">
        <v>47.09</v>
      </c>
      <c r="F280" s="6">
        <v>20304410</v>
      </c>
    </row>
    <row r="281" spans="1:6" x14ac:dyDescent="0.2">
      <c r="A281" s="4">
        <v>44873</v>
      </c>
      <c r="B281" s="5">
        <v>47.04</v>
      </c>
      <c r="C281" s="5">
        <v>47.75</v>
      </c>
      <c r="D281" s="5">
        <v>46.744999999999997</v>
      </c>
      <c r="E281" s="5">
        <v>47.35</v>
      </c>
      <c r="F281" s="6">
        <v>18054520</v>
      </c>
    </row>
    <row r="282" spans="1:6" x14ac:dyDescent="0.2">
      <c r="A282" s="4">
        <v>44874</v>
      </c>
      <c r="B282" s="5">
        <v>47.16</v>
      </c>
      <c r="C282" s="5">
        <v>47.5</v>
      </c>
      <c r="D282" s="5">
        <v>46.7</v>
      </c>
      <c r="E282" s="5">
        <v>46.72</v>
      </c>
      <c r="F282" s="6">
        <v>15348090</v>
      </c>
    </row>
    <row r="283" spans="1:6" x14ac:dyDescent="0.2">
      <c r="A283" s="4">
        <v>44875</v>
      </c>
      <c r="B283" s="5">
        <v>47.524999999999999</v>
      </c>
      <c r="C283" s="5">
        <v>47.75</v>
      </c>
      <c r="D283" s="5">
        <v>46.85</v>
      </c>
      <c r="E283" s="5">
        <v>47.38</v>
      </c>
      <c r="F283" s="6">
        <v>20480620</v>
      </c>
    </row>
    <row r="284" spans="1:6" x14ac:dyDescent="0.2">
      <c r="A284" s="4">
        <v>44876</v>
      </c>
      <c r="B284" s="5">
        <v>47.07</v>
      </c>
      <c r="C284" s="5">
        <v>47.695</v>
      </c>
      <c r="D284" s="5">
        <v>46.31</v>
      </c>
      <c r="E284" s="5">
        <v>47.6</v>
      </c>
      <c r="F284" s="6">
        <v>20909840</v>
      </c>
    </row>
    <row r="285" spans="1:6" x14ac:dyDescent="0.2">
      <c r="A285" s="4">
        <v>44879</v>
      </c>
      <c r="B285" s="5">
        <v>47.99</v>
      </c>
      <c r="C285" s="5">
        <v>49.82</v>
      </c>
      <c r="D285" s="5">
        <v>47.93</v>
      </c>
      <c r="E285" s="5">
        <v>49.24</v>
      </c>
      <c r="F285" s="6">
        <v>25876170</v>
      </c>
    </row>
    <row r="286" spans="1:6" x14ac:dyDescent="0.2">
      <c r="A286" s="4">
        <v>44880</v>
      </c>
      <c r="B286" s="5">
        <v>49.34</v>
      </c>
      <c r="C286" s="5">
        <v>49.524999999999999</v>
      </c>
      <c r="D286" s="5">
        <v>48.18</v>
      </c>
      <c r="E286" s="5">
        <v>48.57</v>
      </c>
      <c r="F286" s="6">
        <v>25440490</v>
      </c>
    </row>
    <row r="287" spans="1:6" x14ac:dyDescent="0.2">
      <c r="A287" s="4">
        <v>44881</v>
      </c>
      <c r="B287" s="5">
        <v>48.8</v>
      </c>
      <c r="C287" s="5">
        <v>49.06</v>
      </c>
      <c r="D287" s="5">
        <v>48.05</v>
      </c>
      <c r="E287" s="5">
        <v>48.05</v>
      </c>
      <c r="F287" s="6">
        <v>15822200</v>
      </c>
    </row>
    <row r="288" spans="1:6" x14ac:dyDescent="0.2">
      <c r="A288" s="4">
        <v>44882</v>
      </c>
      <c r="B288" s="5">
        <v>47.8</v>
      </c>
      <c r="C288" s="5">
        <v>48.494999999999997</v>
      </c>
      <c r="D288" s="5">
        <v>47.53</v>
      </c>
      <c r="E288" s="5">
        <v>48.33</v>
      </c>
      <c r="F288" s="6">
        <v>13237450</v>
      </c>
    </row>
    <row r="289" spans="1:6" x14ac:dyDescent="0.2">
      <c r="A289" s="4">
        <v>44883</v>
      </c>
      <c r="B289" s="5">
        <v>48.64</v>
      </c>
      <c r="C289" s="5">
        <v>48.83</v>
      </c>
      <c r="D289" s="5">
        <v>47.87</v>
      </c>
      <c r="E289" s="5">
        <v>48.23</v>
      </c>
      <c r="F289" s="6">
        <v>20666480</v>
      </c>
    </row>
    <row r="290" spans="1:6" x14ac:dyDescent="0.2">
      <c r="A290" s="4">
        <v>44886</v>
      </c>
      <c r="B290" s="5">
        <v>48.1</v>
      </c>
      <c r="C290" s="5">
        <v>48.28</v>
      </c>
      <c r="D290" s="5">
        <v>47.72</v>
      </c>
      <c r="E290" s="5">
        <v>48.18</v>
      </c>
      <c r="F290" s="6">
        <v>14735970</v>
      </c>
    </row>
    <row r="291" spans="1:6" x14ac:dyDescent="0.2">
      <c r="A291" s="4">
        <v>44887</v>
      </c>
      <c r="B291" s="5">
        <v>48.34</v>
      </c>
      <c r="C291" s="5">
        <v>49.247100000000003</v>
      </c>
      <c r="D291" s="5">
        <v>48.24</v>
      </c>
      <c r="E291" s="5">
        <v>49.08</v>
      </c>
      <c r="F291" s="6">
        <v>16358550</v>
      </c>
    </row>
    <row r="292" spans="1:6" x14ac:dyDescent="0.2">
      <c r="A292" s="4">
        <v>44888</v>
      </c>
      <c r="B292" s="5">
        <v>48.96</v>
      </c>
      <c r="C292" s="5">
        <v>49.22</v>
      </c>
      <c r="D292" s="5">
        <v>48.52</v>
      </c>
      <c r="E292" s="5">
        <v>48.85</v>
      </c>
      <c r="F292" s="6">
        <v>10710790</v>
      </c>
    </row>
    <row r="293" spans="1:6" x14ac:dyDescent="0.2">
      <c r="A293" s="4">
        <v>44890</v>
      </c>
      <c r="B293" s="5">
        <v>48.93</v>
      </c>
      <c r="C293" s="5">
        <v>49.22</v>
      </c>
      <c r="D293" s="5">
        <v>48.835000000000001</v>
      </c>
      <c r="E293" s="5">
        <v>49.21</v>
      </c>
      <c r="F293" s="6">
        <v>6760162</v>
      </c>
    </row>
    <row r="294" spans="1:6" x14ac:dyDescent="0.2">
      <c r="A294" s="4">
        <v>44893</v>
      </c>
      <c r="B294" s="5">
        <v>49.18</v>
      </c>
      <c r="C294" s="5">
        <v>49.74</v>
      </c>
      <c r="D294" s="5">
        <v>49.06</v>
      </c>
      <c r="E294" s="5">
        <v>49.57</v>
      </c>
      <c r="F294" s="6">
        <v>20704900</v>
      </c>
    </row>
    <row r="295" spans="1:6" x14ac:dyDescent="0.2">
      <c r="A295" s="4">
        <v>44894</v>
      </c>
      <c r="B295" s="5">
        <v>49.5</v>
      </c>
      <c r="C295" s="5">
        <v>49.67</v>
      </c>
      <c r="D295" s="5">
        <v>49.094999999999999</v>
      </c>
      <c r="E295" s="5">
        <v>49.49</v>
      </c>
      <c r="F295" s="6">
        <v>17160870</v>
      </c>
    </row>
    <row r="296" spans="1:6" x14ac:dyDescent="0.2">
      <c r="A296" s="4">
        <v>44895</v>
      </c>
      <c r="B296" s="5">
        <v>49.64</v>
      </c>
      <c r="C296" s="5">
        <v>50.13</v>
      </c>
      <c r="D296" s="5">
        <v>49.04</v>
      </c>
      <c r="E296" s="5">
        <v>50.13</v>
      </c>
      <c r="F296" s="6">
        <v>35572670</v>
      </c>
    </row>
    <row r="297" spans="1:6" x14ac:dyDescent="0.2">
      <c r="A297" s="4">
        <v>44896</v>
      </c>
      <c r="B297" s="5">
        <v>50.31</v>
      </c>
      <c r="C297" s="5">
        <v>51.155000000000001</v>
      </c>
      <c r="D297" s="5">
        <v>50.28</v>
      </c>
      <c r="E297" s="5">
        <v>51.08</v>
      </c>
      <c r="F297" s="6">
        <v>23592590</v>
      </c>
    </row>
    <row r="298" spans="1:6" x14ac:dyDescent="0.2">
      <c r="A298" s="4">
        <v>44897</v>
      </c>
      <c r="B298" s="5">
        <v>50.56</v>
      </c>
      <c r="C298" s="5">
        <v>51.325000000000003</v>
      </c>
      <c r="D298" s="5">
        <v>50.48</v>
      </c>
      <c r="E298" s="5">
        <v>50.91</v>
      </c>
      <c r="F298" s="6">
        <v>16881640</v>
      </c>
    </row>
    <row r="299" spans="1:6" x14ac:dyDescent="0.2">
      <c r="A299" s="4">
        <v>44900</v>
      </c>
      <c r="B299" s="5">
        <v>50.91</v>
      </c>
      <c r="C299" s="5">
        <v>51.03</v>
      </c>
      <c r="D299" s="5">
        <v>50.344999999999999</v>
      </c>
      <c r="E299" s="5">
        <v>50.73</v>
      </c>
      <c r="F299" s="6">
        <v>17959790</v>
      </c>
    </row>
    <row r="300" spans="1:6" x14ac:dyDescent="0.2">
      <c r="A300" s="4">
        <v>44901</v>
      </c>
      <c r="B300" s="5">
        <v>50.664999999999999</v>
      </c>
      <c r="C300" s="5">
        <v>50.85</v>
      </c>
      <c r="D300" s="5">
        <v>49.18</v>
      </c>
      <c r="E300" s="5">
        <v>49.71</v>
      </c>
      <c r="F300" s="6">
        <v>21787070</v>
      </c>
    </row>
    <row r="301" spans="1:6" x14ac:dyDescent="0.2">
      <c r="A301" s="4">
        <v>44902</v>
      </c>
      <c r="B301" s="5">
        <v>49.75</v>
      </c>
      <c r="C301" s="5">
        <v>51.15</v>
      </c>
      <c r="D301" s="5">
        <v>49.75</v>
      </c>
      <c r="E301" s="5">
        <v>50.24</v>
      </c>
      <c r="F301" s="6">
        <v>15929940</v>
      </c>
    </row>
    <row r="302" spans="1:6" x14ac:dyDescent="0.2">
      <c r="A302" s="4">
        <v>44903</v>
      </c>
      <c r="B302" s="5">
        <v>50.18</v>
      </c>
      <c r="C302" s="5">
        <v>51.865000000000002</v>
      </c>
      <c r="D302" s="5">
        <v>50.02</v>
      </c>
      <c r="E302" s="5">
        <v>51.78</v>
      </c>
      <c r="F302" s="6">
        <v>26116790</v>
      </c>
    </row>
    <row r="303" spans="1:6" x14ac:dyDescent="0.2">
      <c r="A303" s="4">
        <v>44904</v>
      </c>
      <c r="B303" s="5">
        <v>51.75</v>
      </c>
      <c r="C303" s="5">
        <v>52.84</v>
      </c>
      <c r="D303" s="5">
        <v>51.63</v>
      </c>
      <c r="E303" s="5">
        <v>51.72</v>
      </c>
      <c r="F303" s="6">
        <v>19933540</v>
      </c>
    </row>
    <row r="304" spans="1:6" x14ac:dyDescent="0.2">
      <c r="A304" s="4">
        <v>44907</v>
      </c>
      <c r="B304" s="5">
        <v>52.12</v>
      </c>
      <c r="C304" s="5">
        <v>52.59</v>
      </c>
      <c r="D304" s="5">
        <v>51.75</v>
      </c>
      <c r="E304" s="5">
        <v>52.16</v>
      </c>
      <c r="F304" s="6">
        <v>18532230</v>
      </c>
    </row>
    <row r="305" spans="1:6" x14ac:dyDescent="0.2">
      <c r="A305" s="4">
        <v>44908</v>
      </c>
      <c r="B305" s="5">
        <v>53.1</v>
      </c>
      <c r="C305" s="5">
        <v>54.04</v>
      </c>
      <c r="D305" s="5">
        <v>52.88</v>
      </c>
      <c r="E305" s="5">
        <v>53.07</v>
      </c>
      <c r="F305" s="6">
        <v>29461760</v>
      </c>
    </row>
    <row r="306" spans="1:6" x14ac:dyDescent="0.2">
      <c r="A306" s="4">
        <v>44909</v>
      </c>
      <c r="B306" s="5">
        <v>53.14</v>
      </c>
      <c r="C306" s="5">
        <v>54.93</v>
      </c>
      <c r="D306" s="5">
        <v>52.9</v>
      </c>
      <c r="E306" s="5">
        <v>54.48</v>
      </c>
      <c r="F306" s="6">
        <v>36260310</v>
      </c>
    </row>
    <row r="307" spans="1:6" x14ac:dyDescent="0.2">
      <c r="A307" s="4">
        <v>44910</v>
      </c>
      <c r="B307" s="5">
        <v>54.07</v>
      </c>
      <c r="C307" s="5">
        <v>54.43</v>
      </c>
      <c r="D307" s="5">
        <v>53.395000000000003</v>
      </c>
      <c r="E307" s="5">
        <v>53.61</v>
      </c>
      <c r="F307" s="6">
        <v>21630300</v>
      </c>
    </row>
    <row r="308" spans="1:6" x14ac:dyDescent="0.2">
      <c r="A308" s="4">
        <v>44911</v>
      </c>
      <c r="B308" s="5">
        <v>53.01</v>
      </c>
      <c r="C308" s="5">
        <v>53.14</v>
      </c>
      <c r="D308" s="5">
        <v>51.4</v>
      </c>
      <c r="E308" s="5">
        <v>51.4</v>
      </c>
      <c r="F308" s="6">
        <v>65689490</v>
      </c>
    </row>
    <row r="309" spans="1:6" x14ac:dyDescent="0.2">
      <c r="A309" s="4">
        <v>44914</v>
      </c>
      <c r="B309" s="5">
        <v>51.52</v>
      </c>
      <c r="C309" s="5">
        <v>51.81</v>
      </c>
      <c r="D309" s="5">
        <v>50.695</v>
      </c>
      <c r="E309" s="5">
        <v>51.36</v>
      </c>
      <c r="F309" s="6">
        <v>16081890</v>
      </c>
    </row>
    <row r="310" spans="1:6" x14ac:dyDescent="0.2">
      <c r="A310" s="4">
        <v>44915</v>
      </c>
      <c r="B310" s="5">
        <v>51.21</v>
      </c>
      <c r="C310" s="5">
        <v>51.51</v>
      </c>
      <c r="D310" s="5">
        <v>50.84</v>
      </c>
      <c r="E310" s="5">
        <v>51.32</v>
      </c>
      <c r="F310" s="6">
        <v>12433840</v>
      </c>
    </row>
    <row r="311" spans="1:6" x14ac:dyDescent="0.2">
      <c r="A311" s="4">
        <v>44916</v>
      </c>
      <c r="B311" s="5">
        <v>51.604999999999997</v>
      </c>
      <c r="C311" s="5">
        <v>52.16</v>
      </c>
      <c r="D311" s="5">
        <v>51.2</v>
      </c>
      <c r="E311" s="5">
        <v>51.66</v>
      </c>
      <c r="F311" s="6">
        <v>12925030</v>
      </c>
    </row>
    <row r="312" spans="1:6" x14ac:dyDescent="0.2">
      <c r="A312" s="4">
        <v>44917</v>
      </c>
      <c r="B312" s="5">
        <v>51.41</v>
      </c>
      <c r="C312" s="5">
        <v>51.7</v>
      </c>
      <c r="D312" s="5">
        <v>50.95</v>
      </c>
      <c r="E312" s="5">
        <v>51.64</v>
      </c>
      <c r="F312" s="6">
        <v>14824090</v>
      </c>
    </row>
    <row r="313" spans="1:6" x14ac:dyDescent="0.2">
      <c r="A313" s="4">
        <v>44918</v>
      </c>
      <c r="B313" s="5">
        <v>51.555</v>
      </c>
      <c r="C313" s="5">
        <v>51.95</v>
      </c>
      <c r="D313" s="5">
        <v>51.24</v>
      </c>
      <c r="E313" s="5">
        <v>51.83</v>
      </c>
      <c r="F313" s="6">
        <v>10666540</v>
      </c>
    </row>
    <row r="314" spans="1:6" x14ac:dyDescent="0.2">
      <c r="A314" s="4">
        <v>44922</v>
      </c>
      <c r="B314" s="5">
        <v>51.86</v>
      </c>
      <c r="C314" s="5">
        <v>51.93</v>
      </c>
      <c r="D314" s="5">
        <v>51.05</v>
      </c>
      <c r="E314" s="5">
        <v>51.13</v>
      </c>
      <c r="F314" s="6">
        <v>12033760</v>
      </c>
    </row>
    <row r="315" spans="1:6" x14ac:dyDescent="0.2">
      <c r="A315" s="4">
        <v>44923</v>
      </c>
      <c r="B315" s="5">
        <v>51.05</v>
      </c>
      <c r="C315" s="5">
        <v>51.39</v>
      </c>
      <c r="D315" s="5">
        <v>50.75</v>
      </c>
      <c r="E315" s="5">
        <v>50.8</v>
      </c>
      <c r="F315" s="6">
        <v>10053920</v>
      </c>
    </row>
    <row r="316" spans="1:6" x14ac:dyDescent="0.2">
      <c r="A316" s="4">
        <v>44924</v>
      </c>
      <c r="B316" s="5">
        <v>51.02</v>
      </c>
      <c r="C316" s="5">
        <v>51.664999999999999</v>
      </c>
      <c r="D316" s="5">
        <v>50.99</v>
      </c>
      <c r="E316" s="5">
        <v>51.33</v>
      </c>
      <c r="F316" s="6">
        <v>8971290</v>
      </c>
    </row>
    <row r="317" spans="1:6" x14ac:dyDescent="0.2">
      <c r="A317" s="4">
        <v>44925</v>
      </c>
      <c r="B317" s="5">
        <v>51.29</v>
      </c>
      <c r="C317" s="5">
        <v>51.4</v>
      </c>
      <c r="D317" s="5">
        <v>50.744999999999997</v>
      </c>
      <c r="E317" s="5">
        <v>51.24</v>
      </c>
      <c r="F317" s="6">
        <v>11396190</v>
      </c>
    </row>
    <row r="318" spans="1:6" x14ac:dyDescent="0.2">
      <c r="A318" s="4">
        <v>44929</v>
      </c>
      <c r="B318" s="5">
        <v>51.01</v>
      </c>
      <c r="C318" s="5">
        <v>51.325000000000003</v>
      </c>
      <c r="D318" s="5">
        <v>50.82</v>
      </c>
      <c r="E318" s="5">
        <v>51.26</v>
      </c>
      <c r="F318" s="6">
        <v>15603790</v>
      </c>
    </row>
    <row r="319" spans="1:6" x14ac:dyDescent="0.2">
      <c r="A319" s="4">
        <v>44930</v>
      </c>
      <c r="B319" s="5">
        <v>50.29</v>
      </c>
      <c r="C319" s="5">
        <v>50.63</v>
      </c>
      <c r="D319" s="5">
        <v>49.521999999999998</v>
      </c>
      <c r="E319" s="5">
        <v>50.13</v>
      </c>
      <c r="F319" s="6">
        <v>21808430</v>
      </c>
    </row>
    <row r="320" spans="1:6" x14ac:dyDescent="0.2">
      <c r="A320" s="4">
        <v>44931</v>
      </c>
      <c r="B320" s="5">
        <v>49.73</v>
      </c>
      <c r="C320" s="5">
        <v>49.99</v>
      </c>
      <c r="D320" s="5">
        <v>48.92</v>
      </c>
      <c r="E320" s="5">
        <v>49.66</v>
      </c>
      <c r="F320" s="6">
        <v>20057410</v>
      </c>
    </row>
    <row r="321" spans="1:6" x14ac:dyDescent="0.2">
      <c r="A321" s="4">
        <v>44932</v>
      </c>
      <c r="B321" s="5">
        <v>49.98</v>
      </c>
      <c r="C321" s="5">
        <v>51.6</v>
      </c>
      <c r="D321" s="5">
        <v>49.56</v>
      </c>
      <c r="E321" s="5">
        <v>50.92</v>
      </c>
      <c r="F321" s="6">
        <v>29635950</v>
      </c>
    </row>
    <row r="322" spans="1:6" x14ac:dyDescent="0.2">
      <c r="A322" s="4">
        <v>44935</v>
      </c>
      <c r="B322" s="5">
        <v>50.05</v>
      </c>
      <c r="C322" s="5">
        <v>50.26</v>
      </c>
      <c r="D322" s="5">
        <v>48.31</v>
      </c>
      <c r="E322" s="5">
        <v>48.39</v>
      </c>
      <c r="F322" s="6">
        <v>30839130</v>
      </c>
    </row>
    <row r="323" spans="1:6" x14ac:dyDescent="0.2">
      <c r="A323" s="4">
        <v>44936</v>
      </c>
      <c r="B323" s="5">
        <v>48.35</v>
      </c>
      <c r="C323" s="5">
        <v>48.47</v>
      </c>
      <c r="D323" s="5">
        <v>47.38</v>
      </c>
      <c r="E323" s="5">
        <v>47.62</v>
      </c>
      <c r="F323" s="6">
        <v>29212000</v>
      </c>
    </row>
    <row r="324" spans="1:6" x14ac:dyDescent="0.2">
      <c r="A324" s="4">
        <v>44937</v>
      </c>
      <c r="B324" s="5">
        <v>47.7</v>
      </c>
      <c r="C324" s="5">
        <v>47.74</v>
      </c>
      <c r="D324" s="5">
        <v>46.86</v>
      </c>
      <c r="E324" s="5">
        <v>47.45</v>
      </c>
      <c r="F324" s="6">
        <v>23022230</v>
      </c>
    </row>
    <row r="325" spans="1:6" x14ac:dyDescent="0.2">
      <c r="A325" s="4">
        <v>44938</v>
      </c>
      <c r="B325" s="5">
        <v>47.27</v>
      </c>
      <c r="C325" s="5">
        <v>47.72</v>
      </c>
      <c r="D325" s="5">
        <v>46.58</v>
      </c>
      <c r="E325" s="5">
        <v>47.71</v>
      </c>
      <c r="F325" s="6">
        <v>23345250</v>
      </c>
    </row>
    <row r="326" spans="1:6" x14ac:dyDescent="0.2">
      <c r="A326" s="4">
        <v>44939</v>
      </c>
      <c r="B326" s="5">
        <v>47.5</v>
      </c>
      <c r="C326" s="5">
        <v>48.16</v>
      </c>
      <c r="D326" s="5">
        <v>47.49</v>
      </c>
      <c r="E326" s="5">
        <v>47.85</v>
      </c>
      <c r="F326" s="6">
        <v>18737550</v>
      </c>
    </row>
    <row r="327" spans="1:6" x14ac:dyDescent="0.2">
      <c r="A327" s="4">
        <v>44943</v>
      </c>
      <c r="B327" s="5">
        <v>46.54</v>
      </c>
      <c r="C327" s="5">
        <v>46.74</v>
      </c>
      <c r="D327" s="5">
        <v>45.71</v>
      </c>
      <c r="E327" s="5">
        <v>46.08</v>
      </c>
      <c r="F327" s="6">
        <v>29391410</v>
      </c>
    </row>
    <row r="328" spans="1:6" x14ac:dyDescent="0.2">
      <c r="A328" s="4">
        <v>44944</v>
      </c>
      <c r="B328" s="5">
        <v>45.545000000000002</v>
      </c>
      <c r="C328" s="5">
        <v>45.85</v>
      </c>
      <c r="D328" s="5">
        <v>44.97</v>
      </c>
      <c r="E328" s="5">
        <v>45</v>
      </c>
      <c r="F328" s="6">
        <v>33834990</v>
      </c>
    </row>
    <row r="329" spans="1:6" x14ac:dyDescent="0.2">
      <c r="A329" s="4">
        <v>44945</v>
      </c>
      <c r="B329" s="5">
        <v>44.72</v>
      </c>
      <c r="C329" s="5">
        <v>45.27</v>
      </c>
      <c r="D329" s="5">
        <v>44.64</v>
      </c>
      <c r="E329" s="5">
        <v>44.96</v>
      </c>
      <c r="F329" s="6">
        <v>26614860</v>
      </c>
    </row>
    <row r="330" spans="1:6" x14ac:dyDescent="0.2">
      <c r="A330" s="4">
        <v>44946</v>
      </c>
      <c r="B330" s="5">
        <v>45.28</v>
      </c>
      <c r="C330" s="5">
        <v>45.43</v>
      </c>
      <c r="D330" s="5">
        <v>44.725000000000001</v>
      </c>
      <c r="E330" s="5">
        <v>45.11</v>
      </c>
      <c r="F330" s="6">
        <v>25197560</v>
      </c>
    </row>
    <row r="331" spans="1:6" x14ac:dyDescent="0.2">
      <c r="A331" s="4">
        <v>44949</v>
      </c>
      <c r="B331" s="5">
        <v>45.04</v>
      </c>
      <c r="C331" s="5">
        <v>45.32</v>
      </c>
      <c r="D331" s="5">
        <v>44.82</v>
      </c>
      <c r="E331" s="5">
        <v>44.98</v>
      </c>
      <c r="F331" s="6">
        <v>19398550</v>
      </c>
    </row>
    <row r="332" spans="1:6" x14ac:dyDescent="0.2">
      <c r="A332" s="4">
        <v>44950</v>
      </c>
      <c r="B332" s="5">
        <v>44.914999999999999</v>
      </c>
      <c r="C332" s="5">
        <v>44.95</v>
      </c>
      <c r="D332" s="5">
        <v>44.15</v>
      </c>
      <c r="E332" s="5">
        <v>44.71</v>
      </c>
      <c r="F332" s="6">
        <v>18853130</v>
      </c>
    </row>
    <row r="333" spans="1:6" x14ac:dyDescent="0.2">
      <c r="A333" s="4">
        <v>44951</v>
      </c>
      <c r="B333" s="5">
        <v>45.03</v>
      </c>
      <c r="C333" s="5">
        <v>45.109900000000003</v>
      </c>
      <c r="D333" s="5">
        <v>44.585000000000001</v>
      </c>
      <c r="E333" s="5">
        <v>45.07</v>
      </c>
      <c r="F333" s="6">
        <v>20827990</v>
      </c>
    </row>
    <row r="334" spans="1:6" x14ac:dyDescent="0.2">
      <c r="A334" s="4">
        <v>44952</v>
      </c>
      <c r="B334" s="5">
        <v>44.2</v>
      </c>
      <c r="C334" s="5">
        <v>44.3</v>
      </c>
      <c r="D334" s="5">
        <v>43.61</v>
      </c>
      <c r="E334" s="5">
        <v>44.25</v>
      </c>
      <c r="F334" s="6">
        <v>38465460</v>
      </c>
    </row>
    <row r="335" spans="1:6" x14ac:dyDescent="0.2">
      <c r="A335" s="4">
        <v>44953</v>
      </c>
      <c r="B335" s="5">
        <v>44.22</v>
      </c>
      <c r="C335" s="5">
        <v>44.34</v>
      </c>
      <c r="D335" s="5">
        <v>43.78</v>
      </c>
      <c r="E335" s="5">
        <v>43.79</v>
      </c>
      <c r="F335" s="6">
        <v>23798610</v>
      </c>
    </row>
    <row r="336" spans="1:6" x14ac:dyDescent="0.2">
      <c r="A336" s="4">
        <v>44956</v>
      </c>
      <c r="B336" s="5">
        <v>43.79</v>
      </c>
      <c r="C336" s="5">
        <v>44.134999999999998</v>
      </c>
      <c r="D336" s="5">
        <v>43.395000000000003</v>
      </c>
      <c r="E336" s="5">
        <v>43.55</v>
      </c>
      <c r="F336" s="6">
        <v>24402230</v>
      </c>
    </row>
    <row r="337" spans="1:6" x14ac:dyDescent="0.2">
      <c r="A337" s="4">
        <v>44957</v>
      </c>
      <c r="B337" s="5">
        <v>43</v>
      </c>
      <c r="C337" s="5">
        <v>44.274999999999999</v>
      </c>
      <c r="D337" s="5">
        <v>42.7</v>
      </c>
      <c r="E337" s="5">
        <v>44.16</v>
      </c>
      <c r="F337" s="6">
        <v>49722470</v>
      </c>
    </row>
    <row r="338" spans="1:6" x14ac:dyDescent="0.2">
      <c r="A338" s="4">
        <v>44958</v>
      </c>
      <c r="B338" s="5">
        <v>43.905000000000001</v>
      </c>
      <c r="C338" s="5">
        <v>44.18</v>
      </c>
      <c r="D338" s="5">
        <v>43.41</v>
      </c>
      <c r="E338" s="5">
        <v>43.97</v>
      </c>
      <c r="F338" s="6">
        <v>24482320</v>
      </c>
    </row>
    <row r="339" spans="1:6" x14ac:dyDescent="0.2">
      <c r="A339" s="4">
        <v>44959</v>
      </c>
      <c r="B339" s="5">
        <v>43.63</v>
      </c>
      <c r="C339" s="5">
        <v>44.46</v>
      </c>
      <c r="D339" s="5">
        <v>43.5</v>
      </c>
      <c r="E339" s="5">
        <v>44.34</v>
      </c>
      <c r="F339" s="6">
        <v>35279250</v>
      </c>
    </row>
    <row r="340" spans="1:6" x14ac:dyDescent="0.2">
      <c r="A340" s="4">
        <v>44960</v>
      </c>
      <c r="B340" s="5">
        <v>44.354999999999997</v>
      </c>
      <c r="C340" s="5">
        <v>44.39</v>
      </c>
      <c r="D340" s="5">
        <v>43.88</v>
      </c>
      <c r="E340" s="5">
        <v>44.06</v>
      </c>
      <c r="F340" s="6">
        <v>23741990</v>
      </c>
    </row>
    <row r="341" spans="1:6" x14ac:dyDescent="0.2">
      <c r="A341" s="4">
        <v>44963</v>
      </c>
      <c r="B341" s="5">
        <v>44.19</v>
      </c>
      <c r="C341" s="5">
        <v>44.3</v>
      </c>
      <c r="D341" s="5">
        <v>43.725000000000001</v>
      </c>
      <c r="E341" s="5">
        <v>43.76</v>
      </c>
      <c r="F341" s="6">
        <v>18071240</v>
      </c>
    </row>
    <row r="342" spans="1:6" x14ac:dyDescent="0.2">
      <c r="A342" s="4">
        <v>44964</v>
      </c>
      <c r="B342" s="5">
        <v>43.82</v>
      </c>
      <c r="C342" s="5">
        <v>43.9</v>
      </c>
      <c r="D342" s="5">
        <v>43.250599999999999</v>
      </c>
      <c r="E342" s="5">
        <v>43.59</v>
      </c>
      <c r="F342" s="6">
        <v>22999450</v>
      </c>
    </row>
    <row r="343" spans="1:6" x14ac:dyDescent="0.2">
      <c r="A343" s="4">
        <v>44965</v>
      </c>
      <c r="B343" s="5">
        <v>43.55</v>
      </c>
      <c r="C343" s="5">
        <v>44.1</v>
      </c>
      <c r="D343" s="5">
        <v>43.53</v>
      </c>
      <c r="E343" s="5">
        <v>43.98</v>
      </c>
      <c r="F343" s="6">
        <v>19362310</v>
      </c>
    </row>
    <row r="344" spans="1:6" x14ac:dyDescent="0.2">
      <c r="A344" s="4">
        <v>44966</v>
      </c>
      <c r="B344" s="5">
        <v>44.12</v>
      </c>
      <c r="C344" s="5">
        <v>44.325000000000003</v>
      </c>
      <c r="D344" s="5">
        <v>43.24</v>
      </c>
      <c r="E344" s="5">
        <v>43.34</v>
      </c>
      <c r="F344" s="6">
        <v>20809250</v>
      </c>
    </row>
    <row r="345" spans="1:6" x14ac:dyDescent="0.2">
      <c r="A345" s="4">
        <v>44967</v>
      </c>
      <c r="B345" s="5">
        <v>43.5</v>
      </c>
      <c r="C345" s="5">
        <v>43.98</v>
      </c>
      <c r="D345" s="5">
        <v>43.26</v>
      </c>
      <c r="E345" s="5">
        <v>43.88</v>
      </c>
      <c r="F345" s="6">
        <v>18619570</v>
      </c>
    </row>
    <row r="346" spans="1:6" x14ac:dyDescent="0.2">
      <c r="A346" s="4">
        <v>44970</v>
      </c>
      <c r="B346" s="5">
        <v>43.68</v>
      </c>
      <c r="C346" s="5">
        <v>44.01</v>
      </c>
      <c r="D346" s="5">
        <v>43.51</v>
      </c>
      <c r="E346" s="5">
        <v>43.99</v>
      </c>
      <c r="F346" s="6">
        <v>17878020</v>
      </c>
    </row>
    <row r="347" spans="1:6" x14ac:dyDescent="0.2">
      <c r="A347" s="4">
        <v>44971</v>
      </c>
      <c r="B347" s="5">
        <v>44.09</v>
      </c>
      <c r="C347" s="5">
        <v>44.2</v>
      </c>
      <c r="D347" s="5">
        <v>43.58</v>
      </c>
      <c r="E347" s="5">
        <v>43.72</v>
      </c>
      <c r="F347" s="6">
        <v>17506900</v>
      </c>
    </row>
    <row r="348" spans="1:6" x14ac:dyDescent="0.2">
      <c r="A348" s="4">
        <v>44972</v>
      </c>
      <c r="B348" s="5">
        <v>43.42</v>
      </c>
      <c r="C348" s="5">
        <v>43.61</v>
      </c>
      <c r="D348" s="5">
        <v>43.11</v>
      </c>
      <c r="E348" s="5">
        <v>43.32</v>
      </c>
      <c r="F348" s="6">
        <v>18999280</v>
      </c>
    </row>
    <row r="349" spans="1:6" x14ac:dyDescent="0.2">
      <c r="A349" s="4">
        <v>44973</v>
      </c>
      <c r="B349" s="5">
        <v>43.15</v>
      </c>
      <c r="C349" s="5">
        <v>43.18</v>
      </c>
      <c r="D349" s="5">
        <v>42.77</v>
      </c>
      <c r="E349" s="5">
        <v>42.95</v>
      </c>
      <c r="F349" s="6">
        <v>17832040</v>
      </c>
    </row>
    <row r="350" spans="1:6" x14ac:dyDescent="0.2">
      <c r="A350" s="4">
        <v>44974</v>
      </c>
      <c r="B350" s="5">
        <v>42.89</v>
      </c>
      <c r="C350" s="5">
        <v>43.37</v>
      </c>
      <c r="D350" s="5">
        <v>42.58</v>
      </c>
      <c r="E350" s="5">
        <v>43.21</v>
      </c>
      <c r="F350" s="6">
        <v>18293450</v>
      </c>
    </row>
    <row r="351" spans="1:6" x14ac:dyDescent="0.2">
      <c r="A351" s="4">
        <v>44978</v>
      </c>
      <c r="B351" s="5">
        <v>42.81</v>
      </c>
      <c r="C351" s="5">
        <v>42.93</v>
      </c>
      <c r="D351" s="5">
        <v>42.62</v>
      </c>
      <c r="E351" s="5">
        <v>42.7</v>
      </c>
      <c r="F351" s="6">
        <v>17356570</v>
      </c>
    </row>
    <row r="352" spans="1:6" x14ac:dyDescent="0.2">
      <c r="A352" s="4">
        <v>44979</v>
      </c>
      <c r="B352" s="5">
        <v>42.72</v>
      </c>
      <c r="C352" s="5">
        <v>42.884999999999998</v>
      </c>
      <c r="D352" s="5">
        <v>42.31</v>
      </c>
      <c r="E352" s="5">
        <v>42.38</v>
      </c>
      <c r="F352" s="6">
        <v>17394200</v>
      </c>
    </row>
    <row r="353" spans="1:6" x14ac:dyDescent="0.2">
      <c r="A353" s="4">
        <v>44980</v>
      </c>
      <c r="B353" s="5">
        <v>42.29</v>
      </c>
      <c r="C353" s="5">
        <v>42.75</v>
      </c>
      <c r="D353" s="5">
        <v>42.22</v>
      </c>
      <c r="E353" s="5">
        <v>42.3</v>
      </c>
      <c r="F353" s="6">
        <v>21104330</v>
      </c>
    </row>
    <row r="354" spans="1:6" x14ac:dyDescent="0.2">
      <c r="A354" s="4">
        <v>44981</v>
      </c>
      <c r="B354" s="5">
        <v>42.03</v>
      </c>
      <c r="C354" s="5">
        <v>42.05</v>
      </c>
      <c r="D354" s="5">
        <v>41.505000000000003</v>
      </c>
      <c r="E354" s="5">
        <v>41.75</v>
      </c>
      <c r="F354" s="6">
        <v>16806100</v>
      </c>
    </row>
    <row r="355" spans="1:6" x14ac:dyDescent="0.2">
      <c r="A355" s="4">
        <v>44984</v>
      </c>
      <c r="B355" s="5">
        <v>41.44</v>
      </c>
      <c r="C355" s="5">
        <v>41.73</v>
      </c>
      <c r="D355" s="5">
        <v>40.729999999999997</v>
      </c>
      <c r="E355" s="5">
        <v>40.78</v>
      </c>
      <c r="F355" s="6">
        <v>26370310</v>
      </c>
    </row>
    <row r="356" spans="1:6" x14ac:dyDescent="0.2">
      <c r="A356" s="4">
        <v>44985</v>
      </c>
      <c r="B356" s="5">
        <v>40.5</v>
      </c>
      <c r="C356" s="5">
        <v>40.709899999999998</v>
      </c>
      <c r="D356" s="5">
        <v>40.090000000000003</v>
      </c>
      <c r="E356" s="5">
        <v>40.57</v>
      </c>
      <c r="F356" s="6">
        <v>31086880</v>
      </c>
    </row>
    <row r="357" spans="1:6" x14ac:dyDescent="0.2">
      <c r="A357" s="4">
        <v>44986</v>
      </c>
      <c r="B357" s="5">
        <v>40.56</v>
      </c>
      <c r="C357" s="5">
        <v>40.76</v>
      </c>
      <c r="D357" s="5">
        <v>40.134999999999998</v>
      </c>
      <c r="E357" s="5">
        <v>40.18</v>
      </c>
      <c r="F357" s="6">
        <v>21104420</v>
      </c>
    </row>
    <row r="358" spans="1:6" x14ac:dyDescent="0.2">
      <c r="A358" s="4">
        <v>44987</v>
      </c>
      <c r="B358" s="5">
        <v>40.06</v>
      </c>
      <c r="C358" s="5">
        <v>40.78</v>
      </c>
      <c r="D358" s="5">
        <v>39.805</v>
      </c>
      <c r="E358" s="5">
        <v>40.619999999999997</v>
      </c>
      <c r="F358" s="6">
        <v>19112800</v>
      </c>
    </row>
    <row r="359" spans="1:6" x14ac:dyDescent="0.2">
      <c r="A359" s="4">
        <v>44988</v>
      </c>
      <c r="B359" s="5">
        <v>40.909999999999997</v>
      </c>
      <c r="C359" s="5">
        <v>41.18</v>
      </c>
      <c r="D359" s="5">
        <v>40.74</v>
      </c>
      <c r="E359" s="5">
        <v>41.15</v>
      </c>
      <c r="F359" s="6">
        <v>20922030</v>
      </c>
    </row>
    <row r="360" spans="1:6" x14ac:dyDescent="0.2">
      <c r="A360" s="4">
        <v>44991</v>
      </c>
      <c r="B360" s="5">
        <v>41.09</v>
      </c>
      <c r="C360" s="5">
        <v>41.26</v>
      </c>
      <c r="D360" s="5">
        <v>40.82</v>
      </c>
      <c r="E360" s="5">
        <v>41.11</v>
      </c>
      <c r="F360" s="6">
        <v>19434760</v>
      </c>
    </row>
    <row r="361" spans="1:6" x14ac:dyDescent="0.2">
      <c r="A361" s="4">
        <v>44992</v>
      </c>
      <c r="B361" s="5">
        <v>41.06</v>
      </c>
      <c r="C361" s="5">
        <v>41.13</v>
      </c>
      <c r="D361" s="5">
        <v>40.1</v>
      </c>
      <c r="E361" s="5">
        <v>40.340000000000003</v>
      </c>
      <c r="F361" s="6">
        <v>23205790</v>
      </c>
    </row>
    <row r="362" spans="1:6" x14ac:dyDescent="0.2">
      <c r="A362" s="4">
        <v>44993</v>
      </c>
      <c r="B362" s="5">
        <v>40.32</v>
      </c>
      <c r="C362" s="5">
        <v>40.566800000000001</v>
      </c>
      <c r="D362" s="5">
        <v>39.905000000000001</v>
      </c>
      <c r="E362" s="5">
        <v>40.119999999999997</v>
      </c>
      <c r="F362" s="6">
        <v>16756130</v>
      </c>
    </row>
    <row r="363" spans="1:6" x14ac:dyDescent="0.2">
      <c r="A363" s="4">
        <v>44994</v>
      </c>
      <c r="B363" s="5">
        <v>40.409999999999997</v>
      </c>
      <c r="C363" s="5">
        <v>40.57</v>
      </c>
      <c r="D363" s="5">
        <v>39.31</v>
      </c>
      <c r="E363" s="5">
        <v>39.46</v>
      </c>
      <c r="F363" s="6">
        <v>18585100</v>
      </c>
    </row>
    <row r="364" spans="1:6" x14ac:dyDescent="0.2">
      <c r="A364" s="4">
        <v>44995</v>
      </c>
      <c r="B364" s="5">
        <v>39.29</v>
      </c>
      <c r="C364" s="5">
        <v>39.93</v>
      </c>
      <c r="D364" s="5">
        <v>39.229999999999997</v>
      </c>
      <c r="E364" s="5">
        <v>39.39</v>
      </c>
      <c r="F364" s="6">
        <v>26328100</v>
      </c>
    </row>
    <row r="365" spans="1:6" x14ac:dyDescent="0.2">
      <c r="A365" s="4">
        <v>44998</v>
      </c>
      <c r="B365" s="5">
        <v>39.255000000000003</v>
      </c>
      <c r="C365" s="5">
        <v>40.505000000000003</v>
      </c>
      <c r="D365" s="5">
        <v>39.255000000000003</v>
      </c>
      <c r="E365" s="5">
        <v>39.86</v>
      </c>
      <c r="F365" s="6">
        <v>35299380</v>
      </c>
    </row>
    <row r="366" spans="1:6" x14ac:dyDescent="0.2">
      <c r="A366" s="4">
        <v>44999</v>
      </c>
      <c r="B366" s="5">
        <v>40.049999999999997</v>
      </c>
      <c r="C366" s="5">
        <v>40.15</v>
      </c>
      <c r="D366" s="5">
        <v>39.520000000000003</v>
      </c>
      <c r="E366" s="5">
        <v>39.9</v>
      </c>
      <c r="F366" s="6">
        <v>24583600</v>
      </c>
    </row>
    <row r="367" spans="1:6" x14ac:dyDescent="0.2">
      <c r="A367" s="4">
        <v>45000</v>
      </c>
      <c r="B367" s="5">
        <v>39.76</v>
      </c>
      <c r="C367" s="5">
        <v>40.53</v>
      </c>
      <c r="D367" s="5">
        <v>39.46</v>
      </c>
      <c r="E367" s="5">
        <v>40.28</v>
      </c>
      <c r="F367" s="6">
        <v>25498380</v>
      </c>
    </row>
    <row r="368" spans="1:6" x14ac:dyDescent="0.2">
      <c r="A368" s="4">
        <v>45001</v>
      </c>
      <c r="B368" s="5">
        <v>40.06</v>
      </c>
      <c r="C368" s="5">
        <v>40.49</v>
      </c>
      <c r="D368" s="5">
        <v>39.72</v>
      </c>
      <c r="E368" s="5">
        <v>40.369999999999997</v>
      </c>
      <c r="F368" s="6">
        <v>21100880</v>
      </c>
    </row>
    <row r="369" spans="1:6" x14ac:dyDescent="0.2">
      <c r="A369" s="4">
        <v>45002</v>
      </c>
      <c r="B369" s="5">
        <v>40.625</v>
      </c>
      <c r="C369" s="5">
        <v>40.79</v>
      </c>
      <c r="D369" s="5">
        <v>39.984999999999999</v>
      </c>
      <c r="E369" s="5">
        <v>40.1</v>
      </c>
      <c r="F369" s="6">
        <v>57457790</v>
      </c>
    </row>
    <row r="370" spans="1:6" x14ac:dyDescent="0.2">
      <c r="A370" s="4">
        <v>45005</v>
      </c>
      <c r="B370" s="5">
        <v>40.14</v>
      </c>
      <c r="C370" s="5">
        <v>40.86</v>
      </c>
      <c r="D370" s="5">
        <v>39.94</v>
      </c>
      <c r="E370" s="5">
        <v>40.81</v>
      </c>
      <c r="F370" s="6">
        <v>20825380</v>
      </c>
    </row>
    <row r="371" spans="1:6" x14ac:dyDescent="0.2">
      <c r="A371" s="4">
        <v>45006</v>
      </c>
      <c r="B371" s="5">
        <v>40.86</v>
      </c>
      <c r="C371" s="5">
        <v>40.909999999999997</v>
      </c>
      <c r="D371" s="5">
        <v>40.31</v>
      </c>
      <c r="E371" s="5">
        <v>40.659999999999997</v>
      </c>
      <c r="F371" s="6">
        <v>19981980</v>
      </c>
    </row>
    <row r="372" spans="1:6" x14ac:dyDescent="0.2">
      <c r="A372" s="4">
        <v>45007</v>
      </c>
      <c r="B372" s="5">
        <v>40.700000000000003</v>
      </c>
      <c r="C372" s="5">
        <v>40.85</v>
      </c>
      <c r="D372" s="5">
        <v>39.99</v>
      </c>
      <c r="E372" s="5">
        <v>40.01</v>
      </c>
      <c r="F372" s="6">
        <v>15444160</v>
      </c>
    </row>
    <row r="373" spans="1:6" x14ac:dyDescent="0.2">
      <c r="A373" s="4">
        <v>45008</v>
      </c>
      <c r="B373" s="5">
        <v>40.17</v>
      </c>
      <c r="C373" s="5">
        <v>40.497199999999999</v>
      </c>
      <c r="D373" s="5">
        <v>40</v>
      </c>
      <c r="E373" s="5">
        <v>40.18</v>
      </c>
      <c r="F373" s="6">
        <v>16958150</v>
      </c>
    </row>
    <row r="374" spans="1:6" x14ac:dyDescent="0.2">
      <c r="A374" s="4">
        <v>45009</v>
      </c>
      <c r="B374" s="5">
        <v>40.090000000000003</v>
      </c>
      <c r="C374" s="5">
        <v>40.454999999999998</v>
      </c>
      <c r="D374" s="5">
        <v>39.8748</v>
      </c>
      <c r="E374" s="5">
        <v>40.39</v>
      </c>
      <c r="F374" s="6">
        <v>17221120</v>
      </c>
    </row>
    <row r="375" spans="1:6" x14ac:dyDescent="0.2">
      <c r="A375" s="4">
        <v>45012</v>
      </c>
      <c r="B375" s="5">
        <v>40.54</v>
      </c>
      <c r="C375" s="5">
        <v>40.619999999999997</v>
      </c>
      <c r="D375" s="5">
        <v>39.97</v>
      </c>
      <c r="E375" s="5">
        <v>40.22</v>
      </c>
      <c r="F375" s="6">
        <v>20262830</v>
      </c>
    </row>
    <row r="376" spans="1:6" x14ac:dyDescent="0.2">
      <c r="A376" s="4">
        <v>45013</v>
      </c>
      <c r="B376" s="5">
        <v>40.200000000000003</v>
      </c>
      <c r="C376" s="5">
        <v>40.299999999999997</v>
      </c>
      <c r="D376" s="5">
        <v>39.86</v>
      </c>
      <c r="E376" s="5">
        <v>39.99</v>
      </c>
      <c r="F376" s="6">
        <v>13537520</v>
      </c>
    </row>
    <row r="377" spans="1:6" x14ac:dyDescent="0.2">
      <c r="A377" s="4">
        <v>45014</v>
      </c>
      <c r="B377" s="5">
        <v>40.159999999999997</v>
      </c>
      <c r="C377" s="5">
        <v>40.270000000000003</v>
      </c>
      <c r="D377" s="5">
        <v>39.99</v>
      </c>
      <c r="E377" s="5">
        <v>40.25</v>
      </c>
      <c r="F377" s="6">
        <v>14429510</v>
      </c>
    </row>
    <row r="378" spans="1:6" x14ac:dyDescent="0.2">
      <c r="A378" s="4">
        <v>45015</v>
      </c>
      <c r="B378" s="5">
        <v>40.42</v>
      </c>
      <c r="C378" s="5">
        <v>40.49</v>
      </c>
      <c r="D378" s="5">
        <v>40.25</v>
      </c>
      <c r="E378" s="5">
        <v>40.380000000000003</v>
      </c>
      <c r="F378" s="6">
        <v>12634520</v>
      </c>
    </row>
    <row r="379" spans="1:6" x14ac:dyDescent="0.2">
      <c r="A379" s="4">
        <v>45016</v>
      </c>
      <c r="B379" s="5">
        <v>40.549999999999997</v>
      </c>
      <c r="C379" s="5">
        <v>40.83</v>
      </c>
      <c r="D379" s="5">
        <v>40.28</v>
      </c>
      <c r="E379" s="5">
        <v>40.799999999999997</v>
      </c>
      <c r="F379" s="6">
        <v>23393580</v>
      </c>
    </row>
    <row r="380" spans="1:6" x14ac:dyDescent="0.2">
      <c r="A380" s="4">
        <v>45019</v>
      </c>
      <c r="B380" s="5">
        <v>40.69</v>
      </c>
      <c r="C380" s="5">
        <v>41.466799999999999</v>
      </c>
      <c r="D380" s="5">
        <v>40.65</v>
      </c>
      <c r="E380" s="5">
        <v>41.35</v>
      </c>
      <c r="F380" s="6">
        <v>20817190</v>
      </c>
    </row>
    <row r="381" spans="1:6" x14ac:dyDescent="0.2">
      <c r="A381" s="4">
        <v>45020</v>
      </c>
      <c r="B381" s="5">
        <v>41.44</v>
      </c>
      <c r="C381" s="5">
        <v>41.53</v>
      </c>
      <c r="D381" s="5">
        <v>40.76</v>
      </c>
      <c r="E381" s="5">
        <v>40.9</v>
      </c>
      <c r="F381" s="6">
        <v>19514530</v>
      </c>
    </row>
    <row r="382" spans="1:6" x14ac:dyDescent="0.2">
      <c r="A382" s="4">
        <v>45021</v>
      </c>
      <c r="B382" s="5">
        <v>41.284999999999997</v>
      </c>
      <c r="C382" s="5">
        <v>42.22</v>
      </c>
      <c r="D382" s="5">
        <v>41.17</v>
      </c>
      <c r="E382" s="5">
        <v>41.55</v>
      </c>
      <c r="F382" s="6">
        <v>29697620</v>
      </c>
    </row>
    <row r="383" spans="1:6" x14ac:dyDescent="0.2">
      <c r="A383" s="4">
        <v>45022</v>
      </c>
      <c r="B383" s="5">
        <v>41.93</v>
      </c>
      <c r="C383" s="5">
        <v>42.094999999999999</v>
      </c>
      <c r="D383" s="5">
        <v>41.374299999999998</v>
      </c>
      <c r="E383" s="5">
        <v>41.5</v>
      </c>
      <c r="F383" s="6">
        <v>25931830</v>
      </c>
    </row>
    <row r="384" spans="1:6" x14ac:dyDescent="0.2">
      <c r="A384" s="4">
        <v>45026</v>
      </c>
      <c r="B384" s="5">
        <v>41.15</v>
      </c>
      <c r="C384" s="5">
        <v>41.74</v>
      </c>
      <c r="D384" s="5">
        <v>41.12</v>
      </c>
      <c r="E384" s="5">
        <v>41.73</v>
      </c>
      <c r="F384" s="6">
        <v>15137290</v>
      </c>
    </row>
    <row r="385" spans="1:6" x14ac:dyDescent="0.2">
      <c r="A385" s="4">
        <v>45027</v>
      </c>
      <c r="B385" s="5">
        <v>41.8</v>
      </c>
      <c r="C385" s="5">
        <v>41.99</v>
      </c>
      <c r="D385" s="5">
        <v>41.7</v>
      </c>
      <c r="E385" s="5">
        <v>41.79</v>
      </c>
      <c r="F385" s="6">
        <v>15304120</v>
      </c>
    </row>
    <row r="386" spans="1:6" x14ac:dyDescent="0.2">
      <c r="A386" s="4">
        <v>45028</v>
      </c>
      <c r="B386" s="5">
        <v>41.63</v>
      </c>
      <c r="C386" s="5">
        <v>41.79</v>
      </c>
      <c r="D386" s="5">
        <v>41.27</v>
      </c>
      <c r="E386" s="5">
        <v>41.37</v>
      </c>
      <c r="F386" s="6">
        <v>17035070</v>
      </c>
    </row>
    <row r="387" spans="1:6" x14ac:dyDescent="0.2">
      <c r="A387" s="4">
        <v>45029</v>
      </c>
      <c r="B387" s="5">
        <v>41.53</v>
      </c>
      <c r="C387" s="5">
        <v>41.7</v>
      </c>
      <c r="D387" s="5">
        <v>41.295000000000002</v>
      </c>
      <c r="E387" s="5">
        <v>41.47</v>
      </c>
      <c r="F387" s="6">
        <v>22880860</v>
      </c>
    </row>
    <row r="388" spans="1:6" x14ac:dyDescent="0.2">
      <c r="A388" s="4">
        <v>45030</v>
      </c>
      <c r="B388" s="5">
        <v>41.505000000000003</v>
      </c>
      <c r="C388" s="5">
        <v>41.71</v>
      </c>
      <c r="D388" s="5">
        <v>40.93</v>
      </c>
      <c r="E388" s="5">
        <v>41.19</v>
      </c>
      <c r="F388" s="6">
        <v>20627480</v>
      </c>
    </row>
    <row r="389" spans="1:6" x14ac:dyDescent="0.2">
      <c r="A389" s="4">
        <v>45033</v>
      </c>
      <c r="B389" s="5">
        <v>41.12</v>
      </c>
      <c r="C389" s="5">
        <v>41.28</v>
      </c>
      <c r="D389" s="5">
        <v>40.96</v>
      </c>
      <c r="E389" s="5">
        <v>41.18</v>
      </c>
      <c r="F389" s="6">
        <v>17608640</v>
      </c>
    </row>
    <row r="390" spans="1:6" x14ac:dyDescent="0.2">
      <c r="A390" s="4">
        <v>45034</v>
      </c>
      <c r="B390" s="5">
        <v>41.28</v>
      </c>
      <c r="C390" s="5">
        <v>41.33</v>
      </c>
      <c r="D390" s="5">
        <v>40.53</v>
      </c>
      <c r="E390" s="5">
        <v>40.549999999999997</v>
      </c>
      <c r="F390" s="6">
        <v>18541480</v>
      </c>
    </row>
    <row r="391" spans="1:6" x14ac:dyDescent="0.2">
      <c r="A391" s="4">
        <v>45035</v>
      </c>
      <c r="B391" s="5">
        <v>40.43</v>
      </c>
      <c r="C391" s="5">
        <v>40.56</v>
      </c>
      <c r="D391" s="5">
        <v>40.200000000000003</v>
      </c>
      <c r="E391" s="5">
        <v>40.24</v>
      </c>
      <c r="F391" s="6">
        <v>17214340</v>
      </c>
    </row>
    <row r="392" spans="1:6" x14ac:dyDescent="0.2">
      <c r="A392" s="4">
        <v>45036</v>
      </c>
      <c r="B392" s="5">
        <v>40.08</v>
      </c>
      <c r="C392" s="5">
        <v>40.19</v>
      </c>
      <c r="D392" s="5">
        <v>39.79</v>
      </c>
      <c r="E392" s="5">
        <v>39.85</v>
      </c>
      <c r="F392" s="6">
        <v>20131600</v>
      </c>
    </row>
    <row r="393" spans="1:6" x14ac:dyDescent="0.2">
      <c r="A393" s="4">
        <v>45037</v>
      </c>
      <c r="B393" s="5">
        <v>40.090000000000003</v>
      </c>
      <c r="C393" s="5">
        <v>40.299999999999997</v>
      </c>
      <c r="D393" s="5">
        <v>39.905000000000001</v>
      </c>
      <c r="E393" s="5">
        <v>40.21</v>
      </c>
      <c r="F393" s="6">
        <v>19227110</v>
      </c>
    </row>
    <row r="394" spans="1:6" x14ac:dyDescent="0.2">
      <c r="A394" s="4">
        <v>45040</v>
      </c>
      <c r="B394" s="5">
        <v>40.19</v>
      </c>
      <c r="C394" s="5">
        <v>40.200000000000003</v>
      </c>
      <c r="D394" s="5">
        <v>39.71</v>
      </c>
      <c r="E394" s="5">
        <v>39.909999999999997</v>
      </c>
      <c r="F394" s="6">
        <v>17633650</v>
      </c>
    </row>
    <row r="395" spans="1:6" x14ac:dyDescent="0.2">
      <c r="A395" s="4">
        <v>45041</v>
      </c>
      <c r="B395" s="5">
        <v>39.75</v>
      </c>
      <c r="C395" s="5">
        <v>39.92</v>
      </c>
      <c r="D395" s="5">
        <v>39.284999999999997</v>
      </c>
      <c r="E395" s="5">
        <v>39.33</v>
      </c>
      <c r="F395" s="6">
        <v>24492370</v>
      </c>
    </row>
    <row r="396" spans="1:6" x14ac:dyDescent="0.2">
      <c r="A396" s="4">
        <v>45042</v>
      </c>
      <c r="B396" s="5">
        <v>39.159999999999997</v>
      </c>
      <c r="C396" s="5">
        <v>39.19</v>
      </c>
      <c r="D396" s="5">
        <v>38.4</v>
      </c>
      <c r="E396" s="5">
        <v>38.630000000000003</v>
      </c>
      <c r="F396" s="6">
        <v>22401430</v>
      </c>
    </row>
    <row r="397" spans="1:6" x14ac:dyDescent="0.2">
      <c r="A397" s="4">
        <v>45043</v>
      </c>
      <c r="B397" s="5">
        <v>38.619999999999997</v>
      </c>
      <c r="C397" s="5">
        <v>38.83</v>
      </c>
      <c r="D397" s="5">
        <v>38.31</v>
      </c>
      <c r="E397" s="5">
        <v>38.74</v>
      </c>
      <c r="F397" s="6">
        <v>22434050</v>
      </c>
    </row>
    <row r="398" spans="1:6" x14ac:dyDescent="0.2">
      <c r="A398" s="4">
        <v>45044</v>
      </c>
      <c r="B398" s="5">
        <v>38.700000000000003</v>
      </c>
      <c r="C398" s="5">
        <v>38.909999999999997</v>
      </c>
      <c r="D398" s="5">
        <v>38.615000000000002</v>
      </c>
      <c r="E398" s="5">
        <v>38.89</v>
      </c>
      <c r="F398" s="6">
        <v>21015330</v>
      </c>
    </row>
    <row r="399" spans="1:6" x14ac:dyDescent="0.2">
      <c r="A399" s="4">
        <v>45047</v>
      </c>
      <c r="B399" s="5">
        <v>39</v>
      </c>
      <c r="C399" s="5">
        <v>39.520000000000003</v>
      </c>
      <c r="D399" s="5">
        <v>38.86</v>
      </c>
      <c r="E399" s="5">
        <v>39.21</v>
      </c>
      <c r="F399" s="6">
        <v>23917760</v>
      </c>
    </row>
    <row r="400" spans="1:6" x14ac:dyDescent="0.2">
      <c r="A400" s="4">
        <v>45048</v>
      </c>
      <c r="B400" s="5">
        <v>39.29</v>
      </c>
      <c r="C400" s="5">
        <v>40.115000000000002</v>
      </c>
      <c r="D400" s="5">
        <v>38.630000000000003</v>
      </c>
      <c r="E400" s="5">
        <v>39.06</v>
      </c>
      <c r="F400" s="6">
        <v>38834140</v>
      </c>
    </row>
    <row r="401" spans="1:6" x14ac:dyDescent="0.2">
      <c r="A401" s="4">
        <v>45049</v>
      </c>
      <c r="B401" s="5">
        <v>39.200000000000003</v>
      </c>
      <c r="C401" s="5">
        <v>39.39</v>
      </c>
      <c r="D401" s="5">
        <v>38.36</v>
      </c>
      <c r="E401" s="5">
        <v>38.450000000000003</v>
      </c>
      <c r="F401" s="6">
        <v>27721930</v>
      </c>
    </row>
    <row r="402" spans="1:6" x14ac:dyDescent="0.2">
      <c r="A402" s="4">
        <v>45050</v>
      </c>
      <c r="B402" s="5">
        <v>38.17</v>
      </c>
      <c r="C402" s="5">
        <v>38.43</v>
      </c>
      <c r="D402" s="5">
        <v>38.020000000000003</v>
      </c>
      <c r="E402" s="5">
        <v>38.229999999999997</v>
      </c>
      <c r="F402" s="6">
        <v>23675130</v>
      </c>
    </row>
    <row r="403" spans="1:6" x14ac:dyDescent="0.2">
      <c r="A403" s="4">
        <v>45051</v>
      </c>
      <c r="B403" s="5">
        <v>38.380000000000003</v>
      </c>
      <c r="C403" s="5">
        <v>38.5</v>
      </c>
      <c r="D403" s="5">
        <v>38.090000000000003</v>
      </c>
      <c r="E403" s="5">
        <v>38.49</v>
      </c>
      <c r="F403" s="6">
        <v>19225050</v>
      </c>
    </row>
    <row r="404" spans="1:6" x14ac:dyDescent="0.2">
      <c r="A404" s="4">
        <v>45054</v>
      </c>
      <c r="B404" s="5">
        <v>38.53</v>
      </c>
      <c r="C404" s="5">
        <v>38.729999999999997</v>
      </c>
      <c r="D404" s="5">
        <v>38.35</v>
      </c>
      <c r="E404" s="5">
        <v>38.67</v>
      </c>
      <c r="F404" s="6">
        <v>20101720</v>
      </c>
    </row>
    <row r="405" spans="1:6" x14ac:dyDescent="0.2">
      <c r="A405" s="4">
        <v>45055</v>
      </c>
      <c r="B405" s="5">
        <v>38.479999999999997</v>
      </c>
      <c r="C405" s="5">
        <v>38.67</v>
      </c>
      <c r="D405" s="5">
        <v>38.39</v>
      </c>
      <c r="E405" s="5">
        <v>38.479999999999997</v>
      </c>
      <c r="F405" s="6">
        <v>15987900</v>
      </c>
    </row>
    <row r="406" spans="1:6" x14ac:dyDescent="0.2">
      <c r="A406" s="4">
        <v>45056</v>
      </c>
      <c r="B406" s="5">
        <v>38.67</v>
      </c>
      <c r="C406" s="5">
        <v>38.72</v>
      </c>
      <c r="D406" s="5">
        <v>38.08</v>
      </c>
      <c r="E406" s="5">
        <v>38.299999999999997</v>
      </c>
      <c r="F406" s="6">
        <v>15858220</v>
      </c>
    </row>
    <row r="407" spans="1:6" x14ac:dyDescent="0.2">
      <c r="A407" s="4">
        <v>45057</v>
      </c>
      <c r="B407" s="5">
        <v>37.6</v>
      </c>
      <c r="C407" s="5">
        <v>37.65</v>
      </c>
      <c r="D407" s="5">
        <v>37.204999999999998</v>
      </c>
      <c r="E407" s="5">
        <v>37.58</v>
      </c>
      <c r="F407" s="6">
        <v>28566370</v>
      </c>
    </row>
    <row r="408" spans="1:6" x14ac:dyDescent="0.2">
      <c r="A408" s="4">
        <v>45058</v>
      </c>
      <c r="B408" s="5">
        <v>37.61</v>
      </c>
      <c r="C408" s="5">
        <v>37.72</v>
      </c>
      <c r="D408" s="5">
        <v>37.229999999999997</v>
      </c>
      <c r="E408" s="5">
        <v>37.35</v>
      </c>
      <c r="F408" s="6">
        <v>16541290</v>
      </c>
    </row>
    <row r="409" spans="1:6" x14ac:dyDescent="0.2">
      <c r="A409" s="4">
        <v>45061</v>
      </c>
      <c r="B409" s="5">
        <v>37.299999999999997</v>
      </c>
      <c r="C409" s="5">
        <v>37.36</v>
      </c>
      <c r="D409" s="5">
        <v>37.005000000000003</v>
      </c>
      <c r="E409" s="5">
        <v>37.159999999999997</v>
      </c>
      <c r="F409" s="6">
        <v>16650410</v>
      </c>
    </row>
    <row r="410" spans="1:6" x14ac:dyDescent="0.2">
      <c r="A410" s="4">
        <v>45062</v>
      </c>
      <c r="B410" s="5">
        <v>37.020000000000003</v>
      </c>
      <c r="C410" s="5">
        <v>37.24</v>
      </c>
      <c r="D410" s="5">
        <v>36.83</v>
      </c>
      <c r="E410" s="5">
        <v>37.01</v>
      </c>
      <c r="F410" s="6">
        <v>25451710</v>
      </c>
    </row>
    <row r="411" spans="1:6" x14ac:dyDescent="0.2">
      <c r="A411" s="4">
        <v>45063</v>
      </c>
      <c r="B411" s="5">
        <v>36.979999999999997</v>
      </c>
      <c r="C411" s="5">
        <v>37.049999999999997</v>
      </c>
      <c r="D411" s="5">
        <v>36.51</v>
      </c>
      <c r="E411" s="5">
        <v>36.75</v>
      </c>
      <c r="F411" s="6">
        <v>23206390</v>
      </c>
    </row>
    <row r="412" spans="1:6" x14ac:dyDescent="0.2">
      <c r="A412" s="4">
        <v>45064</v>
      </c>
      <c r="B412" s="5">
        <v>36.71</v>
      </c>
      <c r="C412" s="5">
        <v>36.78</v>
      </c>
      <c r="D412" s="5">
        <v>36.17</v>
      </c>
      <c r="E412" s="5">
        <v>36.479999999999997</v>
      </c>
      <c r="F412" s="6">
        <v>27772420</v>
      </c>
    </row>
    <row r="413" spans="1:6" x14ac:dyDescent="0.2">
      <c r="A413" s="4">
        <v>45065</v>
      </c>
      <c r="B413" s="5">
        <v>36.65</v>
      </c>
      <c r="C413" s="5">
        <v>37.654000000000003</v>
      </c>
      <c r="D413" s="5">
        <v>36.520000000000003</v>
      </c>
      <c r="E413" s="5">
        <v>36.770000000000003</v>
      </c>
      <c r="F413" s="6">
        <v>33068320</v>
      </c>
    </row>
    <row r="414" spans="1:6" x14ac:dyDescent="0.2">
      <c r="A414" s="4">
        <v>45068</v>
      </c>
      <c r="B414" s="5">
        <v>36.86</v>
      </c>
      <c r="C414" s="5">
        <v>38.865000000000002</v>
      </c>
      <c r="D414" s="5">
        <v>36.75</v>
      </c>
      <c r="E414" s="5">
        <v>38.75</v>
      </c>
      <c r="F414" s="6">
        <v>85718550</v>
      </c>
    </row>
    <row r="415" spans="1:6" x14ac:dyDescent="0.2">
      <c r="A415" s="4">
        <v>45069</v>
      </c>
      <c r="B415" s="5">
        <v>38.549999999999997</v>
      </c>
      <c r="C415" s="5">
        <v>40.14</v>
      </c>
      <c r="D415" s="5">
        <v>38</v>
      </c>
      <c r="E415" s="5">
        <v>39.64</v>
      </c>
      <c r="F415" s="6">
        <v>75379540</v>
      </c>
    </row>
    <row r="416" spans="1:6" x14ac:dyDescent="0.2">
      <c r="A416" s="4">
        <v>45070</v>
      </c>
      <c r="B416" s="5">
        <v>40.1</v>
      </c>
      <c r="C416" s="5">
        <v>40.14</v>
      </c>
      <c r="D416" s="5">
        <v>38.6</v>
      </c>
      <c r="E416" s="5">
        <v>38.630000000000003</v>
      </c>
      <c r="F416" s="6">
        <v>39326370</v>
      </c>
    </row>
    <row r="417" spans="1:6" x14ac:dyDescent="0.2">
      <c r="A417" s="4">
        <v>45071</v>
      </c>
      <c r="B417" s="5">
        <v>38.51</v>
      </c>
      <c r="C417" s="5">
        <v>38.51</v>
      </c>
      <c r="D417" s="5">
        <v>37.65</v>
      </c>
      <c r="E417" s="5">
        <v>37.83</v>
      </c>
      <c r="F417" s="6">
        <v>30266600</v>
      </c>
    </row>
    <row r="418" spans="1:6" x14ac:dyDescent="0.2">
      <c r="A418" s="4">
        <v>45072</v>
      </c>
      <c r="B418" s="5">
        <v>38.04</v>
      </c>
      <c r="C418" s="5">
        <v>38.44</v>
      </c>
      <c r="D418" s="5">
        <v>37.563499999999998</v>
      </c>
      <c r="E418" s="5">
        <v>37.6</v>
      </c>
      <c r="F418" s="6">
        <v>20234630</v>
      </c>
    </row>
    <row r="419" spans="1:6" x14ac:dyDescent="0.2">
      <c r="A419" s="4">
        <v>45076</v>
      </c>
      <c r="B419" s="5">
        <v>37.36</v>
      </c>
      <c r="C419" s="5">
        <v>37.36</v>
      </c>
      <c r="D419" s="5">
        <v>36.92</v>
      </c>
      <c r="E419" s="5">
        <v>37.01</v>
      </c>
      <c r="F419" s="6">
        <v>24371100</v>
      </c>
    </row>
    <row r="420" spans="1:6" x14ac:dyDescent="0.2">
      <c r="A420" s="4">
        <v>45077</v>
      </c>
      <c r="B420" s="5">
        <v>37.1</v>
      </c>
      <c r="C420" s="5">
        <v>38.22</v>
      </c>
      <c r="D420" s="5">
        <v>36.869999999999997</v>
      </c>
      <c r="E420" s="5">
        <v>38.020000000000003</v>
      </c>
      <c r="F420" s="6">
        <v>46166330</v>
      </c>
    </row>
    <row r="421" spans="1:6" x14ac:dyDescent="0.2">
      <c r="A421" s="4">
        <v>45078</v>
      </c>
      <c r="B421" s="5">
        <v>38.119999999999997</v>
      </c>
      <c r="C421" s="5">
        <v>38.21</v>
      </c>
      <c r="D421" s="5">
        <v>37.700000000000003</v>
      </c>
      <c r="E421" s="5">
        <v>38.020000000000003</v>
      </c>
      <c r="F421" s="6">
        <v>20256140</v>
      </c>
    </row>
    <row r="422" spans="1:6" x14ac:dyDescent="0.2">
      <c r="A422" s="4">
        <v>45079</v>
      </c>
      <c r="B422" s="5">
        <v>38.25</v>
      </c>
      <c r="C422" s="5">
        <v>38.659999999999997</v>
      </c>
      <c r="D422" s="5">
        <v>38.159999999999997</v>
      </c>
      <c r="E422" s="5">
        <v>38.36</v>
      </c>
      <c r="F422" s="6">
        <v>22736350</v>
      </c>
    </row>
    <row r="423" spans="1:6" x14ac:dyDescent="0.2">
      <c r="A423" s="4">
        <v>45082</v>
      </c>
      <c r="B423" s="5">
        <v>38.479999999999997</v>
      </c>
      <c r="C423" s="5">
        <v>39.015000000000001</v>
      </c>
      <c r="D423" s="5">
        <v>38.470100000000002</v>
      </c>
      <c r="E423" s="5">
        <v>38.65</v>
      </c>
      <c r="F423" s="6">
        <v>18392230</v>
      </c>
    </row>
    <row r="424" spans="1:6" x14ac:dyDescent="0.2">
      <c r="A424" s="4">
        <v>45083</v>
      </c>
      <c r="B424" s="5">
        <v>38.81</v>
      </c>
      <c r="C424" s="5">
        <v>38.86</v>
      </c>
      <c r="D424" s="5">
        <v>38.293199999999999</v>
      </c>
      <c r="E424" s="5">
        <v>38.369999999999997</v>
      </c>
      <c r="F424" s="6">
        <v>19508230</v>
      </c>
    </row>
    <row r="425" spans="1:6" x14ac:dyDescent="0.2">
      <c r="A425" s="4">
        <v>45084</v>
      </c>
      <c r="B425" s="5">
        <v>38.35</v>
      </c>
      <c r="C425" s="5">
        <v>39.06</v>
      </c>
      <c r="D425" s="5">
        <v>38.130000000000003</v>
      </c>
      <c r="E425" s="5">
        <v>38.89</v>
      </c>
      <c r="F425" s="6">
        <v>25295130</v>
      </c>
    </row>
    <row r="426" spans="1:6" x14ac:dyDescent="0.2">
      <c r="A426" s="4">
        <v>45085</v>
      </c>
      <c r="B426" s="5">
        <v>39.04</v>
      </c>
      <c r="C426" s="5">
        <v>39.19</v>
      </c>
      <c r="D426" s="5">
        <v>38.729999999999997</v>
      </c>
      <c r="E426" s="5">
        <v>39.090000000000003</v>
      </c>
      <c r="F426" s="6">
        <v>17353720</v>
      </c>
    </row>
    <row r="427" spans="1:6" x14ac:dyDescent="0.2">
      <c r="A427" s="4">
        <v>45086</v>
      </c>
      <c r="B427" s="5">
        <v>39.28</v>
      </c>
      <c r="C427" s="5">
        <v>39.590000000000003</v>
      </c>
      <c r="D427" s="5">
        <v>38.872700000000002</v>
      </c>
      <c r="E427" s="5">
        <v>38.97</v>
      </c>
      <c r="F427" s="6">
        <v>19777460</v>
      </c>
    </row>
    <row r="428" spans="1:6" x14ac:dyDescent="0.2">
      <c r="A428" s="4">
        <v>45089</v>
      </c>
      <c r="B428" s="5">
        <v>39.01</v>
      </c>
      <c r="C428" s="5">
        <v>40.064999999999998</v>
      </c>
      <c r="D428" s="5">
        <v>38.99</v>
      </c>
      <c r="E428" s="5">
        <v>39.9</v>
      </c>
      <c r="F428" s="6">
        <v>28340780</v>
      </c>
    </row>
    <row r="429" spans="1:6" x14ac:dyDescent="0.2">
      <c r="A429" s="4">
        <v>45090</v>
      </c>
      <c r="B429" s="5">
        <v>39.67</v>
      </c>
      <c r="C429" s="5">
        <v>40.365000000000002</v>
      </c>
      <c r="D429" s="5">
        <v>39.450000000000003</v>
      </c>
      <c r="E429" s="5">
        <v>40.28</v>
      </c>
      <c r="F429" s="6">
        <v>26533760</v>
      </c>
    </row>
    <row r="430" spans="1:6" x14ac:dyDescent="0.2">
      <c r="A430" s="4">
        <v>45091</v>
      </c>
      <c r="B430" s="5">
        <v>40.32</v>
      </c>
      <c r="C430" s="5">
        <v>40.340000000000003</v>
      </c>
      <c r="D430" s="5">
        <v>39.314999999999998</v>
      </c>
      <c r="E430" s="5">
        <v>39.36</v>
      </c>
      <c r="F430" s="6">
        <v>22056420</v>
      </c>
    </row>
    <row r="431" spans="1:6" x14ac:dyDescent="0.2">
      <c r="A431" s="4">
        <v>45092</v>
      </c>
      <c r="B431" s="5">
        <v>39.409999999999997</v>
      </c>
      <c r="C431" s="5">
        <v>39.83</v>
      </c>
      <c r="D431" s="5">
        <v>39.28</v>
      </c>
      <c r="E431" s="5">
        <v>39.75</v>
      </c>
      <c r="F431" s="6">
        <v>19905910</v>
      </c>
    </row>
    <row r="432" spans="1:6" x14ac:dyDescent="0.2">
      <c r="A432" s="4">
        <v>45093</v>
      </c>
      <c r="B432" s="5">
        <v>39.86</v>
      </c>
      <c r="C432" s="5">
        <v>40.36</v>
      </c>
      <c r="D432" s="5">
        <v>39.844999999999999</v>
      </c>
      <c r="E432" s="5">
        <v>40.06</v>
      </c>
      <c r="F432" s="6">
        <v>60338570</v>
      </c>
    </row>
    <row r="433" spans="1:6" x14ac:dyDescent="0.2">
      <c r="A433" s="4">
        <v>45097</v>
      </c>
      <c r="B433" s="5">
        <v>39.71</v>
      </c>
      <c r="C433" s="5">
        <v>39.869999999999997</v>
      </c>
      <c r="D433" s="5">
        <v>39.33</v>
      </c>
      <c r="E433" s="5">
        <v>39.340000000000003</v>
      </c>
      <c r="F433" s="6">
        <v>26881170</v>
      </c>
    </row>
    <row r="434" spans="1:6" x14ac:dyDescent="0.2">
      <c r="A434" s="4">
        <v>45098</v>
      </c>
      <c r="B434" s="5">
        <v>39.200000000000003</v>
      </c>
      <c r="C434" s="5">
        <v>39.24</v>
      </c>
      <c r="D434" s="5">
        <v>38.76</v>
      </c>
      <c r="E434" s="5">
        <v>38.9</v>
      </c>
      <c r="F434" s="6">
        <v>17982940</v>
      </c>
    </row>
    <row r="435" spans="1:6" x14ac:dyDescent="0.2">
      <c r="A435" s="4">
        <v>45099</v>
      </c>
      <c r="B435" s="5">
        <v>38.94</v>
      </c>
      <c r="C435" s="5">
        <v>38.985999999999997</v>
      </c>
      <c r="D435" s="5">
        <v>38.409999999999997</v>
      </c>
      <c r="E435" s="5">
        <v>38.729999999999997</v>
      </c>
      <c r="F435" s="6">
        <v>18047000</v>
      </c>
    </row>
    <row r="436" spans="1:6" x14ac:dyDescent="0.2">
      <c r="A436" s="4">
        <v>45100</v>
      </c>
      <c r="B436" s="5">
        <v>38.71</v>
      </c>
      <c r="C436" s="5">
        <v>38.869999999999997</v>
      </c>
      <c r="D436" s="5">
        <v>38.28</v>
      </c>
      <c r="E436" s="5">
        <v>38.299999999999997</v>
      </c>
      <c r="F436" s="6">
        <v>23492230</v>
      </c>
    </row>
    <row r="437" spans="1:6" x14ac:dyDescent="0.2">
      <c r="A437" s="4">
        <v>45103</v>
      </c>
      <c r="B437" s="5">
        <v>37.015000000000001</v>
      </c>
      <c r="C437" s="5">
        <v>37.049999999999997</v>
      </c>
      <c r="D437" s="5">
        <v>36.159999999999997</v>
      </c>
      <c r="E437" s="5">
        <v>36.89</v>
      </c>
      <c r="F437" s="6">
        <v>56135480</v>
      </c>
    </row>
    <row r="438" spans="1:6" x14ac:dyDescent="0.2">
      <c r="A438" s="4">
        <v>45104</v>
      </c>
      <c r="B438" s="5">
        <v>36.96</v>
      </c>
      <c r="C438" s="5">
        <v>37</v>
      </c>
      <c r="D438" s="5">
        <v>36.28</v>
      </c>
      <c r="E438" s="5">
        <v>36.42</v>
      </c>
      <c r="F438" s="6">
        <v>32414950</v>
      </c>
    </row>
    <row r="439" spans="1:6" x14ac:dyDescent="0.2">
      <c r="A439" s="4">
        <v>45105</v>
      </c>
      <c r="B439" s="5">
        <v>36.5</v>
      </c>
      <c r="C439" s="5">
        <v>36.54</v>
      </c>
      <c r="D439" s="5">
        <v>36.0334</v>
      </c>
      <c r="E439" s="5">
        <v>36.29</v>
      </c>
      <c r="F439" s="6">
        <v>30062000</v>
      </c>
    </row>
    <row r="440" spans="1:6" x14ac:dyDescent="0.2">
      <c r="A440" s="4">
        <v>45106</v>
      </c>
      <c r="B440" s="5">
        <v>35.99</v>
      </c>
      <c r="C440" s="5">
        <v>36.22</v>
      </c>
      <c r="D440" s="5">
        <v>35.76</v>
      </c>
      <c r="E440" s="5">
        <v>36.119999999999997</v>
      </c>
      <c r="F440" s="6">
        <v>26284880</v>
      </c>
    </row>
    <row r="441" spans="1:6" x14ac:dyDescent="0.2">
      <c r="A441" s="4">
        <v>45107</v>
      </c>
      <c r="B441" s="5">
        <v>36.21</v>
      </c>
      <c r="C441" s="5">
        <v>36.75</v>
      </c>
      <c r="D441" s="5">
        <v>36.14</v>
      </c>
      <c r="E441" s="5">
        <v>36.68</v>
      </c>
      <c r="F441" s="6">
        <v>30867940</v>
      </c>
    </row>
    <row r="442" spans="1:6" x14ac:dyDescent="0.2">
      <c r="A442" s="4">
        <v>45110</v>
      </c>
      <c r="B442" s="5">
        <v>36.5</v>
      </c>
      <c r="C442" s="5">
        <v>36.744999999999997</v>
      </c>
      <c r="D442" s="5">
        <v>36.35</v>
      </c>
      <c r="E442" s="5">
        <v>36.65</v>
      </c>
      <c r="F442" s="6">
        <v>14115810</v>
      </c>
    </row>
    <row r="443" spans="1:6" x14ac:dyDescent="0.2">
      <c r="A443" s="4">
        <v>45112</v>
      </c>
      <c r="B443" s="5">
        <v>36.58</v>
      </c>
      <c r="C443" s="5">
        <v>37.020000000000003</v>
      </c>
      <c r="D443" s="5">
        <v>36.39</v>
      </c>
      <c r="E443" s="5">
        <v>36.46</v>
      </c>
      <c r="F443" s="6">
        <v>26829420</v>
      </c>
    </row>
    <row r="444" spans="1:6" x14ac:dyDescent="0.2">
      <c r="A444" s="4">
        <v>45113</v>
      </c>
      <c r="B444" s="5">
        <v>36.200000000000003</v>
      </c>
      <c r="C444" s="5">
        <v>36.270000000000003</v>
      </c>
      <c r="D444" s="5">
        <v>35.619999999999997</v>
      </c>
      <c r="E444" s="5">
        <v>35.630000000000003</v>
      </c>
      <c r="F444" s="6">
        <v>30214370</v>
      </c>
    </row>
    <row r="445" spans="1:6" x14ac:dyDescent="0.2">
      <c r="A445" s="4">
        <v>45114</v>
      </c>
      <c r="B445" s="5">
        <v>35.520000000000003</v>
      </c>
      <c r="C445" s="5">
        <v>35.770000000000003</v>
      </c>
      <c r="D445" s="5">
        <v>35.35</v>
      </c>
      <c r="E445" s="5">
        <v>35.53</v>
      </c>
      <c r="F445" s="6">
        <v>22903340</v>
      </c>
    </row>
    <row r="446" spans="1:6" x14ac:dyDescent="0.2">
      <c r="A446" s="4">
        <v>45117</v>
      </c>
      <c r="B446" s="5">
        <v>35.57</v>
      </c>
      <c r="C446" s="5">
        <v>36.01</v>
      </c>
      <c r="D446" s="5">
        <v>35.540100000000002</v>
      </c>
      <c r="E446" s="5">
        <v>35.68</v>
      </c>
      <c r="F446" s="6">
        <v>17777500</v>
      </c>
    </row>
    <row r="447" spans="1:6" x14ac:dyDescent="0.2">
      <c r="A447" s="4">
        <v>45118</v>
      </c>
      <c r="B447" s="5">
        <v>35.64</v>
      </c>
      <c r="C447" s="5">
        <v>36.04</v>
      </c>
      <c r="D447" s="5">
        <v>35.615000000000002</v>
      </c>
      <c r="E447" s="5">
        <v>36.020000000000003</v>
      </c>
      <c r="F447" s="6">
        <v>17731330</v>
      </c>
    </row>
    <row r="448" spans="1:6" x14ac:dyDescent="0.2">
      <c r="A448" s="4">
        <v>45119</v>
      </c>
      <c r="B448" s="5">
        <v>36.200000000000003</v>
      </c>
      <c r="C448" s="5">
        <v>36.25</v>
      </c>
      <c r="D448" s="5">
        <v>35.92</v>
      </c>
      <c r="E448" s="5">
        <v>35.99</v>
      </c>
      <c r="F448" s="6">
        <v>17229690</v>
      </c>
    </row>
    <row r="449" spans="1:6" x14ac:dyDescent="0.2">
      <c r="A449" s="4">
        <v>45120</v>
      </c>
      <c r="B449" s="5">
        <v>36.01</v>
      </c>
      <c r="C449" s="5">
        <v>36.36</v>
      </c>
      <c r="D449" s="5">
        <v>35.92</v>
      </c>
      <c r="E449" s="5">
        <v>36.06</v>
      </c>
      <c r="F449" s="6">
        <v>16664400</v>
      </c>
    </row>
    <row r="450" spans="1:6" x14ac:dyDescent="0.2">
      <c r="A450" s="4">
        <v>45121</v>
      </c>
      <c r="B450" s="5">
        <v>36.299999999999997</v>
      </c>
      <c r="C450" s="5">
        <v>36.49</v>
      </c>
      <c r="D450" s="5">
        <v>36.005000000000003</v>
      </c>
      <c r="E450" s="5">
        <v>36.32</v>
      </c>
      <c r="F450" s="6">
        <v>17915150</v>
      </c>
    </row>
    <row r="451" spans="1:6" x14ac:dyDescent="0.2">
      <c r="A451" s="4">
        <v>45124</v>
      </c>
      <c r="B451" s="5">
        <v>36.119999999999997</v>
      </c>
      <c r="C451" s="5">
        <v>36.119999999999997</v>
      </c>
      <c r="D451" s="5">
        <v>35.78</v>
      </c>
      <c r="E451" s="5">
        <v>35.86</v>
      </c>
      <c r="F451" s="6">
        <v>20557300</v>
      </c>
    </row>
    <row r="452" spans="1:6" x14ac:dyDescent="0.2">
      <c r="A452" s="4">
        <v>45125</v>
      </c>
      <c r="B452" s="5">
        <v>35.92</v>
      </c>
      <c r="C452" s="5">
        <v>36.479999999999997</v>
      </c>
      <c r="D452" s="5">
        <v>35.879199999999997</v>
      </c>
      <c r="E452" s="5">
        <v>36.24</v>
      </c>
      <c r="F452" s="6">
        <v>22817330</v>
      </c>
    </row>
    <row r="453" spans="1:6" x14ac:dyDescent="0.2">
      <c r="A453" s="4">
        <v>45126</v>
      </c>
      <c r="B453" s="5">
        <v>36.340000000000003</v>
      </c>
      <c r="C453" s="5">
        <v>36.700000000000003</v>
      </c>
      <c r="D453" s="5">
        <v>36.204999999999998</v>
      </c>
      <c r="E453" s="5">
        <v>36.44</v>
      </c>
      <c r="F453" s="6">
        <v>18589660</v>
      </c>
    </row>
    <row r="454" spans="1:6" x14ac:dyDescent="0.2">
      <c r="A454" s="4">
        <v>45127</v>
      </c>
      <c r="B454" s="5">
        <v>36.4</v>
      </c>
      <c r="C454" s="5">
        <v>37.07</v>
      </c>
      <c r="D454" s="5">
        <v>36.36</v>
      </c>
      <c r="E454" s="5">
        <v>36.770000000000003</v>
      </c>
      <c r="F454" s="6">
        <v>22358410</v>
      </c>
    </row>
    <row r="455" spans="1:6" x14ac:dyDescent="0.2">
      <c r="A455" s="4">
        <v>45128</v>
      </c>
      <c r="B455" s="5">
        <v>36.799999999999997</v>
      </c>
      <c r="C455" s="5">
        <v>37.43</v>
      </c>
      <c r="D455" s="5">
        <v>36.795000000000002</v>
      </c>
      <c r="E455" s="5">
        <v>37.4</v>
      </c>
      <c r="F455" s="6">
        <v>24149720</v>
      </c>
    </row>
    <row r="456" spans="1:6" x14ac:dyDescent="0.2">
      <c r="A456" s="4">
        <v>45131</v>
      </c>
      <c r="B456" s="5">
        <v>37.409999999999997</v>
      </c>
      <c r="C456" s="5">
        <v>37.799999999999997</v>
      </c>
      <c r="D456" s="5">
        <v>37.369999999999997</v>
      </c>
      <c r="E456" s="5">
        <v>37.51</v>
      </c>
      <c r="F456" s="6">
        <v>19414710</v>
      </c>
    </row>
    <row r="457" spans="1:6" x14ac:dyDescent="0.2">
      <c r="A457" s="4">
        <v>45132</v>
      </c>
      <c r="B457" s="5">
        <v>37.4</v>
      </c>
      <c r="C457" s="5">
        <v>37.72</v>
      </c>
      <c r="D457" s="5">
        <v>37.045000000000002</v>
      </c>
      <c r="E457" s="5">
        <v>37.06</v>
      </c>
      <c r="F457" s="6">
        <v>21770960</v>
      </c>
    </row>
    <row r="458" spans="1:6" x14ac:dyDescent="0.2">
      <c r="A458" s="4">
        <v>45133</v>
      </c>
      <c r="B458" s="5">
        <v>36.869999999999997</v>
      </c>
      <c r="C458" s="5">
        <v>37.344999999999999</v>
      </c>
      <c r="D458" s="5">
        <v>36.76</v>
      </c>
      <c r="E458" s="5">
        <v>37.21</v>
      </c>
      <c r="F458" s="6">
        <v>20983650</v>
      </c>
    </row>
    <row r="459" spans="1:6" x14ac:dyDescent="0.2">
      <c r="A459" s="4">
        <v>45134</v>
      </c>
      <c r="B459" s="5">
        <v>36.85</v>
      </c>
      <c r="C459" s="5">
        <v>37.01</v>
      </c>
      <c r="D459" s="5">
        <v>36.18</v>
      </c>
      <c r="E459" s="5">
        <v>36.200000000000003</v>
      </c>
      <c r="F459" s="6">
        <v>25346300</v>
      </c>
    </row>
    <row r="460" spans="1:6" x14ac:dyDescent="0.2">
      <c r="A460" s="4">
        <v>45135</v>
      </c>
      <c r="B460" s="5">
        <v>36.35</v>
      </c>
      <c r="C460" s="5">
        <v>36.450000000000003</v>
      </c>
      <c r="D460" s="5">
        <v>36.020000000000003</v>
      </c>
      <c r="E460" s="5">
        <v>36.07</v>
      </c>
      <c r="F460" s="6">
        <v>24054070</v>
      </c>
    </row>
    <row r="461" spans="1:6" x14ac:dyDescent="0.2">
      <c r="A461" s="4">
        <v>45138</v>
      </c>
      <c r="B461" s="5">
        <v>36.18</v>
      </c>
      <c r="C461" s="5">
        <v>36.19</v>
      </c>
      <c r="D461" s="5">
        <v>35.92</v>
      </c>
      <c r="E461" s="5">
        <v>36.06</v>
      </c>
      <c r="F461" s="6">
        <v>40265240</v>
      </c>
    </row>
    <row r="462" spans="1:6" x14ac:dyDescent="0.2">
      <c r="A462" s="4">
        <v>45139</v>
      </c>
      <c r="B462" s="5">
        <v>35.880000000000003</v>
      </c>
      <c r="C462" s="5">
        <v>36.92</v>
      </c>
      <c r="D462" s="5">
        <v>35.369999999999997</v>
      </c>
      <c r="E462" s="5">
        <v>35.61</v>
      </c>
      <c r="F462" s="6">
        <v>40951970</v>
      </c>
    </row>
    <row r="463" spans="1:6" x14ac:dyDescent="0.2">
      <c r="A463" s="4">
        <v>45140</v>
      </c>
      <c r="B463" s="5">
        <v>35.630000000000003</v>
      </c>
      <c r="C463" s="5">
        <v>35.884999999999998</v>
      </c>
      <c r="D463" s="5">
        <v>35.274999999999999</v>
      </c>
      <c r="E463" s="5">
        <v>35.35</v>
      </c>
      <c r="F463" s="6">
        <v>34301640</v>
      </c>
    </row>
    <row r="464" spans="1:6" x14ac:dyDescent="0.2">
      <c r="A464" s="4">
        <v>45141</v>
      </c>
      <c r="B464" s="5">
        <v>35.18</v>
      </c>
      <c r="C464" s="5">
        <v>35.28</v>
      </c>
      <c r="D464" s="5">
        <v>34.92</v>
      </c>
      <c r="E464" s="5">
        <v>35</v>
      </c>
      <c r="F464" s="6">
        <v>25687700</v>
      </c>
    </row>
    <row r="465" spans="1:6" x14ac:dyDescent="0.2">
      <c r="A465" s="4">
        <v>45142</v>
      </c>
      <c r="B465" s="5">
        <v>34.950000000000003</v>
      </c>
      <c r="C465" s="5">
        <v>35.340000000000003</v>
      </c>
      <c r="D465" s="5">
        <v>34.655000000000001</v>
      </c>
      <c r="E465" s="5">
        <v>35.020000000000003</v>
      </c>
      <c r="F465" s="6">
        <v>25746460</v>
      </c>
    </row>
    <row r="466" spans="1:6" x14ac:dyDescent="0.2">
      <c r="A466" s="4">
        <v>45145</v>
      </c>
      <c r="B466" s="5">
        <v>35.01</v>
      </c>
      <c r="C466" s="5">
        <v>35.854999999999997</v>
      </c>
      <c r="D466" s="5">
        <v>34.9</v>
      </c>
      <c r="E466" s="5">
        <v>35.68</v>
      </c>
      <c r="F466" s="6">
        <v>31069110</v>
      </c>
    </row>
    <row r="467" spans="1:6" x14ac:dyDescent="0.2">
      <c r="A467" s="4">
        <v>45146</v>
      </c>
      <c r="B467" s="5">
        <v>36.369999999999997</v>
      </c>
      <c r="C467" s="5">
        <v>36.369999999999997</v>
      </c>
      <c r="D467" s="5">
        <v>35.39</v>
      </c>
      <c r="E467" s="5">
        <v>35.64</v>
      </c>
      <c r="F467" s="6">
        <v>25225530</v>
      </c>
    </row>
    <row r="468" spans="1:6" x14ac:dyDescent="0.2">
      <c r="A468" s="4">
        <v>45147</v>
      </c>
      <c r="B468" s="5">
        <v>35.6</v>
      </c>
      <c r="C468" s="5">
        <v>36.06</v>
      </c>
      <c r="D468" s="5">
        <v>35.51</v>
      </c>
      <c r="E468" s="5">
        <v>35.840000000000003</v>
      </c>
      <c r="F468" s="6">
        <v>17210480</v>
      </c>
    </row>
    <row r="469" spans="1:6" x14ac:dyDescent="0.2">
      <c r="A469" s="4">
        <v>45148</v>
      </c>
      <c r="B469" s="5">
        <v>35.82</v>
      </c>
      <c r="C469" s="5">
        <v>36.090000000000003</v>
      </c>
      <c r="D469" s="5">
        <v>35.594999999999999</v>
      </c>
      <c r="E469" s="5">
        <v>35.72</v>
      </c>
      <c r="F469" s="6">
        <v>18955150</v>
      </c>
    </row>
    <row r="470" spans="1:6" x14ac:dyDescent="0.2">
      <c r="A470" s="4">
        <v>45149</v>
      </c>
      <c r="B470" s="5">
        <v>35.619999999999997</v>
      </c>
      <c r="C470" s="5">
        <v>36.28</v>
      </c>
      <c r="D470" s="5">
        <v>35.590000000000003</v>
      </c>
      <c r="E470" s="5">
        <v>36.04</v>
      </c>
      <c r="F470" s="6">
        <v>16609380</v>
      </c>
    </row>
    <row r="471" spans="1:6" x14ac:dyDescent="0.2">
      <c r="A471" s="4">
        <v>45152</v>
      </c>
      <c r="B471" s="5">
        <v>35.82</v>
      </c>
      <c r="C471" s="5">
        <v>36.51</v>
      </c>
      <c r="D471" s="5">
        <v>35.82</v>
      </c>
      <c r="E471" s="5">
        <v>36.07</v>
      </c>
      <c r="F471" s="6">
        <v>20295470</v>
      </c>
    </row>
    <row r="472" spans="1:6" x14ac:dyDescent="0.2">
      <c r="A472" s="4">
        <v>45153</v>
      </c>
      <c r="B472" s="5">
        <v>35.880000000000003</v>
      </c>
      <c r="C472" s="5">
        <v>35.909999999999997</v>
      </c>
      <c r="D472" s="5">
        <v>35.36</v>
      </c>
      <c r="E472" s="5">
        <v>35.39</v>
      </c>
      <c r="F472" s="6">
        <v>20484290</v>
      </c>
    </row>
    <row r="473" spans="1:6" x14ac:dyDescent="0.2">
      <c r="A473" s="4">
        <v>45154</v>
      </c>
      <c r="B473" s="5">
        <v>35.14</v>
      </c>
      <c r="C473" s="5">
        <v>35.65</v>
      </c>
      <c r="D473" s="5">
        <v>34.994999999999997</v>
      </c>
      <c r="E473" s="5">
        <v>35.479999999999997</v>
      </c>
      <c r="F473" s="6">
        <v>22215610</v>
      </c>
    </row>
    <row r="474" spans="1:6" x14ac:dyDescent="0.2">
      <c r="A474" s="4">
        <v>45155</v>
      </c>
      <c r="B474" s="5">
        <v>35.6</v>
      </c>
      <c r="C474" s="5">
        <v>36.72</v>
      </c>
      <c r="D474" s="5">
        <v>35.590000000000003</v>
      </c>
      <c r="E474" s="5">
        <v>36.51</v>
      </c>
      <c r="F474" s="6">
        <v>31113550</v>
      </c>
    </row>
    <row r="475" spans="1:6" x14ac:dyDescent="0.2">
      <c r="A475" s="4">
        <v>45156</v>
      </c>
      <c r="B475" s="5">
        <v>36.450000000000003</v>
      </c>
      <c r="C475" s="5">
        <v>36.85</v>
      </c>
      <c r="D475" s="5">
        <v>36.32</v>
      </c>
      <c r="E475" s="5">
        <v>36.659999999999997</v>
      </c>
      <c r="F475" s="6">
        <v>24145120</v>
      </c>
    </row>
    <row r="476" spans="1:6" x14ac:dyDescent="0.2">
      <c r="A476" s="4">
        <v>45159</v>
      </c>
      <c r="B476" s="5">
        <v>36.71</v>
      </c>
      <c r="C476" s="5">
        <v>37.186</v>
      </c>
      <c r="D476" s="5">
        <v>36.64</v>
      </c>
      <c r="E476" s="5">
        <v>37.01</v>
      </c>
      <c r="F476" s="6">
        <v>28496540</v>
      </c>
    </row>
    <row r="477" spans="1:6" x14ac:dyDescent="0.2">
      <c r="A477" s="4">
        <v>45160</v>
      </c>
      <c r="B477" s="5">
        <v>37.01</v>
      </c>
      <c r="C477" s="5">
        <v>37.15</v>
      </c>
      <c r="D477" s="5">
        <v>35.723500000000001</v>
      </c>
      <c r="E477" s="5">
        <v>36.840000000000003</v>
      </c>
      <c r="F477" s="6">
        <v>18536900</v>
      </c>
    </row>
    <row r="478" spans="1:6" x14ac:dyDescent="0.2">
      <c r="A478" s="4">
        <v>45161</v>
      </c>
      <c r="B478" s="5">
        <v>37.090000000000003</v>
      </c>
      <c r="C478" s="5">
        <v>37.130000000000003</v>
      </c>
      <c r="D478" s="5">
        <v>36.56</v>
      </c>
      <c r="E478" s="5">
        <v>36.659999999999997</v>
      </c>
      <c r="F478" s="6">
        <v>19370900</v>
      </c>
    </row>
    <row r="479" spans="1:6" x14ac:dyDescent="0.2">
      <c r="A479" s="4">
        <v>45162</v>
      </c>
      <c r="B479" s="5">
        <v>36.475000000000001</v>
      </c>
      <c r="C479" s="5">
        <v>36.64</v>
      </c>
      <c r="D479" s="5">
        <v>36.06</v>
      </c>
      <c r="E479" s="5">
        <v>36.159999999999997</v>
      </c>
      <c r="F479" s="6">
        <v>19380830</v>
      </c>
    </row>
    <row r="480" spans="1:6" x14ac:dyDescent="0.2">
      <c r="A480" s="4">
        <v>45163</v>
      </c>
      <c r="B480" s="5">
        <v>36.14</v>
      </c>
      <c r="C480" s="5">
        <v>36.69</v>
      </c>
      <c r="D480" s="5">
        <v>35.96</v>
      </c>
      <c r="E480" s="5">
        <v>36.380000000000003</v>
      </c>
      <c r="F480" s="6">
        <v>16421290</v>
      </c>
    </row>
    <row r="481" spans="1:6" x14ac:dyDescent="0.2">
      <c r="A481" s="4">
        <v>45166</v>
      </c>
      <c r="B481" s="5">
        <v>36.44</v>
      </c>
      <c r="C481" s="5">
        <v>36.520000000000003</v>
      </c>
      <c r="D481" s="5">
        <v>36.03</v>
      </c>
      <c r="E481" s="5">
        <v>36.21</v>
      </c>
      <c r="F481" s="6">
        <v>15101950</v>
      </c>
    </row>
    <row r="482" spans="1:6" x14ac:dyDescent="0.2">
      <c r="A482" s="4">
        <v>45167</v>
      </c>
      <c r="B482" s="5">
        <v>36.26</v>
      </c>
      <c r="C482" s="5">
        <v>36.94</v>
      </c>
      <c r="D482" s="5">
        <v>36</v>
      </c>
      <c r="E482" s="5">
        <v>36.15</v>
      </c>
      <c r="F482" s="6">
        <v>21076490</v>
      </c>
    </row>
    <row r="483" spans="1:6" x14ac:dyDescent="0.2">
      <c r="A483" s="4">
        <v>45168</v>
      </c>
      <c r="B483" s="5">
        <v>36.18</v>
      </c>
      <c r="C483" s="5">
        <v>36.25</v>
      </c>
      <c r="D483" s="5">
        <v>35.82</v>
      </c>
      <c r="E483" s="5">
        <v>35.9</v>
      </c>
      <c r="F483" s="6">
        <v>16833020</v>
      </c>
    </row>
    <row r="484" spans="1:6" x14ac:dyDescent="0.2">
      <c r="A484" s="4">
        <v>45169</v>
      </c>
      <c r="B484" s="5">
        <v>35.94</v>
      </c>
      <c r="C484" s="5">
        <v>35.99</v>
      </c>
      <c r="D484" s="5">
        <v>35.380000000000003</v>
      </c>
      <c r="E484" s="5">
        <v>35.380000000000003</v>
      </c>
      <c r="F484" s="6">
        <v>27919460</v>
      </c>
    </row>
    <row r="485" spans="1:6" x14ac:dyDescent="0.2">
      <c r="A485" s="4">
        <v>45170</v>
      </c>
      <c r="B485" s="5">
        <v>35.64</v>
      </c>
      <c r="C485" s="5">
        <v>36.06</v>
      </c>
      <c r="D485" s="5">
        <v>35.6</v>
      </c>
      <c r="E485" s="5">
        <v>35.78</v>
      </c>
      <c r="F485" s="6">
        <v>17522540</v>
      </c>
    </row>
    <row r="486" spans="1:6" x14ac:dyDescent="0.2">
      <c r="A486" s="4">
        <v>45174</v>
      </c>
      <c r="B486" s="5">
        <v>35.96</v>
      </c>
      <c r="C486" s="5">
        <v>36.29</v>
      </c>
      <c r="D486" s="5">
        <v>35.35</v>
      </c>
      <c r="E486" s="5">
        <v>35.380000000000003</v>
      </c>
      <c r="F486" s="6">
        <v>25856120</v>
      </c>
    </row>
    <row r="487" spans="1:6" x14ac:dyDescent="0.2">
      <c r="A487" s="4">
        <v>45175</v>
      </c>
      <c r="B487" s="5">
        <v>35.26</v>
      </c>
      <c r="C487" s="5">
        <v>35.28</v>
      </c>
      <c r="D487" s="5">
        <v>34.26</v>
      </c>
      <c r="E487" s="5">
        <v>34.369999999999997</v>
      </c>
      <c r="F487" s="6">
        <v>35370150</v>
      </c>
    </row>
    <row r="488" spans="1:6" x14ac:dyDescent="0.2">
      <c r="A488" s="4">
        <v>45176</v>
      </c>
      <c r="B488" s="5">
        <v>34.47</v>
      </c>
      <c r="C488" s="5">
        <v>34.64</v>
      </c>
      <c r="D488" s="5">
        <v>34.04</v>
      </c>
      <c r="E488" s="5">
        <v>34.28</v>
      </c>
      <c r="F488" s="6">
        <v>26777740</v>
      </c>
    </row>
    <row r="489" spans="1:6" x14ac:dyDescent="0.2">
      <c r="A489" s="4">
        <v>45177</v>
      </c>
      <c r="B489" s="5">
        <v>34.229999999999997</v>
      </c>
      <c r="C489" s="5">
        <v>34.39</v>
      </c>
      <c r="D489" s="5">
        <v>34.049999999999997</v>
      </c>
      <c r="E489" s="5">
        <v>34.25</v>
      </c>
      <c r="F489" s="6">
        <v>19483290</v>
      </c>
    </row>
    <row r="490" spans="1:6" x14ac:dyDescent="0.2">
      <c r="A490" s="4">
        <v>45180</v>
      </c>
      <c r="B490" s="5">
        <v>34.24</v>
      </c>
      <c r="C490" s="5">
        <v>34.299999999999997</v>
      </c>
      <c r="D490" s="5">
        <v>33.54</v>
      </c>
      <c r="E490" s="5">
        <v>33.94</v>
      </c>
      <c r="F490" s="6">
        <v>27574390</v>
      </c>
    </row>
    <row r="491" spans="1:6" x14ac:dyDescent="0.2">
      <c r="A491" s="4">
        <v>45181</v>
      </c>
      <c r="B491" s="5">
        <v>33.97</v>
      </c>
      <c r="C491" s="5">
        <v>34.21</v>
      </c>
      <c r="D491" s="5">
        <v>33.75</v>
      </c>
      <c r="E491" s="5">
        <v>34.15</v>
      </c>
      <c r="F491" s="6">
        <v>17987160</v>
      </c>
    </row>
    <row r="492" spans="1:6" x14ac:dyDescent="0.2">
      <c r="A492" s="4">
        <v>45182</v>
      </c>
      <c r="B492" s="5">
        <v>34.21</v>
      </c>
      <c r="C492" s="5">
        <v>34.619999999999997</v>
      </c>
      <c r="D492" s="5">
        <v>34</v>
      </c>
      <c r="E492" s="5">
        <v>34.08</v>
      </c>
      <c r="F492" s="6">
        <v>23853310</v>
      </c>
    </row>
    <row r="493" spans="1:6" x14ac:dyDescent="0.2">
      <c r="A493" s="4">
        <v>45183</v>
      </c>
      <c r="B493" s="5">
        <v>34.24</v>
      </c>
      <c r="C493" s="5">
        <v>34.380000000000003</v>
      </c>
      <c r="D493" s="5">
        <v>33.979999999999997</v>
      </c>
      <c r="E493" s="5">
        <v>34.15</v>
      </c>
      <c r="F493" s="6">
        <v>23759870</v>
      </c>
    </row>
    <row r="494" spans="1:6" x14ac:dyDescent="0.2">
      <c r="A494" s="4">
        <v>45184</v>
      </c>
      <c r="B494" s="5">
        <v>34.06</v>
      </c>
      <c r="C494" s="5">
        <v>34.414999999999999</v>
      </c>
      <c r="D494" s="5">
        <v>33.81</v>
      </c>
      <c r="E494" s="5">
        <v>34.07</v>
      </c>
      <c r="F494" s="6">
        <v>58063840</v>
      </c>
    </row>
    <row r="495" spans="1:6" x14ac:dyDescent="0.2">
      <c r="A495" s="4">
        <v>45187</v>
      </c>
      <c r="B495" s="5">
        <v>34.119999999999997</v>
      </c>
      <c r="C495" s="5">
        <v>34.119999999999997</v>
      </c>
      <c r="D495" s="5">
        <v>33.44</v>
      </c>
      <c r="E495" s="5">
        <v>33.64</v>
      </c>
      <c r="F495" s="6">
        <v>25421950</v>
      </c>
    </row>
    <row r="496" spans="1:6" x14ac:dyDescent="0.2">
      <c r="A496" s="4">
        <v>45188</v>
      </c>
      <c r="B496" s="5">
        <v>33.549999999999997</v>
      </c>
      <c r="C496" s="5">
        <v>34.01</v>
      </c>
      <c r="D496" s="5">
        <v>33.515000000000001</v>
      </c>
      <c r="E496" s="5">
        <v>33.99</v>
      </c>
      <c r="F496" s="6">
        <v>30323330</v>
      </c>
    </row>
    <row r="497" spans="1:6" x14ac:dyDescent="0.2">
      <c r="A497" s="4">
        <v>45189</v>
      </c>
      <c r="B497" s="5">
        <v>34.08</v>
      </c>
      <c r="C497" s="5">
        <v>34.090000000000003</v>
      </c>
      <c r="D497" s="5">
        <v>33.549999999999997</v>
      </c>
      <c r="E497" s="5">
        <v>33.619999999999997</v>
      </c>
      <c r="F497" s="6">
        <v>24651410</v>
      </c>
    </row>
    <row r="498" spans="1:6" x14ac:dyDescent="0.2">
      <c r="A498" s="4">
        <v>45190</v>
      </c>
      <c r="B498" s="5">
        <v>33.47</v>
      </c>
      <c r="C498" s="5">
        <v>33.590000000000003</v>
      </c>
      <c r="D498" s="5">
        <v>32.83</v>
      </c>
      <c r="E498" s="5">
        <v>32.85</v>
      </c>
      <c r="F498" s="6">
        <v>26988900</v>
      </c>
    </row>
    <row r="499" spans="1:6" x14ac:dyDescent="0.2">
      <c r="A499" s="4">
        <v>45191</v>
      </c>
      <c r="B499" s="5">
        <v>33.08</v>
      </c>
      <c r="C499" s="5">
        <v>33.090000000000003</v>
      </c>
      <c r="D499" s="5">
        <v>32.5</v>
      </c>
      <c r="E499" s="5">
        <v>32.69</v>
      </c>
      <c r="F499" s="6">
        <v>28570750</v>
      </c>
    </row>
    <row r="500" spans="1:6" x14ac:dyDescent="0.2">
      <c r="A500" s="4">
        <v>45194</v>
      </c>
      <c r="B500" s="5">
        <v>32.69</v>
      </c>
      <c r="C500" s="5">
        <v>32.979999999999997</v>
      </c>
      <c r="D500" s="5">
        <v>32.4101</v>
      </c>
      <c r="E500" s="5">
        <v>32.979999999999997</v>
      </c>
      <c r="F500" s="6">
        <v>19443660</v>
      </c>
    </row>
    <row r="501" spans="1:6" x14ac:dyDescent="0.2">
      <c r="A501" s="4">
        <v>45195</v>
      </c>
      <c r="B501" s="5">
        <v>32.72</v>
      </c>
      <c r="C501" s="5">
        <v>32.96</v>
      </c>
      <c r="D501" s="5">
        <v>32.36</v>
      </c>
      <c r="E501" s="5">
        <v>32.4</v>
      </c>
      <c r="F501" s="6">
        <v>26015470</v>
      </c>
    </row>
    <row r="502" spans="1:6" x14ac:dyDescent="0.2">
      <c r="A502" s="4">
        <v>45196</v>
      </c>
      <c r="B502" s="5">
        <v>32.43</v>
      </c>
      <c r="C502" s="5">
        <v>32.5</v>
      </c>
      <c r="D502" s="5">
        <v>31.9</v>
      </c>
      <c r="E502" s="5">
        <v>32.1</v>
      </c>
      <c r="F502" s="6">
        <v>26430110</v>
      </c>
    </row>
    <row r="503" spans="1:6" x14ac:dyDescent="0.2">
      <c r="A503" s="4">
        <v>45197</v>
      </c>
      <c r="B503" s="5">
        <v>32.06</v>
      </c>
      <c r="C503" s="5">
        <v>32.32</v>
      </c>
      <c r="D503" s="5">
        <v>31.7744</v>
      </c>
      <c r="E503" s="5">
        <v>32.090000000000003</v>
      </c>
      <c r="F503" s="6">
        <v>28197590</v>
      </c>
    </row>
    <row r="504" spans="1:6" x14ac:dyDescent="0.2">
      <c r="A504" s="4">
        <v>45198</v>
      </c>
      <c r="B504" s="5">
        <v>32.35</v>
      </c>
      <c r="C504" s="5">
        <v>33.229999999999997</v>
      </c>
      <c r="D504" s="5">
        <v>32.299999999999997</v>
      </c>
      <c r="E504" s="5">
        <v>33.17</v>
      </c>
      <c r="F504" s="6">
        <v>42421450</v>
      </c>
    </row>
    <row r="505" spans="1:6" x14ac:dyDescent="0.2">
      <c r="A505" s="4">
        <v>45201</v>
      </c>
      <c r="B505" s="5">
        <v>32.950000000000003</v>
      </c>
      <c r="C505" s="5">
        <v>33.954999999999998</v>
      </c>
      <c r="D505" s="5">
        <v>32.76</v>
      </c>
      <c r="E505" s="5">
        <v>33.94</v>
      </c>
      <c r="F505" s="6">
        <v>44620600</v>
      </c>
    </row>
    <row r="506" spans="1:6" x14ac:dyDescent="0.2">
      <c r="A506" s="4">
        <v>45202</v>
      </c>
      <c r="B506" s="5">
        <v>33.840000000000003</v>
      </c>
      <c r="C506" s="5">
        <v>34.11</v>
      </c>
      <c r="D506" s="5">
        <v>33.71</v>
      </c>
      <c r="E506" s="5">
        <v>33.9</v>
      </c>
      <c r="F506" s="6">
        <v>31059920</v>
      </c>
    </row>
    <row r="507" spans="1:6" x14ac:dyDescent="0.2">
      <c r="A507" s="4">
        <v>45203</v>
      </c>
      <c r="B507" s="5">
        <v>33.94</v>
      </c>
      <c r="C507" s="5">
        <v>34.079900000000002</v>
      </c>
      <c r="D507" s="5">
        <v>33.005000000000003</v>
      </c>
      <c r="E507" s="5">
        <v>33.31</v>
      </c>
      <c r="F507" s="6">
        <v>23722340</v>
      </c>
    </row>
    <row r="508" spans="1:6" x14ac:dyDescent="0.2">
      <c r="A508" s="4">
        <v>45204</v>
      </c>
      <c r="B508" s="5">
        <v>33.450000000000003</v>
      </c>
      <c r="C508" s="5">
        <v>33.78</v>
      </c>
      <c r="D508" s="5">
        <v>33.045000000000002</v>
      </c>
      <c r="E508" s="5">
        <v>33.47</v>
      </c>
      <c r="F508" s="6">
        <v>21279410</v>
      </c>
    </row>
    <row r="509" spans="1:6" x14ac:dyDescent="0.2">
      <c r="A509" s="4">
        <v>45205</v>
      </c>
      <c r="B509" s="5">
        <v>33.515000000000001</v>
      </c>
      <c r="C509" s="5">
        <v>33.56</v>
      </c>
      <c r="D509" s="5">
        <v>33.072099999999999</v>
      </c>
      <c r="E509" s="5">
        <v>33.130000000000003</v>
      </c>
      <c r="F509" s="6">
        <v>23760440</v>
      </c>
    </row>
    <row r="510" spans="1:6" x14ac:dyDescent="0.2">
      <c r="A510" s="4">
        <v>45208</v>
      </c>
      <c r="B510" s="5">
        <v>33.06</v>
      </c>
      <c r="C510" s="5">
        <v>33.47</v>
      </c>
      <c r="D510" s="5">
        <v>32.770000000000003</v>
      </c>
      <c r="E510" s="5">
        <v>33.200000000000003</v>
      </c>
      <c r="F510" s="6">
        <v>17468110</v>
      </c>
    </row>
    <row r="511" spans="1:6" x14ac:dyDescent="0.2">
      <c r="A511" s="4">
        <v>45209</v>
      </c>
      <c r="B511" s="5">
        <v>33.08</v>
      </c>
      <c r="C511" s="5">
        <v>33.4</v>
      </c>
      <c r="D511" s="5">
        <v>33.01</v>
      </c>
      <c r="E511" s="5">
        <v>33.17</v>
      </c>
      <c r="F511" s="6">
        <v>19212100</v>
      </c>
    </row>
    <row r="512" spans="1:6" x14ac:dyDescent="0.2">
      <c r="A512" s="4">
        <v>45210</v>
      </c>
      <c r="B512" s="5">
        <v>33.24</v>
      </c>
      <c r="C512" s="5">
        <v>33.33</v>
      </c>
      <c r="D512" s="5">
        <v>32.82</v>
      </c>
      <c r="E512" s="5">
        <v>33.11</v>
      </c>
      <c r="F512" s="6">
        <v>24221180</v>
      </c>
    </row>
    <row r="513" spans="1:6" x14ac:dyDescent="0.2">
      <c r="A513" s="4">
        <v>45211</v>
      </c>
      <c r="B513" s="5">
        <v>33.11</v>
      </c>
      <c r="C513" s="5">
        <v>33.22</v>
      </c>
      <c r="D513" s="5">
        <v>32.770000000000003</v>
      </c>
      <c r="E513" s="5">
        <v>32.92</v>
      </c>
      <c r="F513" s="6">
        <v>21809860</v>
      </c>
    </row>
    <row r="514" spans="1:6" x14ac:dyDescent="0.2">
      <c r="A514" s="4">
        <v>45212</v>
      </c>
      <c r="B514" s="5">
        <v>32.94</v>
      </c>
      <c r="C514" s="5">
        <v>32.99</v>
      </c>
      <c r="D514" s="5">
        <v>32.015000000000001</v>
      </c>
      <c r="E514" s="5">
        <v>32.11</v>
      </c>
      <c r="F514" s="6">
        <v>32675090</v>
      </c>
    </row>
    <row r="515" spans="1:6" x14ac:dyDescent="0.2">
      <c r="A515" s="4">
        <v>45215</v>
      </c>
      <c r="B515" s="5">
        <v>32.83</v>
      </c>
      <c r="C515" s="5">
        <v>33.92</v>
      </c>
      <c r="D515" s="5">
        <v>32.56</v>
      </c>
      <c r="E515" s="5">
        <v>33.270000000000003</v>
      </c>
      <c r="F515" s="6">
        <v>63317430</v>
      </c>
    </row>
    <row r="516" spans="1:6" x14ac:dyDescent="0.2">
      <c r="A516" s="4">
        <v>45216</v>
      </c>
      <c r="B516" s="5">
        <v>33</v>
      </c>
      <c r="C516" s="5">
        <v>33.19</v>
      </c>
      <c r="D516" s="5">
        <v>32.200000000000003</v>
      </c>
      <c r="E516" s="5">
        <v>32.75</v>
      </c>
      <c r="F516" s="6">
        <v>40015850</v>
      </c>
    </row>
    <row r="517" spans="1:6" x14ac:dyDescent="0.2">
      <c r="A517" s="4">
        <v>45217</v>
      </c>
      <c r="B517" s="5">
        <v>32.54</v>
      </c>
      <c r="C517" s="5">
        <v>32.68</v>
      </c>
      <c r="D517" s="5">
        <v>31.385000000000002</v>
      </c>
      <c r="E517" s="5">
        <v>31.41</v>
      </c>
      <c r="F517" s="6">
        <v>30307590</v>
      </c>
    </row>
    <row r="518" spans="1:6" x14ac:dyDescent="0.2">
      <c r="A518" s="4">
        <v>45218</v>
      </c>
      <c r="B518" s="5">
        <v>31.38</v>
      </c>
      <c r="C518" s="5">
        <v>31.495000000000001</v>
      </c>
      <c r="D518" s="5">
        <v>30.91</v>
      </c>
      <c r="E518" s="5">
        <v>31.19</v>
      </c>
      <c r="F518" s="6">
        <v>26880290</v>
      </c>
    </row>
    <row r="519" spans="1:6" x14ac:dyDescent="0.2">
      <c r="A519" s="4">
        <v>45219</v>
      </c>
      <c r="B519" s="5">
        <v>31.06</v>
      </c>
      <c r="C519" s="5">
        <v>31.11</v>
      </c>
      <c r="D519" s="5">
        <v>30.475000000000001</v>
      </c>
      <c r="E519" s="5">
        <v>30.65</v>
      </c>
      <c r="F519" s="6">
        <v>39407900</v>
      </c>
    </row>
    <row r="520" spans="1:6" x14ac:dyDescent="0.2">
      <c r="A520" s="4">
        <v>45222</v>
      </c>
      <c r="B520" s="5">
        <v>30.77</v>
      </c>
      <c r="C520" s="5">
        <v>31.39</v>
      </c>
      <c r="D520" s="5">
        <v>30.53</v>
      </c>
      <c r="E520" s="5">
        <v>30.84</v>
      </c>
      <c r="F520" s="6">
        <v>29412070</v>
      </c>
    </row>
    <row r="521" spans="1:6" x14ac:dyDescent="0.2">
      <c r="A521" s="4">
        <v>45223</v>
      </c>
      <c r="B521" s="5">
        <v>30.88</v>
      </c>
      <c r="C521" s="5">
        <v>31.03</v>
      </c>
      <c r="D521" s="5">
        <v>30.32</v>
      </c>
      <c r="E521" s="5">
        <v>30.43</v>
      </c>
      <c r="F521" s="6">
        <v>26923790</v>
      </c>
    </row>
    <row r="522" spans="1:6" x14ac:dyDescent="0.2">
      <c r="A522" s="4">
        <v>45224</v>
      </c>
      <c r="B522" s="5">
        <v>30.46</v>
      </c>
      <c r="C522" s="5">
        <v>31</v>
      </c>
      <c r="D522" s="5">
        <v>30.22</v>
      </c>
      <c r="E522" s="5">
        <v>30.73</v>
      </c>
      <c r="F522" s="6">
        <v>28857900</v>
      </c>
    </row>
    <row r="523" spans="1:6" x14ac:dyDescent="0.2">
      <c r="A523" s="4">
        <v>45225</v>
      </c>
      <c r="B523" s="5">
        <v>30.61</v>
      </c>
      <c r="C523" s="5">
        <v>31.37</v>
      </c>
      <c r="D523" s="5">
        <v>30.5</v>
      </c>
      <c r="E523" s="5">
        <v>31.16</v>
      </c>
      <c r="F523" s="6">
        <v>27162700</v>
      </c>
    </row>
    <row r="524" spans="1:6" x14ac:dyDescent="0.2">
      <c r="A524" s="4">
        <v>45226</v>
      </c>
      <c r="B524" s="5">
        <v>31.06</v>
      </c>
      <c r="C524" s="5">
        <v>31.13</v>
      </c>
      <c r="D524" s="5">
        <v>30.02</v>
      </c>
      <c r="E524" s="5">
        <v>30.11</v>
      </c>
      <c r="F524" s="6">
        <v>33877110</v>
      </c>
    </row>
    <row r="525" spans="1:6" x14ac:dyDescent="0.2">
      <c r="A525" s="4">
        <v>45229</v>
      </c>
      <c r="B525" s="5">
        <v>30.24</v>
      </c>
      <c r="C525" s="5">
        <v>30.68</v>
      </c>
      <c r="D525" s="5">
        <v>30.11</v>
      </c>
      <c r="E525" s="5">
        <v>30.55</v>
      </c>
      <c r="F525" s="6">
        <v>33063530</v>
      </c>
    </row>
    <row r="526" spans="1:6" x14ac:dyDescent="0.2">
      <c r="A526" s="4">
        <v>45230</v>
      </c>
      <c r="B526" s="5">
        <v>30.285</v>
      </c>
      <c r="C526" s="5">
        <v>30.82</v>
      </c>
      <c r="D526" s="5">
        <v>29.7</v>
      </c>
      <c r="E526" s="5">
        <v>30.56</v>
      </c>
      <c r="F526" s="6">
        <v>42648190</v>
      </c>
    </row>
    <row r="527" spans="1:6" x14ac:dyDescent="0.2">
      <c r="A527" s="4">
        <v>45231</v>
      </c>
      <c r="B527" s="5">
        <v>30.56</v>
      </c>
      <c r="C527" s="5">
        <v>31.074999999999999</v>
      </c>
      <c r="D527" s="5">
        <v>30.47</v>
      </c>
      <c r="E527" s="5">
        <v>30.51</v>
      </c>
      <c r="F527" s="6">
        <v>23568310</v>
      </c>
    </row>
    <row r="528" spans="1:6" x14ac:dyDescent="0.2">
      <c r="A528" s="4">
        <v>45232</v>
      </c>
      <c r="B528" s="5">
        <v>30.51</v>
      </c>
      <c r="C528" s="5">
        <v>30.65</v>
      </c>
      <c r="D528" s="5">
        <v>30.21</v>
      </c>
      <c r="E528" s="5">
        <v>30.5</v>
      </c>
      <c r="F528" s="6">
        <v>29640890</v>
      </c>
    </row>
    <row r="529" spans="1:6" x14ac:dyDescent="0.2">
      <c r="A529" s="4">
        <v>45233</v>
      </c>
      <c r="B529" s="5">
        <v>30.9</v>
      </c>
      <c r="C529" s="5">
        <v>31.39</v>
      </c>
      <c r="D529" s="5">
        <v>30.835000000000001</v>
      </c>
      <c r="E529" s="5">
        <v>31.26</v>
      </c>
      <c r="F529" s="6">
        <v>28071020</v>
      </c>
    </row>
    <row r="530" spans="1:6" x14ac:dyDescent="0.2">
      <c r="A530" s="4">
        <v>45236</v>
      </c>
      <c r="B530" s="5">
        <v>31.32</v>
      </c>
      <c r="C530" s="5">
        <v>31.41</v>
      </c>
      <c r="D530" s="5">
        <v>30.954999999999998</v>
      </c>
      <c r="E530" s="5">
        <v>31.18</v>
      </c>
      <c r="F530" s="6">
        <v>27381160</v>
      </c>
    </row>
    <row r="531" spans="1:6" x14ac:dyDescent="0.2">
      <c r="A531" s="4">
        <v>45237</v>
      </c>
      <c r="B531" s="5">
        <v>31.08</v>
      </c>
      <c r="C531" s="5">
        <v>31.385000000000002</v>
      </c>
      <c r="D531" s="5">
        <v>30.89</v>
      </c>
      <c r="E531" s="5">
        <v>31.25</v>
      </c>
      <c r="F531" s="6">
        <v>18086420</v>
      </c>
    </row>
    <row r="532" spans="1:6" x14ac:dyDescent="0.2">
      <c r="A532" s="4">
        <v>45238</v>
      </c>
      <c r="B532" s="5">
        <v>30.92</v>
      </c>
      <c r="C532" s="5">
        <v>31.3</v>
      </c>
      <c r="D532" s="5">
        <v>30.55</v>
      </c>
      <c r="E532" s="5">
        <v>30.82</v>
      </c>
      <c r="F532" s="6">
        <v>29398350</v>
      </c>
    </row>
    <row r="533" spans="1:6" x14ac:dyDescent="0.2">
      <c r="A533" s="4">
        <v>45239</v>
      </c>
      <c r="B533" s="5">
        <v>30.49</v>
      </c>
      <c r="C533" s="5">
        <v>30.504999999999999</v>
      </c>
      <c r="D533" s="5">
        <v>29.63</v>
      </c>
      <c r="E533" s="5">
        <v>29.68</v>
      </c>
      <c r="F533" s="6">
        <v>28737700</v>
      </c>
    </row>
    <row r="534" spans="1:6" x14ac:dyDescent="0.2">
      <c r="A534" s="4">
        <v>45240</v>
      </c>
      <c r="B534" s="5">
        <v>29.75</v>
      </c>
      <c r="C534" s="5">
        <v>29.815000000000001</v>
      </c>
      <c r="D534" s="5">
        <v>29.024999999999999</v>
      </c>
      <c r="E534" s="5">
        <v>29.48</v>
      </c>
      <c r="F534" s="6">
        <v>33860230</v>
      </c>
    </row>
    <row r="535" spans="1:6" x14ac:dyDescent="0.2">
      <c r="A535" s="4">
        <v>45243</v>
      </c>
      <c r="B535" s="5">
        <v>29.34</v>
      </c>
      <c r="C535" s="5">
        <v>29.36</v>
      </c>
      <c r="D535" s="5">
        <v>28.93</v>
      </c>
      <c r="E535" s="5">
        <v>28.98</v>
      </c>
      <c r="F535" s="6">
        <v>35519910</v>
      </c>
    </row>
    <row r="536" spans="1:6" x14ac:dyDescent="0.2">
      <c r="A536" s="4">
        <v>45244</v>
      </c>
      <c r="B536" s="5">
        <v>29.09</v>
      </c>
      <c r="C536" s="5">
        <v>29.71</v>
      </c>
      <c r="D536" s="5">
        <v>28.99</v>
      </c>
      <c r="E536" s="5">
        <v>29.26</v>
      </c>
      <c r="F536" s="6">
        <v>40084330</v>
      </c>
    </row>
    <row r="537" spans="1:6" x14ac:dyDescent="0.2">
      <c r="A537" s="4">
        <v>45245</v>
      </c>
      <c r="B537" s="5">
        <v>29.21</v>
      </c>
      <c r="C537" s="5">
        <v>30.35</v>
      </c>
      <c r="D537" s="5">
        <v>29.21</v>
      </c>
      <c r="E537" s="5">
        <v>30.19</v>
      </c>
      <c r="F537" s="6">
        <v>43614640</v>
      </c>
    </row>
    <row r="538" spans="1:6" x14ac:dyDescent="0.2">
      <c r="A538" s="4">
        <v>45246</v>
      </c>
      <c r="B538" s="5">
        <v>30.27</v>
      </c>
      <c r="C538" s="5">
        <v>30.45</v>
      </c>
      <c r="D538" s="5">
        <v>29.47</v>
      </c>
      <c r="E538" s="5">
        <v>29.77</v>
      </c>
      <c r="F538" s="6">
        <v>32407190</v>
      </c>
    </row>
    <row r="539" spans="1:6" x14ac:dyDescent="0.2">
      <c r="A539" s="4">
        <v>45247</v>
      </c>
      <c r="B539" s="5">
        <v>29.92</v>
      </c>
      <c r="C539" s="5">
        <v>30.008900000000001</v>
      </c>
      <c r="D539" s="5">
        <v>29.74</v>
      </c>
      <c r="E539" s="5">
        <v>29.92</v>
      </c>
      <c r="F539" s="6">
        <v>27082360</v>
      </c>
    </row>
    <row r="540" spans="1:6" x14ac:dyDescent="0.2">
      <c r="A540" s="4">
        <v>45250</v>
      </c>
      <c r="B540" s="5">
        <v>29.9</v>
      </c>
      <c r="C540" s="5">
        <v>30.14</v>
      </c>
      <c r="D540" s="5">
        <v>29.76</v>
      </c>
      <c r="E540" s="5">
        <v>29.98</v>
      </c>
      <c r="F540" s="6">
        <v>26346190</v>
      </c>
    </row>
    <row r="541" spans="1:6" x14ac:dyDescent="0.2">
      <c r="A541" s="4">
        <v>45251</v>
      </c>
      <c r="B541" s="5">
        <v>30.02</v>
      </c>
      <c r="C541" s="5">
        <v>30.36</v>
      </c>
      <c r="D541" s="5">
        <v>29.76</v>
      </c>
      <c r="E541" s="5">
        <v>30.3</v>
      </c>
      <c r="F541" s="6">
        <v>25988740</v>
      </c>
    </row>
    <row r="542" spans="1:6" x14ac:dyDescent="0.2">
      <c r="A542" s="4">
        <v>45252</v>
      </c>
      <c r="B542" s="5">
        <v>30.39</v>
      </c>
      <c r="C542" s="5">
        <v>30.576899999999998</v>
      </c>
      <c r="D542" s="5">
        <v>30.14</v>
      </c>
      <c r="E542" s="5">
        <v>30.32</v>
      </c>
      <c r="F542" s="6">
        <v>19230180</v>
      </c>
    </row>
    <row r="543" spans="1:6" x14ac:dyDescent="0.2">
      <c r="A543" s="4">
        <v>45254</v>
      </c>
      <c r="B543" s="5">
        <v>30.38</v>
      </c>
      <c r="C543" s="5">
        <v>30.7</v>
      </c>
      <c r="D543" s="5">
        <v>30.38</v>
      </c>
      <c r="E543" s="5">
        <v>30.5</v>
      </c>
      <c r="F543" s="6">
        <v>11129740</v>
      </c>
    </row>
    <row r="544" spans="1:6" x14ac:dyDescent="0.2">
      <c r="A544" s="4">
        <v>45257</v>
      </c>
      <c r="B544" s="5">
        <v>30.75</v>
      </c>
      <c r="C544" s="5">
        <v>30.75</v>
      </c>
      <c r="D544" s="5">
        <v>30.03</v>
      </c>
      <c r="E544" s="5">
        <v>30.14</v>
      </c>
      <c r="F544" s="6">
        <v>26066750</v>
      </c>
    </row>
    <row r="545" spans="1:6" x14ac:dyDescent="0.2">
      <c r="A545" s="4">
        <v>45258</v>
      </c>
      <c r="B545" s="5">
        <v>30.11</v>
      </c>
      <c r="C545" s="5">
        <v>30.11</v>
      </c>
      <c r="D545" s="5">
        <v>29.635000000000002</v>
      </c>
      <c r="E545" s="5">
        <v>29.69</v>
      </c>
      <c r="F545" s="6">
        <v>29497710</v>
      </c>
    </row>
    <row r="546" spans="1:6" x14ac:dyDescent="0.2">
      <c r="A546" s="4">
        <v>45259</v>
      </c>
      <c r="B546" s="5">
        <v>29.77</v>
      </c>
      <c r="C546" s="5">
        <v>30.22</v>
      </c>
      <c r="D546" s="5">
        <v>29.725000000000001</v>
      </c>
      <c r="E546" s="5">
        <v>30.08</v>
      </c>
      <c r="F546" s="6">
        <v>26185160</v>
      </c>
    </row>
    <row r="547" spans="1:6" x14ac:dyDescent="0.2">
      <c r="A547" s="4">
        <v>45260</v>
      </c>
      <c r="B547" s="5">
        <v>30.31</v>
      </c>
      <c r="C547" s="5">
        <v>30.51</v>
      </c>
      <c r="D547" s="5">
        <v>29.96</v>
      </c>
      <c r="E547" s="5">
        <v>30.47</v>
      </c>
      <c r="F547" s="6">
        <v>45356590</v>
      </c>
    </row>
    <row r="548" spans="1:6" x14ac:dyDescent="0.2">
      <c r="A548" s="4">
        <v>45261</v>
      </c>
      <c r="B548" s="5">
        <v>28.97</v>
      </c>
      <c r="C548" s="5">
        <v>29.4</v>
      </c>
      <c r="D548" s="5">
        <v>28.3</v>
      </c>
      <c r="E548" s="5">
        <v>28.91</v>
      </c>
      <c r="F548" s="6">
        <v>103624000</v>
      </c>
    </row>
    <row r="549" spans="1:6" x14ac:dyDescent="0.2">
      <c r="A549" s="4">
        <v>45264</v>
      </c>
      <c r="B549" s="5">
        <v>29.02</v>
      </c>
      <c r="C549" s="5">
        <v>29.64</v>
      </c>
      <c r="D549" s="5">
        <v>29.02</v>
      </c>
      <c r="E549" s="5">
        <v>29.28</v>
      </c>
      <c r="F549" s="6">
        <v>47410450</v>
      </c>
    </row>
    <row r="550" spans="1:6" x14ac:dyDescent="0.2">
      <c r="A550" s="4">
        <v>45265</v>
      </c>
      <c r="B550" s="5">
        <v>29.21</v>
      </c>
      <c r="C550" s="5">
        <v>29.6</v>
      </c>
      <c r="D550" s="5">
        <v>29.07</v>
      </c>
      <c r="E550" s="5">
        <v>29.09</v>
      </c>
      <c r="F550" s="6">
        <v>39853010</v>
      </c>
    </row>
    <row r="551" spans="1:6" x14ac:dyDescent="0.2">
      <c r="A551" s="4">
        <v>45266</v>
      </c>
      <c r="B551" s="5">
        <v>29.09</v>
      </c>
      <c r="C551" s="5">
        <v>29.4</v>
      </c>
      <c r="D551" s="5">
        <v>28.715</v>
      </c>
      <c r="E551" s="5">
        <v>28.79</v>
      </c>
      <c r="F551" s="6">
        <v>33410520</v>
      </c>
    </row>
    <row r="552" spans="1:6" x14ac:dyDescent="0.2">
      <c r="A552" s="4">
        <v>45267</v>
      </c>
      <c r="B552" s="5">
        <v>28.82</v>
      </c>
      <c r="C552" s="5">
        <v>28.895</v>
      </c>
      <c r="D552" s="5">
        <v>28.5</v>
      </c>
      <c r="E552" s="5">
        <v>28.63</v>
      </c>
      <c r="F552" s="6">
        <v>35782910</v>
      </c>
    </row>
    <row r="553" spans="1:6" x14ac:dyDescent="0.2">
      <c r="A553" s="4">
        <v>45268</v>
      </c>
      <c r="B553" s="5">
        <v>28.65</v>
      </c>
      <c r="C553" s="5">
        <v>28.965</v>
      </c>
      <c r="D553" s="5">
        <v>28.59</v>
      </c>
      <c r="E553" s="5">
        <v>28.78</v>
      </c>
      <c r="F553" s="6">
        <v>31890740</v>
      </c>
    </row>
    <row r="554" spans="1:6" x14ac:dyDescent="0.2">
      <c r="A554" s="4">
        <v>45271</v>
      </c>
      <c r="B554" s="5">
        <v>28.78</v>
      </c>
      <c r="C554" s="5">
        <v>28.81</v>
      </c>
      <c r="D554" s="5">
        <v>28.434999999999999</v>
      </c>
      <c r="E554" s="5">
        <v>28.64</v>
      </c>
      <c r="F554" s="6">
        <v>37833860</v>
      </c>
    </row>
    <row r="555" spans="1:6" x14ac:dyDescent="0.2">
      <c r="A555" s="4">
        <v>45272</v>
      </c>
      <c r="B555" s="5">
        <v>28.62</v>
      </c>
      <c r="C555" s="5">
        <v>28.86</v>
      </c>
      <c r="D555" s="5">
        <v>28.35</v>
      </c>
      <c r="E555" s="5">
        <v>28.58</v>
      </c>
      <c r="F555" s="6">
        <v>48587530</v>
      </c>
    </row>
    <row r="556" spans="1:6" x14ac:dyDescent="0.2">
      <c r="A556" s="4">
        <v>45273</v>
      </c>
      <c r="B556" s="5">
        <v>26.28</v>
      </c>
      <c r="C556" s="5">
        <v>26.73</v>
      </c>
      <c r="D556" s="5">
        <v>25.76</v>
      </c>
      <c r="E556" s="5">
        <v>26.66</v>
      </c>
      <c r="F556" s="6">
        <v>158100700</v>
      </c>
    </row>
    <row r="557" spans="1:6" x14ac:dyDescent="0.2">
      <c r="A557" s="4">
        <v>45274</v>
      </c>
      <c r="B557" s="5">
        <v>26.76</v>
      </c>
      <c r="C557" s="5">
        <v>27.315000000000001</v>
      </c>
      <c r="D557" s="5">
        <v>26.01</v>
      </c>
      <c r="E557" s="5">
        <v>26.13</v>
      </c>
      <c r="F557" s="6">
        <v>101889800</v>
      </c>
    </row>
    <row r="558" spans="1:6" x14ac:dyDescent="0.2">
      <c r="A558" s="4">
        <v>45275</v>
      </c>
      <c r="B558" s="5">
        <v>26.13</v>
      </c>
      <c r="C558" s="5">
        <v>26.9894</v>
      </c>
      <c r="D558" s="5">
        <v>26.08</v>
      </c>
      <c r="E558" s="5">
        <v>26.63</v>
      </c>
      <c r="F558" s="6">
        <v>138388400</v>
      </c>
    </row>
    <row r="559" spans="1:6" x14ac:dyDescent="0.2">
      <c r="A559" s="4">
        <v>45278</v>
      </c>
      <c r="B559" s="5">
        <v>26.92</v>
      </c>
      <c r="C559" s="5">
        <v>27.3</v>
      </c>
      <c r="D559" s="5">
        <v>26.72</v>
      </c>
      <c r="E559" s="5">
        <v>27.06</v>
      </c>
      <c r="F559" s="6">
        <v>63329380</v>
      </c>
    </row>
    <row r="560" spans="1:6" x14ac:dyDescent="0.2">
      <c r="A560" s="4">
        <v>45279</v>
      </c>
      <c r="B560" s="5">
        <v>27.28</v>
      </c>
      <c r="C560" s="5">
        <v>28.24</v>
      </c>
      <c r="D560" s="5">
        <v>27.27</v>
      </c>
      <c r="E560" s="5">
        <v>28.16</v>
      </c>
      <c r="F560" s="6">
        <v>70094660</v>
      </c>
    </row>
    <row r="561" spans="1:6" x14ac:dyDescent="0.2">
      <c r="A561" s="4">
        <v>45280</v>
      </c>
      <c r="B561" s="5">
        <v>28.19</v>
      </c>
      <c r="C561" s="5">
        <v>28.26</v>
      </c>
      <c r="D561" s="5">
        <v>27.61</v>
      </c>
      <c r="E561" s="5">
        <v>27.63</v>
      </c>
      <c r="F561" s="6">
        <v>56184330</v>
      </c>
    </row>
    <row r="562" spans="1:6" x14ac:dyDescent="0.2">
      <c r="A562" s="4">
        <v>45281</v>
      </c>
      <c r="B562" s="5">
        <v>27.86</v>
      </c>
      <c r="C562" s="5">
        <v>28.36</v>
      </c>
      <c r="D562" s="5">
        <v>27.78</v>
      </c>
      <c r="E562" s="5">
        <v>28.31</v>
      </c>
      <c r="F562" s="6">
        <v>51056620</v>
      </c>
    </row>
    <row r="563" spans="1:6" x14ac:dyDescent="0.2">
      <c r="A563" s="4">
        <v>45282</v>
      </c>
      <c r="B563" s="5">
        <v>28.44</v>
      </c>
      <c r="C563" s="5">
        <v>28.79</v>
      </c>
      <c r="D563" s="5">
        <v>28.18</v>
      </c>
      <c r="E563" s="5">
        <v>28.4</v>
      </c>
      <c r="F563" s="6">
        <v>35162310</v>
      </c>
    </row>
    <row r="564" spans="1:6" x14ac:dyDescent="0.2">
      <c r="A564" s="4">
        <v>45286</v>
      </c>
      <c r="B564" s="5">
        <v>28.425000000000001</v>
      </c>
      <c r="C564" s="5">
        <v>28.53</v>
      </c>
      <c r="D564" s="5">
        <v>28.25</v>
      </c>
      <c r="E564" s="5">
        <v>28.41</v>
      </c>
      <c r="F564" s="6">
        <v>30119120</v>
      </c>
    </row>
    <row r="565" spans="1:6" x14ac:dyDescent="0.2">
      <c r="A565" s="4">
        <v>45287</v>
      </c>
      <c r="B565" s="5">
        <v>28.47</v>
      </c>
      <c r="C565" s="5">
        <v>28.729900000000001</v>
      </c>
      <c r="D565" s="5">
        <v>28.31</v>
      </c>
      <c r="E565" s="5">
        <v>28.61</v>
      </c>
      <c r="F565" s="6">
        <v>35000660</v>
      </c>
    </row>
    <row r="566" spans="1:6" x14ac:dyDescent="0.2">
      <c r="A566" s="4">
        <v>45288</v>
      </c>
      <c r="B566" s="5">
        <v>28.61</v>
      </c>
      <c r="C566" s="5">
        <v>29.03</v>
      </c>
      <c r="D566" s="5">
        <v>28.581900000000001</v>
      </c>
      <c r="E566" s="5">
        <v>28.79</v>
      </c>
      <c r="F566" s="6">
        <v>30472890</v>
      </c>
    </row>
    <row r="567" spans="1:6" x14ac:dyDescent="0.2">
      <c r="A567" s="4">
        <v>45289</v>
      </c>
      <c r="B567" s="5">
        <v>28.78</v>
      </c>
      <c r="C567" s="5">
        <v>28.8689</v>
      </c>
      <c r="D567" s="5">
        <v>28.54</v>
      </c>
      <c r="E567" s="5">
        <v>28.79</v>
      </c>
      <c r="F567" s="6">
        <v>30363080</v>
      </c>
    </row>
    <row r="568" spans="1:6" x14ac:dyDescent="0.2">
      <c r="A568" s="4">
        <v>45293</v>
      </c>
      <c r="B568" s="5">
        <v>28.88</v>
      </c>
      <c r="C568" s="5">
        <v>30.2788</v>
      </c>
      <c r="D568" s="5">
        <v>28.83</v>
      </c>
      <c r="E568" s="5">
        <v>29.73</v>
      </c>
      <c r="F568" s="6">
        <v>57948710</v>
      </c>
    </row>
    <row r="569" spans="1:6" x14ac:dyDescent="0.2">
      <c r="A569" s="4">
        <v>45294</v>
      </c>
      <c r="B569" s="5">
        <v>30</v>
      </c>
      <c r="C569" s="5">
        <v>30.035900000000002</v>
      </c>
      <c r="D569" s="5">
        <v>29.41</v>
      </c>
      <c r="E569" s="5">
        <v>29.73</v>
      </c>
      <c r="F569" s="6">
        <v>43426500</v>
      </c>
    </row>
    <row r="570" spans="1:6" x14ac:dyDescent="0.2">
      <c r="A570" s="4">
        <v>45295</v>
      </c>
      <c r="B570" s="5">
        <v>29.79</v>
      </c>
      <c r="C570" s="5">
        <v>29.95</v>
      </c>
      <c r="D570" s="5">
        <v>29.03</v>
      </c>
      <c r="E570" s="5">
        <v>29.09</v>
      </c>
      <c r="F570" s="6">
        <v>45558160</v>
      </c>
    </row>
    <row r="571" spans="1:6" x14ac:dyDescent="0.2">
      <c r="A571" s="4">
        <v>45296</v>
      </c>
      <c r="B571" s="5">
        <v>29.02</v>
      </c>
      <c r="C571" s="5">
        <v>29.49</v>
      </c>
      <c r="D571" s="5">
        <v>28.75</v>
      </c>
      <c r="E571" s="5">
        <v>29.47</v>
      </c>
      <c r="F571" s="6">
        <v>33612840</v>
      </c>
    </row>
    <row r="572" spans="1:6" x14ac:dyDescent="0.2">
      <c r="A572" s="4">
        <v>45299</v>
      </c>
      <c r="B572" s="5">
        <v>29.36</v>
      </c>
      <c r="C572" s="5">
        <v>29.68</v>
      </c>
      <c r="D572" s="5">
        <v>29.170100000000001</v>
      </c>
      <c r="E572" s="5">
        <v>29.58</v>
      </c>
      <c r="F572" s="6">
        <v>32972130</v>
      </c>
    </row>
    <row r="573" spans="1:6" x14ac:dyDescent="0.2">
      <c r="A573" s="4">
        <v>45300</v>
      </c>
      <c r="B573" s="5">
        <v>29.6</v>
      </c>
      <c r="C573" s="5">
        <v>29.86</v>
      </c>
      <c r="D573" s="5">
        <v>29.32</v>
      </c>
      <c r="E573" s="5">
        <v>29.4</v>
      </c>
      <c r="F573" s="6">
        <v>39856900</v>
      </c>
    </row>
    <row r="574" spans="1:6" x14ac:dyDescent="0.2">
      <c r="A574" s="4">
        <v>45301</v>
      </c>
      <c r="B574" s="5">
        <v>29.36</v>
      </c>
      <c r="C574" s="5">
        <v>29.39</v>
      </c>
      <c r="D574" s="5">
        <v>28.875</v>
      </c>
      <c r="E574" s="5">
        <v>28.99</v>
      </c>
      <c r="F574" s="6">
        <v>37413290</v>
      </c>
    </row>
    <row r="575" spans="1:6" x14ac:dyDescent="0.2">
      <c r="A575" s="4">
        <v>45302</v>
      </c>
      <c r="B575" s="5">
        <v>28.83</v>
      </c>
      <c r="C575" s="5">
        <v>28.914999999999999</v>
      </c>
      <c r="D575" s="5">
        <v>28.27</v>
      </c>
      <c r="E575" s="5">
        <v>28.4</v>
      </c>
      <c r="F575" s="6">
        <v>46884710</v>
      </c>
    </row>
    <row r="576" spans="1:6" x14ac:dyDescent="0.2">
      <c r="A576" s="4">
        <v>45303</v>
      </c>
      <c r="B576" s="5">
        <v>28.46</v>
      </c>
      <c r="C576" s="5">
        <v>28.94</v>
      </c>
      <c r="D576" s="5">
        <v>28.44</v>
      </c>
      <c r="E576" s="5">
        <v>28.7</v>
      </c>
      <c r="F576" s="6">
        <v>30373490</v>
      </c>
    </row>
    <row r="577" spans="1:6" x14ac:dyDescent="0.2">
      <c r="A577" s="4">
        <v>45307</v>
      </c>
      <c r="B577" s="5">
        <v>28.6</v>
      </c>
      <c r="C577" s="5">
        <v>28.72</v>
      </c>
      <c r="D577" s="5">
        <v>28.22</v>
      </c>
      <c r="E577" s="5">
        <v>28.32</v>
      </c>
      <c r="F577" s="6">
        <v>38825980</v>
      </c>
    </row>
    <row r="578" spans="1:6" x14ac:dyDescent="0.2">
      <c r="A578" s="4">
        <v>45308</v>
      </c>
      <c r="B578" s="5">
        <v>28.16</v>
      </c>
      <c r="C578" s="5">
        <v>28.53</v>
      </c>
      <c r="D578" s="5">
        <v>27.93</v>
      </c>
      <c r="E578" s="5">
        <v>28.15</v>
      </c>
      <c r="F578" s="6">
        <v>33312580</v>
      </c>
    </row>
    <row r="579" spans="1:6" x14ac:dyDescent="0.2">
      <c r="A579" s="4">
        <v>45309</v>
      </c>
      <c r="B579" s="5">
        <v>28.04</v>
      </c>
      <c r="C579" s="5">
        <v>28.13</v>
      </c>
      <c r="D579" s="5">
        <v>27.6</v>
      </c>
      <c r="E579" s="5">
        <v>28.09</v>
      </c>
      <c r="F579" s="6">
        <v>50321150</v>
      </c>
    </row>
    <row r="580" spans="1:6" x14ac:dyDescent="0.2">
      <c r="A580" s="4">
        <v>45310</v>
      </c>
      <c r="B580" s="5">
        <v>28.03</v>
      </c>
      <c r="C580" s="5">
        <v>28.38</v>
      </c>
      <c r="D580" s="5">
        <v>27.93</v>
      </c>
      <c r="E580" s="5">
        <v>28.28</v>
      </c>
      <c r="F580" s="6">
        <v>35549290</v>
      </c>
    </row>
    <row r="581" spans="1:6" x14ac:dyDescent="0.2">
      <c r="A581" s="4">
        <v>45313</v>
      </c>
      <c r="B581" s="5">
        <v>28.32</v>
      </c>
      <c r="C581" s="5">
        <v>28.62</v>
      </c>
      <c r="D581" s="5">
        <v>27.93</v>
      </c>
      <c r="E581" s="5">
        <v>28.31</v>
      </c>
      <c r="F581" s="6">
        <v>41663950</v>
      </c>
    </row>
    <row r="582" spans="1:6" x14ac:dyDescent="0.2">
      <c r="A582" s="4">
        <v>45314</v>
      </c>
      <c r="B582" s="5">
        <v>28.44</v>
      </c>
      <c r="C582" s="5">
        <v>28.65</v>
      </c>
      <c r="D582" s="5">
        <v>28.15</v>
      </c>
      <c r="E582" s="5">
        <v>28.43</v>
      </c>
      <c r="F582" s="6">
        <v>33466650</v>
      </c>
    </row>
    <row r="583" spans="1:6" x14ac:dyDescent="0.2">
      <c r="A583" s="4">
        <v>45315</v>
      </c>
      <c r="B583" s="5">
        <v>28.54</v>
      </c>
      <c r="C583" s="5">
        <v>28.774999999999999</v>
      </c>
      <c r="D583" s="5">
        <v>28.33</v>
      </c>
      <c r="E583" s="5">
        <v>28.33</v>
      </c>
      <c r="F583" s="6">
        <v>42720740</v>
      </c>
    </row>
    <row r="584" spans="1:6" x14ac:dyDescent="0.2">
      <c r="A584" s="4">
        <v>45316</v>
      </c>
      <c r="B584" s="5">
        <v>27.82</v>
      </c>
      <c r="C584" s="5">
        <v>27.92</v>
      </c>
      <c r="D584" s="5">
        <v>27.445</v>
      </c>
      <c r="E584" s="5">
        <v>27.47</v>
      </c>
      <c r="F584" s="6">
        <v>47605550</v>
      </c>
    </row>
    <row r="585" spans="1:6" x14ac:dyDescent="0.2">
      <c r="A585" s="4">
        <v>45317</v>
      </c>
      <c r="B585" s="5">
        <v>27.63</v>
      </c>
      <c r="C585" s="5">
        <v>27.91</v>
      </c>
      <c r="D585" s="5">
        <v>27.36</v>
      </c>
      <c r="E585" s="5">
        <v>27.47</v>
      </c>
      <c r="F585" s="6">
        <v>47073760</v>
      </c>
    </row>
    <row r="586" spans="1:6" x14ac:dyDescent="0.2">
      <c r="A586" s="4">
        <v>45320</v>
      </c>
      <c r="B586" s="5">
        <v>27.52</v>
      </c>
      <c r="C586" s="5">
        <v>27.63</v>
      </c>
      <c r="D586" s="5">
        <v>27.31</v>
      </c>
      <c r="E586" s="5">
        <v>27.48</v>
      </c>
      <c r="F586" s="6">
        <v>67082720</v>
      </c>
    </row>
    <row r="587" spans="1:6" x14ac:dyDescent="0.2">
      <c r="A587" s="4">
        <v>45321</v>
      </c>
      <c r="B587" s="5">
        <v>27.89</v>
      </c>
      <c r="C587" s="5">
        <v>28.37</v>
      </c>
      <c r="D587" s="5">
        <v>26.95</v>
      </c>
      <c r="E587" s="5">
        <v>27.02</v>
      </c>
      <c r="F587" s="6">
        <v>86072430</v>
      </c>
    </row>
    <row r="588" spans="1:6" x14ac:dyDescent="0.2">
      <c r="A588" s="4">
        <v>45322</v>
      </c>
      <c r="B588" s="5">
        <v>27.17</v>
      </c>
      <c r="C588" s="5">
        <v>27.510300000000001</v>
      </c>
      <c r="D588" s="5">
        <v>26.78</v>
      </c>
      <c r="E588" s="5">
        <v>27.08</v>
      </c>
      <c r="F588" s="6">
        <v>81192100</v>
      </c>
    </row>
    <row r="589" spans="1:6" x14ac:dyDescent="0.2">
      <c r="A589" s="4">
        <v>45323</v>
      </c>
      <c r="B589" s="5">
        <v>27.1</v>
      </c>
      <c r="C589" s="5">
        <v>27.324999999999999</v>
      </c>
      <c r="D589" s="5">
        <v>26.73</v>
      </c>
      <c r="E589" s="5">
        <v>27.29</v>
      </c>
      <c r="F589" s="6">
        <v>53882960</v>
      </c>
    </row>
    <row r="590" spans="1:6" x14ac:dyDescent="0.2">
      <c r="A590" s="4">
        <v>45324</v>
      </c>
      <c r="B590" s="5">
        <v>27.18</v>
      </c>
      <c r="C590" s="5">
        <v>27.2</v>
      </c>
      <c r="D590" s="5">
        <v>26.69</v>
      </c>
      <c r="E590" s="5">
        <v>26.93</v>
      </c>
      <c r="F590" s="6">
        <v>51718530</v>
      </c>
    </row>
    <row r="591" spans="1:6" x14ac:dyDescent="0.2">
      <c r="A591" s="4">
        <v>45327</v>
      </c>
      <c r="B591" s="5">
        <v>26.94</v>
      </c>
      <c r="C591" s="5">
        <v>26.94</v>
      </c>
      <c r="D591" s="5">
        <v>26.52</v>
      </c>
      <c r="E591" s="5">
        <v>26.57</v>
      </c>
      <c r="F591" s="6">
        <v>42633400</v>
      </c>
    </row>
    <row r="592" spans="1:6" x14ac:dyDescent="0.2">
      <c r="A592" s="4">
        <v>45328</v>
      </c>
      <c r="B592" s="5">
        <v>26.66</v>
      </c>
      <c r="C592" s="5">
        <v>27.725000000000001</v>
      </c>
      <c r="D592" s="5">
        <v>26.57</v>
      </c>
      <c r="E592" s="5">
        <v>27.5</v>
      </c>
      <c r="F592" s="6">
        <v>56994490</v>
      </c>
    </row>
    <row r="593" spans="1:6" x14ac:dyDescent="0.2">
      <c r="A593" s="4">
        <v>45329</v>
      </c>
      <c r="B593" s="5">
        <v>27.55</v>
      </c>
      <c r="C593" s="5">
        <v>27.65</v>
      </c>
      <c r="D593" s="5">
        <v>27.295000000000002</v>
      </c>
      <c r="E593" s="5">
        <v>27.56</v>
      </c>
      <c r="F593" s="6">
        <v>36843010</v>
      </c>
    </row>
    <row r="594" spans="1:6" x14ac:dyDescent="0.2">
      <c r="A594" s="4">
        <v>45330</v>
      </c>
      <c r="B594" s="5">
        <v>27.56</v>
      </c>
      <c r="C594" s="5">
        <v>27.69</v>
      </c>
      <c r="D594" s="5">
        <v>27.41</v>
      </c>
      <c r="E594" s="5">
        <v>27.57</v>
      </c>
      <c r="F594" s="6">
        <v>29048350</v>
      </c>
    </row>
    <row r="595" spans="1:6" x14ac:dyDescent="0.2">
      <c r="A595" s="4">
        <v>45331</v>
      </c>
      <c r="B595" s="5">
        <v>27.56</v>
      </c>
      <c r="C595" s="5">
        <v>27.59</v>
      </c>
      <c r="D595" s="5">
        <v>27.38</v>
      </c>
      <c r="E595" s="5">
        <v>27.56</v>
      </c>
      <c r="F595" s="6">
        <v>29062710</v>
      </c>
    </row>
    <row r="596" spans="1:6" x14ac:dyDescent="0.2">
      <c r="A596" s="4">
        <v>45334</v>
      </c>
      <c r="B596" s="5">
        <v>27.54</v>
      </c>
      <c r="C596" s="5">
        <v>28.02</v>
      </c>
      <c r="D596" s="5">
        <v>27.52</v>
      </c>
      <c r="E596" s="5">
        <v>27.66</v>
      </c>
      <c r="F596" s="6">
        <v>30323720</v>
      </c>
    </row>
    <row r="597" spans="1:6" x14ac:dyDescent="0.2">
      <c r="A597" s="4">
        <v>45335</v>
      </c>
      <c r="B597" s="5">
        <v>27.54</v>
      </c>
      <c r="C597" s="5">
        <v>27.83</v>
      </c>
      <c r="D597" s="5">
        <v>26.86</v>
      </c>
      <c r="E597" s="5">
        <v>26.97</v>
      </c>
      <c r="F597" s="6">
        <v>37927460</v>
      </c>
    </row>
    <row r="598" spans="1:6" x14ac:dyDescent="0.2">
      <c r="A598" s="4">
        <v>45336</v>
      </c>
      <c r="B598" s="5">
        <v>27.01</v>
      </c>
      <c r="C598" s="5">
        <v>27.17</v>
      </c>
      <c r="D598" s="5">
        <v>26.91</v>
      </c>
      <c r="E598" s="5">
        <v>27.11</v>
      </c>
      <c r="F598" s="6">
        <v>25270220</v>
      </c>
    </row>
    <row r="599" spans="1:6" x14ac:dyDescent="0.2">
      <c r="A599" s="4">
        <v>45337</v>
      </c>
      <c r="B599" s="5">
        <v>27.25</v>
      </c>
      <c r="C599" s="5">
        <v>27.805</v>
      </c>
      <c r="D599" s="5">
        <v>27.22</v>
      </c>
      <c r="E599" s="5">
        <v>27.51</v>
      </c>
      <c r="F599" s="6">
        <v>36111620</v>
      </c>
    </row>
    <row r="600" spans="1:6" x14ac:dyDescent="0.2">
      <c r="A600" s="4">
        <v>45338</v>
      </c>
      <c r="B600" s="5">
        <v>27.55</v>
      </c>
      <c r="C600" s="5">
        <v>27.89</v>
      </c>
      <c r="D600" s="5">
        <v>27.21</v>
      </c>
      <c r="E600" s="5">
        <v>27.62</v>
      </c>
      <c r="F600" s="6">
        <v>35935330</v>
      </c>
    </row>
    <row r="601" spans="1:6" x14ac:dyDescent="0.2">
      <c r="A601" s="4">
        <v>45342</v>
      </c>
      <c r="B601" s="5">
        <v>27.61</v>
      </c>
      <c r="C601" s="5">
        <v>28.14</v>
      </c>
      <c r="D601" s="5">
        <v>27.52</v>
      </c>
      <c r="E601" s="5">
        <v>27.59</v>
      </c>
      <c r="F601" s="6">
        <v>34232010</v>
      </c>
    </row>
    <row r="602" spans="1:6" x14ac:dyDescent="0.2">
      <c r="A602" s="4">
        <v>45343</v>
      </c>
      <c r="B602" s="5">
        <v>27.6</v>
      </c>
      <c r="C602" s="5">
        <v>27.675000000000001</v>
      </c>
      <c r="D602" s="5">
        <v>27.355</v>
      </c>
      <c r="E602" s="5">
        <v>27.67</v>
      </c>
      <c r="F602" s="6">
        <v>27370650</v>
      </c>
    </row>
    <row r="603" spans="1:6" x14ac:dyDescent="0.2">
      <c r="A603" s="4">
        <v>45344</v>
      </c>
      <c r="B603" s="5">
        <v>27.59</v>
      </c>
      <c r="C603" s="5">
        <v>27.695</v>
      </c>
      <c r="D603" s="5">
        <v>27.184999999999999</v>
      </c>
      <c r="E603" s="5">
        <v>27.55</v>
      </c>
      <c r="F603" s="6">
        <v>31957510</v>
      </c>
    </row>
    <row r="604" spans="1:6" x14ac:dyDescent="0.2">
      <c r="A604" s="4">
        <v>45345</v>
      </c>
      <c r="B604" s="5">
        <v>27.75</v>
      </c>
      <c r="C604" s="5">
        <v>28.085999999999999</v>
      </c>
      <c r="D604" s="5">
        <v>27.69</v>
      </c>
      <c r="E604" s="5">
        <v>27.76</v>
      </c>
      <c r="F604" s="6">
        <v>33182550</v>
      </c>
    </row>
    <row r="605" spans="1:6" x14ac:dyDescent="0.2">
      <c r="A605" s="4">
        <v>45348</v>
      </c>
      <c r="B605" s="5">
        <v>27.67</v>
      </c>
      <c r="C605" s="5">
        <v>27.67</v>
      </c>
      <c r="D605" s="5">
        <v>27.07</v>
      </c>
      <c r="E605" s="5">
        <v>27.18</v>
      </c>
      <c r="F605" s="6">
        <v>45685480</v>
      </c>
    </row>
    <row r="606" spans="1:6" x14ac:dyDescent="0.2">
      <c r="A606" s="4">
        <v>45349</v>
      </c>
      <c r="B606" s="5">
        <v>27.12</v>
      </c>
      <c r="C606" s="5">
        <v>27.2</v>
      </c>
      <c r="D606" s="5">
        <v>26.81</v>
      </c>
      <c r="E606" s="5">
        <v>26.89</v>
      </c>
      <c r="F606" s="6">
        <v>38598360</v>
      </c>
    </row>
    <row r="607" spans="1:6" x14ac:dyDescent="0.2">
      <c r="A607" s="4">
        <v>45350</v>
      </c>
      <c r="B607" s="5">
        <v>26.96</v>
      </c>
      <c r="C607" s="5">
        <v>27.234999999999999</v>
      </c>
      <c r="D607" s="5">
        <v>26.82</v>
      </c>
      <c r="E607" s="5">
        <v>27.04</v>
      </c>
      <c r="F607" s="6">
        <v>31010180</v>
      </c>
    </row>
    <row r="608" spans="1:6" x14ac:dyDescent="0.2">
      <c r="A608" s="4">
        <v>45351</v>
      </c>
      <c r="B608" s="5">
        <v>27.07</v>
      </c>
      <c r="C608" s="5">
        <v>27.19</v>
      </c>
      <c r="D608" s="5">
        <v>26.55</v>
      </c>
      <c r="E608" s="5">
        <v>26.56</v>
      </c>
      <c r="F608" s="6">
        <v>54643160</v>
      </c>
    </row>
    <row r="609" spans="1:6" x14ac:dyDescent="0.2">
      <c r="A609" s="4">
        <v>45352</v>
      </c>
      <c r="B609" s="5">
        <v>26.824999999999999</v>
      </c>
      <c r="C609" s="5">
        <v>26.9</v>
      </c>
      <c r="D609" s="5">
        <v>26.51</v>
      </c>
      <c r="E609" s="5">
        <v>26.59</v>
      </c>
      <c r="F609" s="6">
        <v>46392100</v>
      </c>
    </row>
    <row r="610" spans="1:6" x14ac:dyDescent="0.2">
      <c r="A610" s="4">
        <v>45355</v>
      </c>
      <c r="B610" s="5">
        <v>26.3</v>
      </c>
      <c r="C610" s="5">
        <v>26.46</v>
      </c>
      <c r="D610" s="5">
        <v>25.61</v>
      </c>
      <c r="E610" s="5">
        <v>25.89</v>
      </c>
      <c r="F610" s="6">
        <v>86777720</v>
      </c>
    </row>
    <row r="611" spans="1:6" x14ac:dyDescent="0.2">
      <c r="A611" s="4">
        <v>45356</v>
      </c>
      <c r="B611" s="5">
        <v>25.87</v>
      </c>
      <c r="C611" s="5">
        <v>26.42</v>
      </c>
      <c r="D611" s="5">
        <v>25.69</v>
      </c>
      <c r="E611" s="5">
        <v>26.08</v>
      </c>
      <c r="F611" s="6">
        <v>73646090</v>
      </c>
    </row>
    <row r="612" spans="1:6" x14ac:dyDescent="0.2">
      <c r="A612" s="4">
        <v>45357</v>
      </c>
      <c r="B612" s="5">
        <v>26.9</v>
      </c>
      <c r="C612" s="5">
        <v>27.3</v>
      </c>
      <c r="D612" s="5">
        <v>26.785</v>
      </c>
      <c r="E612" s="5">
        <v>27.19</v>
      </c>
      <c r="F612" s="6">
        <v>84919460</v>
      </c>
    </row>
    <row r="613" spans="1:6" x14ac:dyDescent="0.2">
      <c r="A613" s="4">
        <v>45358</v>
      </c>
      <c r="B613" s="5">
        <v>27.2</v>
      </c>
      <c r="C613" s="5">
        <v>27.32</v>
      </c>
      <c r="D613" s="5">
        <v>26.76</v>
      </c>
      <c r="E613" s="5">
        <v>26.79</v>
      </c>
      <c r="F613" s="6">
        <v>46423820</v>
      </c>
    </row>
    <row r="614" spans="1:6" x14ac:dyDescent="0.2">
      <c r="A614" s="4">
        <v>45359</v>
      </c>
      <c r="B614" s="5">
        <v>26.88</v>
      </c>
      <c r="C614" s="5">
        <v>27.3</v>
      </c>
      <c r="D614" s="5">
        <v>26.85</v>
      </c>
      <c r="E614" s="5">
        <v>27.22</v>
      </c>
      <c r="F614" s="6">
        <v>45906630</v>
      </c>
    </row>
    <row r="615" spans="1:6" x14ac:dyDescent="0.2">
      <c r="A615" s="4">
        <v>45362</v>
      </c>
      <c r="B615" s="5">
        <v>27.31</v>
      </c>
      <c r="C615" s="5">
        <v>28.39</v>
      </c>
      <c r="D615" s="5">
        <v>27.31</v>
      </c>
      <c r="E615" s="5">
        <v>28.37</v>
      </c>
      <c r="F615" s="6">
        <v>52600150</v>
      </c>
    </row>
    <row r="616" spans="1:6" x14ac:dyDescent="0.2">
      <c r="A616" s="4">
        <v>45363</v>
      </c>
      <c r="B616" s="5">
        <v>28.31</v>
      </c>
      <c r="C616" s="5">
        <v>28.34</v>
      </c>
      <c r="D616" s="5">
        <v>27.76</v>
      </c>
      <c r="E616" s="5">
        <v>28.01</v>
      </c>
      <c r="F616" s="6">
        <v>48758230</v>
      </c>
    </row>
    <row r="617" spans="1:6" x14ac:dyDescent="0.2">
      <c r="A617" s="4">
        <v>45364</v>
      </c>
      <c r="B617" s="5">
        <v>28.29</v>
      </c>
      <c r="C617" s="5">
        <v>28.69</v>
      </c>
      <c r="D617" s="5">
        <v>28.19</v>
      </c>
      <c r="E617" s="5">
        <v>28.22</v>
      </c>
      <c r="F617" s="6">
        <v>39272980</v>
      </c>
    </row>
    <row r="618" spans="1:6" x14ac:dyDescent="0.2">
      <c r="A618" s="4">
        <v>45365</v>
      </c>
      <c r="B618" s="5">
        <v>28.25</v>
      </c>
      <c r="C618" s="5">
        <v>28.28</v>
      </c>
      <c r="D618" s="5">
        <v>27.77</v>
      </c>
      <c r="E618" s="5">
        <v>28.13</v>
      </c>
      <c r="F618" s="6">
        <v>36427960</v>
      </c>
    </row>
    <row r="619" spans="1:6" x14ac:dyDescent="0.2">
      <c r="A619" s="4">
        <v>45366</v>
      </c>
      <c r="B619" s="5">
        <v>27.96</v>
      </c>
      <c r="C619" s="5">
        <v>28.28</v>
      </c>
      <c r="D619" s="5">
        <v>27.86</v>
      </c>
      <c r="E619" s="5">
        <v>27.94</v>
      </c>
      <c r="F619" s="6">
        <v>75727850</v>
      </c>
    </row>
    <row r="620" spans="1:6" x14ac:dyDescent="0.2">
      <c r="A620" s="4">
        <v>45369</v>
      </c>
      <c r="B620" s="5">
        <v>28.01</v>
      </c>
      <c r="C620" s="5">
        <v>28.024999999999999</v>
      </c>
      <c r="D620" s="5">
        <v>27.61</v>
      </c>
      <c r="E620" s="5">
        <v>27.72</v>
      </c>
      <c r="F620" s="6">
        <v>36226500</v>
      </c>
    </row>
    <row r="621" spans="1:6" x14ac:dyDescent="0.2">
      <c r="A621" s="4">
        <v>45370</v>
      </c>
      <c r="B621" s="5">
        <v>27.67</v>
      </c>
      <c r="C621" s="5">
        <v>27.78</v>
      </c>
      <c r="D621" s="5">
        <v>27.32</v>
      </c>
      <c r="E621" s="5">
        <v>27.63</v>
      </c>
      <c r="F621" s="6">
        <v>29026580</v>
      </c>
    </row>
    <row r="622" spans="1:6" x14ac:dyDescent="0.2">
      <c r="A622" s="4">
        <v>45371</v>
      </c>
      <c r="B622" s="5">
        <v>27.48</v>
      </c>
      <c r="C622" s="5">
        <v>27.736599999999999</v>
      </c>
      <c r="D622" s="5">
        <v>27.21</v>
      </c>
      <c r="E622" s="5">
        <v>27.7</v>
      </c>
      <c r="F622" s="6">
        <v>34467960</v>
      </c>
    </row>
    <row r="623" spans="1:6" x14ac:dyDescent="0.2">
      <c r="A623" s="4">
        <v>45372</v>
      </c>
      <c r="B623" s="5">
        <v>27.75</v>
      </c>
      <c r="C623" s="5">
        <v>28.035</v>
      </c>
      <c r="D623" s="5">
        <v>27.63</v>
      </c>
      <c r="E623" s="5">
        <v>27.66</v>
      </c>
      <c r="F623" s="6">
        <v>29633710</v>
      </c>
    </row>
    <row r="624" spans="1:6" x14ac:dyDescent="0.2">
      <c r="A624" s="4">
        <v>45373</v>
      </c>
      <c r="B624" s="5">
        <v>27.47</v>
      </c>
      <c r="C624" s="5">
        <v>27.84</v>
      </c>
      <c r="D624" s="5">
        <v>27.34</v>
      </c>
      <c r="E624" s="5">
        <v>27.36</v>
      </c>
      <c r="F624" s="6">
        <v>28830120</v>
      </c>
    </row>
    <row r="625" spans="1:6" x14ac:dyDescent="0.2">
      <c r="A625" s="4">
        <v>45376</v>
      </c>
      <c r="B625" s="5">
        <v>27.24</v>
      </c>
      <c r="C625" s="5">
        <v>27.48</v>
      </c>
      <c r="D625" s="5">
        <v>27.1</v>
      </c>
      <c r="E625" s="5">
        <v>27.43</v>
      </c>
      <c r="F625" s="6">
        <v>31110650</v>
      </c>
    </row>
    <row r="626" spans="1:6" x14ac:dyDescent="0.2">
      <c r="A626" s="4">
        <v>45377</v>
      </c>
      <c r="B626" s="5">
        <v>27.45</v>
      </c>
      <c r="C626" s="5">
        <v>27.63</v>
      </c>
      <c r="D626" s="5">
        <v>27.31</v>
      </c>
      <c r="E626" s="5">
        <v>27.59</v>
      </c>
      <c r="F626" s="6">
        <v>38220260</v>
      </c>
    </row>
    <row r="627" spans="1:6" x14ac:dyDescent="0.2">
      <c r="A627" s="4">
        <v>45378</v>
      </c>
      <c r="B627" s="5">
        <v>27.71</v>
      </c>
      <c r="C627" s="5">
        <v>27.934999999999999</v>
      </c>
      <c r="D627" s="5">
        <v>27.54</v>
      </c>
      <c r="E627" s="5">
        <v>27.78</v>
      </c>
      <c r="F627" s="6">
        <v>34247620</v>
      </c>
    </row>
    <row r="628" spans="1:6" x14ac:dyDescent="0.2">
      <c r="A628" s="4">
        <v>45379</v>
      </c>
      <c r="B628" s="5">
        <v>27.82</v>
      </c>
      <c r="C628" s="5">
        <v>28.12</v>
      </c>
      <c r="D628" s="5">
        <v>27.72</v>
      </c>
      <c r="E628" s="5">
        <v>27.75</v>
      </c>
      <c r="F628" s="6">
        <v>40466660</v>
      </c>
    </row>
    <row r="629" spans="1:6" x14ac:dyDescent="0.2">
      <c r="A629" s="4">
        <v>45383</v>
      </c>
      <c r="B629" s="5">
        <v>27.76</v>
      </c>
      <c r="C629" s="5">
        <v>27.87</v>
      </c>
      <c r="D629" s="5">
        <v>27.574999999999999</v>
      </c>
      <c r="E629" s="5">
        <v>27.72</v>
      </c>
      <c r="F629" s="6">
        <v>26596620</v>
      </c>
    </row>
    <row r="630" spans="1:6" x14ac:dyDescent="0.2">
      <c r="A630" s="4">
        <v>45384</v>
      </c>
      <c r="B630" s="5">
        <v>27.57</v>
      </c>
      <c r="C630" s="5">
        <v>27.75</v>
      </c>
      <c r="D630" s="5">
        <v>27.41</v>
      </c>
      <c r="E630" s="5">
        <v>27.55</v>
      </c>
      <c r="F630" s="6">
        <v>32451490</v>
      </c>
    </row>
    <row r="631" spans="1:6" x14ac:dyDescent="0.2">
      <c r="A631" s="4">
        <v>45385</v>
      </c>
      <c r="B631" s="5">
        <v>27.51</v>
      </c>
      <c r="C631" s="5">
        <v>27.75</v>
      </c>
      <c r="D631" s="5">
        <v>27.2</v>
      </c>
      <c r="E631" s="5">
        <v>27.22</v>
      </c>
      <c r="F631" s="6">
        <v>36828630</v>
      </c>
    </row>
    <row r="632" spans="1:6" x14ac:dyDescent="0.2">
      <c r="A632" s="4">
        <v>45386</v>
      </c>
      <c r="B632" s="5">
        <v>27.31</v>
      </c>
      <c r="C632" s="5">
        <v>27.4</v>
      </c>
      <c r="D632" s="5">
        <v>26.64</v>
      </c>
      <c r="E632" s="5">
        <v>26.65</v>
      </c>
      <c r="F632" s="6">
        <v>41922710</v>
      </c>
    </row>
    <row r="633" spans="1:6" x14ac:dyDescent="0.2">
      <c r="A633" s="4">
        <v>45387</v>
      </c>
      <c r="B633" s="5">
        <v>26.56</v>
      </c>
      <c r="C633" s="5">
        <v>26.7</v>
      </c>
      <c r="D633" s="5">
        <v>26.35</v>
      </c>
      <c r="E633" s="5">
        <v>26.66</v>
      </c>
      <c r="F633" s="6">
        <v>39880540</v>
      </c>
    </row>
    <row r="634" spans="1:6" x14ac:dyDescent="0.2">
      <c r="A634" s="4">
        <v>45390</v>
      </c>
      <c r="B634" s="5">
        <v>26.6</v>
      </c>
      <c r="C634" s="5">
        <v>26.82</v>
      </c>
      <c r="D634" s="5">
        <v>26.52</v>
      </c>
      <c r="E634" s="5">
        <v>26.58</v>
      </c>
      <c r="F634" s="6">
        <v>24431350</v>
      </c>
    </row>
    <row r="635" spans="1:6" x14ac:dyDescent="0.2">
      <c r="A635" s="4">
        <v>45391</v>
      </c>
      <c r="B635" s="5">
        <v>26.77</v>
      </c>
      <c r="C635" s="5">
        <v>27.42</v>
      </c>
      <c r="D635" s="5">
        <v>26.65</v>
      </c>
      <c r="E635" s="5">
        <v>26.78</v>
      </c>
      <c r="F635" s="6">
        <v>45193640</v>
      </c>
    </row>
    <row r="636" spans="1:6" x14ac:dyDescent="0.2">
      <c r="A636" s="4">
        <v>45392</v>
      </c>
      <c r="B636" s="5">
        <v>26.52</v>
      </c>
      <c r="C636" s="5">
        <v>26.59</v>
      </c>
      <c r="D636" s="5">
        <v>26.16</v>
      </c>
      <c r="E636" s="5">
        <v>26.32</v>
      </c>
      <c r="F636" s="6">
        <v>44541590</v>
      </c>
    </row>
    <row r="637" spans="1:6" x14ac:dyDescent="0.2">
      <c r="A637" s="4">
        <v>45393</v>
      </c>
      <c r="B637" s="5">
        <v>26.35</v>
      </c>
      <c r="C637" s="5">
        <v>26.4499</v>
      </c>
      <c r="D637" s="5">
        <v>26.13</v>
      </c>
      <c r="E637" s="5">
        <v>26.34</v>
      </c>
      <c r="F637" s="6">
        <v>32814470</v>
      </c>
    </row>
    <row r="638" spans="1:6" x14ac:dyDescent="0.2">
      <c r="A638" s="4">
        <v>45394</v>
      </c>
      <c r="B638" s="5">
        <v>26.25</v>
      </c>
      <c r="C638" s="5">
        <v>26.32</v>
      </c>
      <c r="D638" s="5">
        <v>25.83</v>
      </c>
      <c r="E638" s="5">
        <v>25.86</v>
      </c>
      <c r="F638" s="6">
        <v>43034060</v>
      </c>
    </row>
    <row r="639" spans="1:6" x14ac:dyDescent="0.2">
      <c r="A639" s="4">
        <v>45397</v>
      </c>
      <c r="B639" s="5">
        <v>25.91</v>
      </c>
      <c r="C639" s="5">
        <v>26.17</v>
      </c>
      <c r="D639" s="5">
        <v>25.75</v>
      </c>
      <c r="E639" s="5">
        <v>25.91</v>
      </c>
      <c r="F639" s="6">
        <v>35660190</v>
      </c>
    </row>
    <row r="640" spans="1:6" x14ac:dyDescent="0.2">
      <c r="A640" s="4">
        <v>45398</v>
      </c>
      <c r="B640" s="5">
        <v>25.82</v>
      </c>
      <c r="C640" s="5">
        <v>25.984999999999999</v>
      </c>
      <c r="D640" s="5">
        <v>25.68</v>
      </c>
      <c r="E640" s="5">
        <v>25.69</v>
      </c>
      <c r="F640" s="6">
        <v>28885310</v>
      </c>
    </row>
    <row r="641" spans="1:6" x14ac:dyDescent="0.2">
      <c r="A641" s="4">
        <v>45399</v>
      </c>
      <c r="B641" s="5">
        <v>25.69</v>
      </c>
      <c r="C641" s="5">
        <v>25.69</v>
      </c>
      <c r="D641" s="5">
        <v>25.26</v>
      </c>
      <c r="E641" s="5">
        <v>25.42</v>
      </c>
      <c r="F641" s="6">
        <v>43828890</v>
      </c>
    </row>
    <row r="642" spans="1:6" x14ac:dyDescent="0.2">
      <c r="A642" s="4">
        <v>45400</v>
      </c>
      <c r="B642" s="5">
        <v>25.35</v>
      </c>
      <c r="C642" s="5">
        <v>25.46</v>
      </c>
      <c r="D642" s="5">
        <v>25.23</v>
      </c>
      <c r="E642" s="5">
        <v>25.39</v>
      </c>
      <c r="F642" s="6">
        <v>35788350</v>
      </c>
    </row>
    <row r="643" spans="1:6" x14ac:dyDescent="0.2">
      <c r="A643" s="4">
        <v>45401</v>
      </c>
      <c r="B643" s="5">
        <v>25.39</v>
      </c>
      <c r="C643" s="5">
        <v>26</v>
      </c>
      <c r="D643" s="5">
        <v>25.35</v>
      </c>
      <c r="E643" s="5">
        <v>26</v>
      </c>
      <c r="F643" s="6">
        <v>38372800</v>
      </c>
    </row>
    <row r="644" spans="1:6" x14ac:dyDescent="0.2">
      <c r="A644" s="4">
        <v>45404</v>
      </c>
      <c r="B644" s="5">
        <v>26</v>
      </c>
      <c r="C644" s="5">
        <v>26.5</v>
      </c>
      <c r="D644" s="5">
        <v>25.925000000000001</v>
      </c>
      <c r="E644" s="5">
        <v>26.26</v>
      </c>
      <c r="F644" s="6">
        <v>35678660</v>
      </c>
    </row>
    <row r="645" spans="1:6" x14ac:dyDescent="0.2">
      <c r="A645" s="4">
        <v>45405</v>
      </c>
      <c r="B645" s="5">
        <v>26.33</v>
      </c>
      <c r="C645" s="5">
        <v>26.47</v>
      </c>
      <c r="D645" s="5">
        <v>26.19</v>
      </c>
      <c r="E645" s="5">
        <v>26.32</v>
      </c>
      <c r="F645" s="6">
        <v>24297820</v>
      </c>
    </row>
    <row r="646" spans="1:6" x14ac:dyDescent="0.2">
      <c r="A646" s="4">
        <v>45406</v>
      </c>
      <c r="B646" s="5">
        <v>26.25</v>
      </c>
      <c r="C646" s="5">
        <v>26.34</v>
      </c>
      <c r="D646" s="5">
        <v>26.04</v>
      </c>
      <c r="E646" s="5">
        <v>26.27</v>
      </c>
      <c r="F646" s="6">
        <v>24547780</v>
      </c>
    </row>
    <row r="647" spans="1:6" x14ac:dyDescent="0.2">
      <c r="A647" s="4">
        <v>45407</v>
      </c>
      <c r="B647" s="5">
        <v>26.27</v>
      </c>
      <c r="C647" s="5">
        <v>26.43</v>
      </c>
      <c r="D647" s="5">
        <v>25.25</v>
      </c>
      <c r="E647" s="5">
        <v>25.26</v>
      </c>
      <c r="F647" s="6">
        <v>47661410</v>
      </c>
    </row>
    <row r="648" spans="1:6" x14ac:dyDescent="0.2">
      <c r="A648" s="4">
        <v>45408</v>
      </c>
      <c r="B648" s="5">
        <v>25.33</v>
      </c>
      <c r="C648" s="5">
        <v>25.54</v>
      </c>
      <c r="D648" s="5">
        <v>25.2</v>
      </c>
      <c r="E648" s="5">
        <v>25.4</v>
      </c>
      <c r="F648" s="6">
        <v>46526460</v>
      </c>
    </row>
    <row r="649" spans="1:6" x14ac:dyDescent="0.2">
      <c r="A649" s="4">
        <v>45411</v>
      </c>
      <c r="B649" s="5">
        <v>25.58</v>
      </c>
      <c r="C649" s="5">
        <v>25.85</v>
      </c>
      <c r="D649" s="5">
        <v>25.54</v>
      </c>
      <c r="E649" s="5">
        <v>25.64</v>
      </c>
      <c r="F649" s="6">
        <v>41674410</v>
      </c>
    </row>
    <row r="650" spans="1:6" x14ac:dyDescent="0.2">
      <c r="A650" s="4">
        <v>45412</v>
      </c>
      <c r="B650" s="5">
        <v>25.65</v>
      </c>
      <c r="C650" s="5">
        <v>25.83</v>
      </c>
      <c r="D650" s="5">
        <v>25.585000000000001</v>
      </c>
      <c r="E650" s="5">
        <v>25.62</v>
      </c>
      <c r="F650" s="6">
        <v>38017740</v>
      </c>
    </row>
    <row r="651" spans="1:6" x14ac:dyDescent="0.2">
      <c r="A651" s="4">
        <v>45413</v>
      </c>
      <c r="B651" s="5">
        <v>26.33</v>
      </c>
      <c r="C651" s="5">
        <v>27.45</v>
      </c>
      <c r="D651" s="5">
        <v>26.02</v>
      </c>
      <c r="E651" s="5">
        <v>27.18</v>
      </c>
      <c r="F651" s="6">
        <v>97521560</v>
      </c>
    </row>
    <row r="652" spans="1:6" x14ac:dyDescent="0.2">
      <c r="A652" s="4">
        <v>45414</v>
      </c>
      <c r="B652" s="5">
        <v>27.21</v>
      </c>
      <c r="C652" s="5">
        <v>27.94</v>
      </c>
      <c r="D652" s="5">
        <v>27.12</v>
      </c>
      <c r="E652" s="5">
        <v>27.7</v>
      </c>
      <c r="F652" s="6">
        <v>69649010</v>
      </c>
    </row>
    <row r="653" spans="1:6" x14ac:dyDescent="0.2">
      <c r="A653" s="4">
        <v>45415</v>
      </c>
      <c r="B653" s="5">
        <v>27.86</v>
      </c>
      <c r="C653" s="5">
        <v>27.905000000000001</v>
      </c>
      <c r="D653" s="5">
        <v>27.52</v>
      </c>
      <c r="E653" s="5">
        <v>27.81</v>
      </c>
      <c r="F653" s="6">
        <v>60568850</v>
      </c>
    </row>
    <row r="654" spans="1:6" x14ac:dyDescent="0.2">
      <c r="A654" s="4">
        <v>45418</v>
      </c>
      <c r="B654" s="5">
        <v>27.98</v>
      </c>
      <c r="C654" s="5">
        <v>28.324999999999999</v>
      </c>
      <c r="D654" s="5">
        <v>27.96</v>
      </c>
      <c r="E654" s="5">
        <v>28.16</v>
      </c>
      <c r="F654" s="6">
        <v>59899710</v>
      </c>
    </row>
    <row r="655" spans="1:6" x14ac:dyDescent="0.2">
      <c r="A655" s="4">
        <v>45419</v>
      </c>
      <c r="B655" s="5">
        <v>28.29</v>
      </c>
      <c r="C655" s="5">
        <v>28.49</v>
      </c>
      <c r="D655" s="5">
        <v>27.4</v>
      </c>
      <c r="E655" s="5">
        <v>27.77</v>
      </c>
      <c r="F655" s="6">
        <v>65606380</v>
      </c>
    </row>
    <row r="656" spans="1:6" x14ac:dyDescent="0.2">
      <c r="A656" s="4">
        <v>45420</v>
      </c>
      <c r="B656" s="5">
        <v>27.7</v>
      </c>
      <c r="C656" s="5">
        <v>28.34</v>
      </c>
      <c r="D656" s="5">
        <v>27.52</v>
      </c>
      <c r="E656" s="5">
        <v>28.27</v>
      </c>
      <c r="F656" s="6">
        <v>39087790</v>
      </c>
    </row>
    <row r="657" spans="1:6" x14ac:dyDescent="0.2">
      <c r="A657" s="4">
        <v>45421</v>
      </c>
      <c r="B657" s="5">
        <v>27.76</v>
      </c>
      <c r="C657" s="5">
        <v>28.25</v>
      </c>
      <c r="D657" s="5">
        <v>27.32</v>
      </c>
      <c r="E657" s="5">
        <v>28.18</v>
      </c>
      <c r="F657" s="6">
        <v>47831090</v>
      </c>
    </row>
    <row r="658" spans="1:6" x14ac:dyDescent="0.2">
      <c r="A658" s="4">
        <v>45422</v>
      </c>
      <c r="B658" s="5">
        <v>28.24</v>
      </c>
      <c r="C658" s="5">
        <v>28.28</v>
      </c>
      <c r="D658" s="5">
        <v>27.92</v>
      </c>
      <c r="E658" s="5">
        <v>28.01</v>
      </c>
      <c r="F658" s="6">
        <v>25849780</v>
      </c>
    </row>
    <row r="659" spans="1:6" x14ac:dyDescent="0.2">
      <c r="A659" s="4">
        <v>45425</v>
      </c>
      <c r="B659" s="5">
        <v>28.19</v>
      </c>
      <c r="C659" s="5">
        <v>28.65</v>
      </c>
      <c r="D659" s="5">
        <v>28.17</v>
      </c>
      <c r="E659" s="5">
        <v>28.44</v>
      </c>
      <c r="F659" s="6">
        <v>39609760</v>
      </c>
    </row>
    <row r="660" spans="1:6" x14ac:dyDescent="0.2">
      <c r="A660" s="4">
        <v>45426</v>
      </c>
      <c r="B660" s="5">
        <v>28.55</v>
      </c>
      <c r="C660" s="5">
        <v>28.68</v>
      </c>
      <c r="D660" s="5">
        <v>28.19</v>
      </c>
      <c r="E660" s="5">
        <v>28.38</v>
      </c>
      <c r="F660" s="6">
        <v>23530860</v>
      </c>
    </row>
    <row r="661" spans="1:6" x14ac:dyDescent="0.2">
      <c r="A661" s="4">
        <v>45427</v>
      </c>
      <c r="B661" s="5">
        <v>28.49</v>
      </c>
      <c r="C661" s="5">
        <v>28.984999999999999</v>
      </c>
      <c r="D661" s="5">
        <v>28.48</v>
      </c>
      <c r="E661" s="5">
        <v>28.82</v>
      </c>
      <c r="F661" s="6">
        <v>38376260</v>
      </c>
    </row>
    <row r="662" spans="1:6" x14ac:dyDescent="0.2">
      <c r="A662" s="4">
        <v>45428</v>
      </c>
      <c r="B662" s="5">
        <v>28.87</v>
      </c>
      <c r="C662" s="5">
        <v>29.03</v>
      </c>
      <c r="D662" s="5">
        <v>28.67</v>
      </c>
      <c r="E662" s="5">
        <v>28.92</v>
      </c>
      <c r="F662" s="6">
        <v>40077780</v>
      </c>
    </row>
    <row r="663" spans="1:6" x14ac:dyDescent="0.2">
      <c r="A663" s="4">
        <v>45429</v>
      </c>
      <c r="B663" s="5">
        <v>28.895</v>
      </c>
      <c r="C663" s="5">
        <v>28.91</v>
      </c>
      <c r="D663" s="5">
        <v>28.51</v>
      </c>
      <c r="E663" s="5">
        <v>28.64</v>
      </c>
      <c r="F663" s="6">
        <v>26106410</v>
      </c>
    </row>
    <row r="664" spans="1:6" x14ac:dyDescent="0.2">
      <c r="A664" s="4">
        <v>45432</v>
      </c>
      <c r="B664" s="5">
        <v>28.66</v>
      </c>
      <c r="C664" s="5">
        <v>28.71</v>
      </c>
      <c r="D664" s="5">
        <v>28.46</v>
      </c>
      <c r="E664" s="5">
        <v>28.53</v>
      </c>
      <c r="F664" s="6">
        <v>22423280</v>
      </c>
    </row>
    <row r="665" spans="1:6" x14ac:dyDescent="0.2">
      <c r="A665" s="4">
        <v>45433</v>
      </c>
      <c r="B665" s="5">
        <v>28.47</v>
      </c>
      <c r="C665" s="5">
        <v>28.67</v>
      </c>
      <c r="D665" s="5">
        <v>28.32</v>
      </c>
      <c r="E665" s="5">
        <v>28.56</v>
      </c>
      <c r="F665" s="6">
        <v>28119950</v>
      </c>
    </row>
    <row r="666" spans="1:6" x14ac:dyDescent="0.2">
      <c r="A666" s="4">
        <v>45434</v>
      </c>
      <c r="B666" s="5">
        <v>28.47</v>
      </c>
      <c r="C666" s="5">
        <v>29.63</v>
      </c>
      <c r="D666" s="5">
        <v>28.414999999999999</v>
      </c>
      <c r="E666" s="5">
        <v>29.6</v>
      </c>
      <c r="F666" s="6">
        <v>46987480</v>
      </c>
    </row>
    <row r="667" spans="1:6" x14ac:dyDescent="0.2">
      <c r="A667" s="4">
        <v>45435</v>
      </c>
      <c r="B667" s="5">
        <v>29.43</v>
      </c>
      <c r="C667" s="5">
        <v>29.43</v>
      </c>
      <c r="D667" s="5">
        <v>28.67</v>
      </c>
      <c r="E667" s="5">
        <v>28.69</v>
      </c>
      <c r="F667" s="6">
        <v>42031330</v>
      </c>
    </row>
    <row r="668" spans="1:6" x14ac:dyDescent="0.2">
      <c r="A668" s="4">
        <v>45436</v>
      </c>
      <c r="B668" s="5">
        <v>28.664999999999999</v>
      </c>
      <c r="C668" s="5">
        <v>28.99</v>
      </c>
      <c r="D668" s="5">
        <v>28.55</v>
      </c>
      <c r="E668" s="5">
        <v>28.88</v>
      </c>
      <c r="F668" s="6">
        <v>22589130</v>
      </c>
    </row>
    <row r="669" spans="1:6" x14ac:dyDescent="0.2">
      <c r="A669" s="4">
        <v>45440</v>
      </c>
      <c r="B669" s="5">
        <v>28.8</v>
      </c>
      <c r="C669" s="5">
        <v>28.88</v>
      </c>
      <c r="D669" s="5">
        <v>28.13</v>
      </c>
      <c r="E669" s="5">
        <v>28.3</v>
      </c>
      <c r="F669" s="6">
        <v>32371220</v>
      </c>
    </row>
    <row r="670" spans="1:6" x14ac:dyDescent="0.2">
      <c r="A670" s="4">
        <v>45441</v>
      </c>
      <c r="B670" s="5">
        <v>28.16</v>
      </c>
      <c r="C670" s="5">
        <v>28.17</v>
      </c>
      <c r="D670" s="5">
        <v>27.69</v>
      </c>
      <c r="E670" s="5">
        <v>27.82</v>
      </c>
      <c r="F670" s="6">
        <v>24241730</v>
      </c>
    </row>
    <row r="671" spans="1:6" x14ac:dyDescent="0.2">
      <c r="A671" s="4">
        <v>45442</v>
      </c>
      <c r="B671" s="5">
        <v>27.91</v>
      </c>
      <c r="C671" s="5">
        <v>28.2</v>
      </c>
      <c r="D671" s="5">
        <v>27.785</v>
      </c>
      <c r="E671" s="5">
        <v>28.2</v>
      </c>
      <c r="F671" s="6">
        <v>23330710</v>
      </c>
    </row>
    <row r="672" spans="1:6" x14ac:dyDescent="0.2">
      <c r="A672" s="4">
        <v>45443</v>
      </c>
      <c r="B672" s="5">
        <v>28.34</v>
      </c>
      <c r="C672" s="5">
        <v>28.75</v>
      </c>
      <c r="D672" s="5">
        <v>28.234999999999999</v>
      </c>
      <c r="E672" s="5">
        <v>28.66</v>
      </c>
      <c r="F672" s="6">
        <v>78290060</v>
      </c>
    </row>
    <row r="673" spans="1:6" x14ac:dyDescent="0.2">
      <c r="A673" s="4">
        <v>45446</v>
      </c>
      <c r="B673" s="5">
        <v>28.66</v>
      </c>
      <c r="C673" s="5">
        <v>29.53</v>
      </c>
      <c r="D673" s="5">
        <v>28.64</v>
      </c>
      <c r="E673" s="5">
        <v>29.31</v>
      </c>
      <c r="F673" s="6">
        <v>38177230</v>
      </c>
    </row>
    <row r="674" spans="1:6" x14ac:dyDescent="0.2">
      <c r="A674" s="4">
        <v>45447</v>
      </c>
      <c r="B674" s="5">
        <v>29.3</v>
      </c>
      <c r="C674" s="5">
        <v>29.73</v>
      </c>
      <c r="D674" s="5">
        <v>29.17</v>
      </c>
      <c r="E674" s="5">
        <v>29.49</v>
      </c>
      <c r="F674" s="6">
        <v>46309530</v>
      </c>
    </row>
    <row r="675" spans="1:6" x14ac:dyDescent="0.2">
      <c r="A675" s="4">
        <v>45448</v>
      </c>
      <c r="B675" s="5">
        <v>29.56</v>
      </c>
      <c r="C675" s="5">
        <v>29.62</v>
      </c>
      <c r="D675" s="5">
        <v>29.17</v>
      </c>
      <c r="E675" s="5">
        <v>29.55</v>
      </c>
      <c r="F675" s="6">
        <v>27346750</v>
      </c>
    </row>
    <row r="676" spans="1:6" x14ac:dyDescent="0.2">
      <c r="A676" s="4">
        <v>45449</v>
      </c>
      <c r="B676" s="5">
        <v>29.36</v>
      </c>
      <c r="C676" s="5">
        <v>29.54</v>
      </c>
      <c r="D676" s="5">
        <v>28.79</v>
      </c>
      <c r="E676" s="5">
        <v>28.8</v>
      </c>
      <c r="F676" s="6">
        <v>35360440</v>
      </c>
    </row>
    <row r="677" spans="1:6" x14ac:dyDescent="0.2">
      <c r="A677" s="4">
        <v>45450</v>
      </c>
      <c r="B677" s="5">
        <v>28.75</v>
      </c>
      <c r="C677" s="5">
        <v>29.05</v>
      </c>
      <c r="D677" s="5">
        <v>28.55</v>
      </c>
      <c r="E677" s="5">
        <v>28.58</v>
      </c>
      <c r="F677" s="6">
        <v>27526200</v>
      </c>
    </row>
    <row r="678" spans="1:6" x14ac:dyDescent="0.2">
      <c r="A678" s="4">
        <v>45453</v>
      </c>
      <c r="B678" s="5">
        <v>28.35</v>
      </c>
      <c r="C678" s="5">
        <v>28.35</v>
      </c>
      <c r="D678" s="5">
        <v>27.63</v>
      </c>
      <c r="E678" s="5">
        <v>28.07</v>
      </c>
      <c r="F678" s="6">
        <v>37003190</v>
      </c>
    </row>
    <row r="679" spans="1:6" x14ac:dyDescent="0.2">
      <c r="A679" s="4">
        <v>45454</v>
      </c>
      <c r="B679" s="5">
        <v>27.95</v>
      </c>
      <c r="C679" s="5">
        <v>28.33</v>
      </c>
      <c r="D679" s="5">
        <v>27.89</v>
      </c>
      <c r="E679" s="5">
        <v>28.03</v>
      </c>
      <c r="F679" s="6">
        <v>29573540</v>
      </c>
    </row>
    <row r="680" spans="1:6" x14ac:dyDescent="0.2">
      <c r="A680" s="4">
        <v>45455</v>
      </c>
      <c r="B680" s="5">
        <v>28.17</v>
      </c>
      <c r="C680" s="5">
        <v>28.229900000000001</v>
      </c>
      <c r="D680" s="5">
        <v>27.56</v>
      </c>
      <c r="E680" s="5">
        <v>27.66</v>
      </c>
      <c r="F680" s="6">
        <v>32507940</v>
      </c>
    </row>
    <row r="681" spans="1:6" x14ac:dyDescent="0.2">
      <c r="A681" s="4">
        <v>45456</v>
      </c>
      <c r="B681" s="5">
        <v>27.5</v>
      </c>
      <c r="C681" s="5">
        <v>27.72</v>
      </c>
      <c r="D681" s="5">
        <v>27.2</v>
      </c>
      <c r="E681" s="5">
        <v>27.65</v>
      </c>
      <c r="F681" s="6">
        <v>33945220</v>
      </c>
    </row>
    <row r="682" spans="1:6" x14ac:dyDescent="0.2">
      <c r="A682" s="4">
        <v>45457</v>
      </c>
      <c r="B682" s="5">
        <v>27.745000000000001</v>
      </c>
      <c r="C682" s="5">
        <v>28.22</v>
      </c>
      <c r="D682" s="5">
        <v>27.43</v>
      </c>
      <c r="E682" s="5">
        <v>27.53</v>
      </c>
      <c r="F682" s="6">
        <v>29461920</v>
      </c>
    </row>
    <row r="683" spans="1:6" x14ac:dyDescent="0.2">
      <c r="A683" s="4">
        <v>45460</v>
      </c>
      <c r="B683" s="5">
        <v>27.45</v>
      </c>
      <c r="C683" s="5">
        <v>27.4758</v>
      </c>
      <c r="D683" s="5">
        <v>26.87</v>
      </c>
      <c r="E683" s="5">
        <v>26.98</v>
      </c>
      <c r="F683" s="6">
        <v>32194650</v>
      </c>
    </row>
    <row r="684" spans="1:6" x14ac:dyDescent="0.2">
      <c r="A684" s="4">
        <v>45461</v>
      </c>
      <c r="B684" s="5">
        <v>26.98</v>
      </c>
      <c r="C684" s="5">
        <v>27.46</v>
      </c>
      <c r="D684" s="5">
        <v>26.95</v>
      </c>
      <c r="E684" s="5">
        <v>27.41</v>
      </c>
      <c r="F684" s="6">
        <v>29817780</v>
      </c>
    </row>
    <row r="685" spans="1:6" x14ac:dyDescent="0.2">
      <c r="A685" s="4">
        <v>45463</v>
      </c>
      <c r="B685" s="5">
        <v>27.2</v>
      </c>
      <c r="C685" s="5">
        <v>27.96</v>
      </c>
      <c r="D685" s="5">
        <v>27.15</v>
      </c>
      <c r="E685" s="5">
        <v>27.74</v>
      </c>
      <c r="F685" s="6">
        <v>29693360</v>
      </c>
    </row>
    <row r="686" spans="1:6" x14ac:dyDescent="0.2">
      <c r="A686" s="4">
        <v>45464</v>
      </c>
      <c r="B686" s="5">
        <v>27.77</v>
      </c>
      <c r="C686" s="5">
        <v>27.89</v>
      </c>
      <c r="D686" s="5">
        <v>27.56</v>
      </c>
      <c r="E686" s="5">
        <v>27.74</v>
      </c>
      <c r="F686" s="6">
        <v>52561560</v>
      </c>
    </row>
    <row r="687" spans="1:6" x14ac:dyDescent="0.2">
      <c r="A687" s="4">
        <v>45467</v>
      </c>
      <c r="B687" s="5">
        <v>27.95</v>
      </c>
      <c r="C687" s="5">
        <v>28.405000000000001</v>
      </c>
      <c r="D687" s="5">
        <v>27.73</v>
      </c>
      <c r="E687" s="5">
        <v>28.36</v>
      </c>
      <c r="F687" s="6">
        <v>35414110</v>
      </c>
    </row>
    <row r="688" spans="1:6" x14ac:dyDescent="0.2">
      <c r="A688" s="4">
        <v>45468</v>
      </c>
      <c r="B688" s="5">
        <v>28.4</v>
      </c>
      <c r="C688" s="5">
        <v>28.45</v>
      </c>
      <c r="D688" s="5">
        <v>27.93</v>
      </c>
      <c r="E688" s="5">
        <v>27.99</v>
      </c>
      <c r="F688" s="6">
        <v>26300710</v>
      </c>
    </row>
    <row r="689" spans="1:6" x14ac:dyDescent="0.2">
      <c r="A689" s="4">
        <v>45469</v>
      </c>
      <c r="B689" s="5">
        <v>27.91</v>
      </c>
      <c r="C689" s="5">
        <v>27.93</v>
      </c>
      <c r="D689" s="5">
        <v>27.07</v>
      </c>
      <c r="E689" s="5">
        <v>27.42</v>
      </c>
      <c r="F689" s="6">
        <v>30745780</v>
      </c>
    </row>
    <row r="690" spans="1:6" x14ac:dyDescent="0.2">
      <c r="A690" s="4">
        <v>45470</v>
      </c>
      <c r="B690" s="5">
        <v>27.37</v>
      </c>
      <c r="C690" s="5">
        <v>27.83</v>
      </c>
      <c r="D690" s="5">
        <v>27.07</v>
      </c>
      <c r="E690" s="5">
        <v>27.8</v>
      </c>
      <c r="F690" s="6">
        <v>28399600</v>
      </c>
    </row>
    <row r="691" spans="1:6" x14ac:dyDescent="0.2">
      <c r="A691" s="4">
        <v>45471</v>
      </c>
      <c r="B691" s="5">
        <v>27.78</v>
      </c>
      <c r="C691" s="5">
        <v>28.12</v>
      </c>
      <c r="D691" s="5">
        <v>27.64</v>
      </c>
      <c r="E691" s="5">
        <v>27.98</v>
      </c>
      <c r="F691" s="6">
        <v>33189220</v>
      </c>
    </row>
    <row r="692" spans="1:6" x14ac:dyDescent="0.2">
      <c r="A692" s="4">
        <v>45474</v>
      </c>
      <c r="B692" s="5">
        <v>27.95</v>
      </c>
      <c r="C692" s="5">
        <v>28.63</v>
      </c>
      <c r="D692" s="5">
        <v>27.94</v>
      </c>
      <c r="E692" s="5">
        <v>28.22</v>
      </c>
      <c r="F692" s="6">
        <v>26208990</v>
      </c>
    </row>
    <row r="693" spans="1:6" x14ac:dyDescent="0.2">
      <c r="A693" s="4">
        <v>45475</v>
      </c>
      <c r="B693" s="5">
        <v>28.22</v>
      </c>
      <c r="C693" s="5">
        <v>28.28</v>
      </c>
      <c r="D693" s="5">
        <v>27.69</v>
      </c>
      <c r="E693" s="5">
        <v>27.83</v>
      </c>
      <c r="F693" s="6">
        <v>21989830</v>
      </c>
    </row>
    <row r="694" spans="1:6" x14ac:dyDescent="0.2">
      <c r="A694" s="4">
        <v>45476</v>
      </c>
      <c r="B694" s="5">
        <v>27.92</v>
      </c>
      <c r="C694" s="5">
        <v>28.05</v>
      </c>
      <c r="D694" s="5">
        <v>27.614999999999998</v>
      </c>
      <c r="E694" s="5">
        <v>27.7</v>
      </c>
      <c r="F694" s="6">
        <v>15180090</v>
      </c>
    </row>
    <row r="695" spans="1:6" x14ac:dyDescent="0.2">
      <c r="A695" s="4">
        <v>45478</v>
      </c>
      <c r="B695" s="5">
        <v>27.76</v>
      </c>
      <c r="C695" s="5">
        <v>28.09</v>
      </c>
      <c r="D695" s="5">
        <v>27.67</v>
      </c>
      <c r="E695" s="5">
        <v>28.05</v>
      </c>
      <c r="F695" s="6">
        <v>17268660</v>
      </c>
    </row>
    <row r="696" spans="1:6" x14ac:dyDescent="0.2">
      <c r="A696" s="4">
        <v>45481</v>
      </c>
      <c r="B696" s="5">
        <v>28.05</v>
      </c>
      <c r="C696" s="5">
        <v>28.12</v>
      </c>
      <c r="D696" s="5">
        <v>27.79</v>
      </c>
      <c r="E696" s="5">
        <v>27.93</v>
      </c>
      <c r="F696" s="6">
        <v>25694360</v>
      </c>
    </row>
    <row r="697" spans="1:6" x14ac:dyDescent="0.2">
      <c r="A697" s="4">
        <v>45482</v>
      </c>
      <c r="B697" s="5">
        <v>27.88</v>
      </c>
      <c r="C697" s="5">
        <v>27.94</v>
      </c>
      <c r="D697" s="5">
        <v>27.295000000000002</v>
      </c>
      <c r="E697" s="5">
        <v>27.72</v>
      </c>
      <c r="F697" s="6">
        <v>36876750</v>
      </c>
    </row>
    <row r="698" spans="1:6" x14ac:dyDescent="0.2">
      <c r="A698" s="4">
        <v>45483</v>
      </c>
      <c r="B698" s="5">
        <v>27.83</v>
      </c>
      <c r="C698" s="5">
        <v>28.41</v>
      </c>
      <c r="D698" s="5">
        <v>27.8</v>
      </c>
      <c r="E698" s="5">
        <v>28.35</v>
      </c>
      <c r="F698" s="6">
        <v>29873570</v>
      </c>
    </row>
    <row r="699" spans="1:6" x14ac:dyDescent="0.2">
      <c r="A699" s="4">
        <v>45484</v>
      </c>
      <c r="B699" s="5">
        <v>28.78</v>
      </c>
      <c r="C699" s="5">
        <v>29.23</v>
      </c>
      <c r="D699" s="5">
        <v>28.42</v>
      </c>
      <c r="E699" s="5">
        <v>28.66</v>
      </c>
      <c r="F699" s="6">
        <v>47322550</v>
      </c>
    </row>
    <row r="700" spans="1:6" x14ac:dyDescent="0.2">
      <c r="A700" s="4">
        <v>45485</v>
      </c>
      <c r="B700" s="5">
        <v>28.9</v>
      </c>
      <c r="C700" s="5">
        <v>29.14</v>
      </c>
      <c r="D700" s="5">
        <v>28.79</v>
      </c>
      <c r="E700" s="5">
        <v>28.92</v>
      </c>
      <c r="F700" s="6">
        <v>28396980</v>
      </c>
    </row>
    <row r="701" spans="1:6" x14ac:dyDescent="0.2">
      <c r="A701" s="4">
        <v>45488</v>
      </c>
      <c r="B701" s="5">
        <v>29.03</v>
      </c>
      <c r="C701" s="5">
        <v>29.27</v>
      </c>
      <c r="D701" s="5">
        <v>28.83</v>
      </c>
      <c r="E701" s="5">
        <v>29.1</v>
      </c>
      <c r="F701" s="6">
        <v>30534360</v>
      </c>
    </row>
    <row r="702" spans="1:6" x14ac:dyDescent="0.2">
      <c r="A702" s="4">
        <v>45489</v>
      </c>
      <c r="B702" s="5">
        <v>29.2</v>
      </c>
      <c r="C702" s="5">
        <v>29.56</v>
      </c>
      <c r="D702" s="5">
        <v>29.12</v>
      </c>
      <c r="E702" s="5">
        <v>29.5</v>
      </c>
      <c r="F702" s="6">
        <v>26912150</v>
      </c>
    </row>
    <row r="703" spans="1:6" x14ac:dyDescent="0.2">
      <c r="A703" s="4">
        <v>45490</v>
      </c>
      <c r="B703" s="5">
        <v>29.42</v>
      </c>
      <c r="C703" s="5">
        <v>30.3</v>
      </c>
      <c r="D703" s="5">
        <v>29.31</v>
      </c>
      <c r="E703" s="5">
        <v>30.03</v>
      </c>
      <c r="F703" s="6">
        <v>45394970</v>
      </c>
    </row>
    <row r="704" spans="1:6" x14ac:dyDescent="0.2">
      <c r="A704" s="4">
        <v>45491</v>
      </c>
      <c r="B704" s="5">
        <v>29.91</v>
      </c>
      <c r="C704" s="5">
        <v>30.69</v>
      </c>
      <c r="D704" s="5">
        <v>29.630299999999998</v>
      </c>
      <c r="E704" s="5">
        <v>29.71</v>
      </c>
      <c r="F704" s="6">
        <v>47279680</v>
      </c>
    </row>
    <row r="705" spans="1:6" x14ac:dyDescent="0.2">
      <c r="A705" s="4">
        <v>45492</v>
      </c>
      <c r="B705" s="5">
        <v>29.94</v>
      </c>
      <c r="C705" s="5">
        <v>30</v>
      </c>
      <c r="D705" s="5">
        <v>29.5501</v>
      </c>
      <c r="E705" s="5">
        <v>29.97</v>
      </c>
      <c r="F705" s="6">
        <v>30021170</v>
      </c>
    </row>
    <row r="706" spans="1:6" x14ac:dyDescent="0.2">
      <c r="A706" s="4">
        <v>45495</v>
      </c>
      <c r="B706" s="5">
        <v>30.11</v>
      </c>
      <c r="C706" s="5">
        <v>30.23</v>
      </c>
      <c r="D706" s="5">
        <v>29.38</v>
      </c>
      <c r="E706" s="5">
        <v>29.6</v>
      </c>
      <c r="F706" s="6">
        <v>46483170</v>
      </c>
    </row>
    <row r="707" spans="1:6" x14ac:dyDescent="0.2">
      <c r="A707" s="4">
        <v>45496</v>
      </c>
      <c r="B707" s="5">
        <v>29.62</v>
      </c>
      <c r="C707" s="5">
        <v>29.64</v>
      </c>
      <c r="D707" s="5">
        <v>29.33</v>
      </c>
      <c r="E707" s="5">
        <v>29.5</v>
      </c>
      <c r="F707" s="6">
        <v>25528290</v>
      </c>
    </row>
    <row r="708" spans="1:6" x14ac:dyDescent="0.2">
      <c r="A708" s="4">
        <v>45497</v>
      </c>
      <c r="B708" s="5">
        <v>29.51</v>
      </c>
      <c r="C708" s="5">
        <v>29.99</v>
      </c>
      <c r="D708" s="5">
        <v>29.31</v>
      </c>
      <c r="E708" s="5">
        <v>29.98</v>
      </c>
      <c r="F708" s="6">
        <v>29579440</v>
      </c>
    </row>
    <row r="709" spans="1:6" x14ac:dyDescent="0.2">
      <c r="A709" s="4">
        <v>45498</v>
      </c>
      <c r="B709" s="5">
        <v>29.97</v>
      </c>
      <c r="C709" s="5">
        <v>30.93</v>
      </c>
      <c r="D709" s="5">
        <v>29.97</v>
      </c>
      <c r="E709" s="5">
        <v>30.18</v>
      </c>
      <c r="F709" s="6">
        <v>42296210</v>
      </c>
    </row>
    <row r="710" spans="1:6" x14ac:dyDescent="0.2">
      <c r="A710" s="4">
        <v>45499</v>
      </c>
      <c r="B710" s="5">
        <v>30.15</v>
      </c>
      <c r="C710" s="5">
        <v>30.88</v>
      </c>
      <c r="D710" s="5">
        <v>30.01</v>
      </c>
      <c r="E710" s="5">
        <v>30.77</v>
      </c>
      <c r="F710" s="6">
        <v>35657080</v>
      </c>
    </row>
    <row r="711" spans="1:6" x14ac:dyDescent="0.2">
      <c r="A711" s="4">
        <v>45502</v>
      </c>
      <c r="B711" s="5">
        <v>30.69</v>
      </c>
      <c r="C711" s="5">
        <v>30.93</v>
      </c>
      <c r="D711" s="5">
        <v>30.44</v>
      </c>
      <c r="E711" s="5">
        <v>30.72</v>
      </c>
      <c r="F711" s="6">
        <v>41713680</v>
      </c>
    </row>
    <row r="712" spans="1:6" x14ac:dyDescent="0.2">
      <c r="A712" s="4">
        <v>45503</v>
      </c>
      <c r="B712" s="5">
        <v>31.01</v>
      </c>
      <c r="C712" s="5">
        <v>31.54</v>
      </c>
      <c r="D712" s="5">
        <v>29.78</v>
      </c>
      <c r="E712" s="5">
        <v>31.39</v>
      </c>
      <c r="F712" s="6">
        <v>89857470</v>
      </c>
    </row>
    <row r="713" spans="1:6" x14ac:dyDescent="0.2">
      <c r="A713" s="4">
        <v>45504</v>
      </c>
      <c r="B713" s="5">
        <v>31.2</v>
      </c>
      <c r="C713" s="5">
        <v>31.26</v>
      </c>
      <c r="D713" s="5">
        <v>30.47</v>
      </c>
      <c r="E713" s="5">
        <v>30.54</v>
      </c>
      <c r="F713" s="6">
        <v>40978680</v>
      </c>
    </row>
    <row r="714" spans="1:6" x14ac:dyDescent="0.2">
      <c r="A714" s="4">
        <v>45505</v>
      </c>
      <c r="B714" s="5">
        <v>30.72</v>
      </c>
      <c r="C714" s="5">
        <v>30.81</v>
      </c>
      <c r="D714" s="5">
        <v>29.91</v>
      </c>
      <c r="E714" s="5">
        <v>30.65</v>
      </c>
      <c r="F714" s="6">
        <v>39753100</v>
      </c>
    </row>
    <row r="715" spans="1:6" x14ac:dyDescent="0.2">
      <c r="A715" s="4">
        <v>45506</v>
      </c>
      <c r="B715" s="5">
        <v>30.88</v>
      </c>
      <c r="C715" s="5">
        <v>31.32</v>
      </c>
      <c r="D715" s="5">
        <v>30.01</v>
      </c>
      <c r="E715" s="5">
        <v>30.43</v>
      </c>
      <c r="F715" s="6">
        <v>42364710</v>
      </c>
    </row>
    <row r="716" spans="1:6" x14ac:dyDescent="0.2">
      <c r="A716" s="4">
        <v>45509</v>
      </c>
      <c r="B716" s="5">
        <v>29.09</v>
      </c>
      <c r="C716" s="5">
        <v>30.01</v>
      </c>
      <c r="D716" s="5">
        <v>28.853000000000002</v>
      </c>
      <c r="E716" s="5">
        <v>29.74</v>
      </c>
      <c r="F716" s="6">
        <v>37838000</v>
      </c>
    </row>
    <row r="717" spans="1:6" x14ac:dyDescent="0.2">
      <c r="A717" s="4">
        <v>45510</v>
      </c>
      <c r="B717" s="5">
        <v>29.73</v>
      </c>
      <c r="C717" s="5">
        <v>30.05</v>
      </c>
      <c r="D717" s="5">
        <v>29.245000000000001</v>
      </c>
      <c r="E717" s="5">
        <v>29.32</v>
      </c>
      <c r="F717" s="6">
        <v>29031810</v>
      </c>
    </row>
    <row r="718" spans="1:6" x14ac:dyDescent="0.2">
      <c r="A718" s="4">
        <v>45511</v>
      </c>
      <c r="B718" s="5">
        <v>29.63</v>
      </c>
      <c r="C718" s="5">
        <v>29.81</v>
      </c>
      <c r="D718" s="5">
        <v>28.74</v>
      </c>
      <c r="E718" s="5">
        <v>28.85</v>
      </c>
      <c r="F718" s="6">
        <v>32866120</v>
      </c>
    </row>
    <row r="719" spans="1:6" x14ac:dyDescent="0.2">
      <c r="A719" s="4">
        <v>45512</v>
      </c>
      <c r="B719" s="5">
        <v>28.93</v>
      </c>
      <c r="C719" s="5">
        <v>29.004999999999999</v>
      </c>
      <c r="D719" s="5">
        <v>28.535</v>
      </c>
      <c r="E719" s="5">
        <v>28.76</v>
      </c>
      <c r="F719" s="6">
        <v>32094450</v>
      </c>
    </row>
    <row r="720" spans="1:6" x14ac:dyDescent="0.2">
      <c r="A720" s="4">
        <v>45513</v>
      </c>
      <c r="B720" s="5">
        <v>28.65</v>
      </c>
      <c r="C720" s="5">
        <v>28.75</v>
      </c>
      <c r="D720" s="5">
        <v>28.45</v>
      </c>
      <c r="E720" s="5">
        <v>28.55</v>
      </c>
      <c r="F720" s="6">
        <v>25795600</v>
      </c>
    </row>
    <row r="721" spans="1:6" x14ac:dyDescent="0.2">
      <c r="A721" s="4">
        <v>45516</v>
      </c>
      <c r="B721" s="5">
        <v>28.58</v>
      </c>
      <c r="C721" s="5">
        <v>28.61</v>
      </c>
      <c r="D721" s="5">
        <v>28.32</v>
      </c>
      <c r="E721" s="5">
        <v>28.45</v>
      </c>
      <c r="F721" s="6">
        <v>21141560</v>
      </c>
    </row>
    <row r="722" spans="1:6" x14ac:dyDescent="0.2">
      <c r="A722" s="4">
        <v>45517</v>
      </c>
      <c r="B722" s="5">
        <v>28.55</v>
      </c>
      <c r="C722" s="5">
        <v>28.95</v>
      </c>
      <c r="D722" s="5">
        <v>28.31</v>
      </c>
      <c r="E722" s="5">
        <v>28.85</v>
      </c>
      <c r="F722" s="6">
        <v>34620730</v>
      </c>
    </row>
    <row r="723" spans="1:6" x14ac:dyDescent="0.2">
      <c r="A723" s="4">
        <v>45518</v>
      </c>
      <c r="B723" s="5">
        <v>28.8</v>
      </c>
      <c r="C723" s="5">
        <v>29.18</v>
      </c>
      <c r="D723" s="5">
        <v>28.664999999999999</v>
      </c>
      <c r="E723" s="5">
        <v>28.88</v>
      </c>
      <c r="F723" s="6">
        <v>23677680</v>
      </c>
    </row>
    <row r="724" spans="1:6" x14ac:dyDescent="0.2">
      <c r="A724" s="4">
        <v>45519</v>
      </c>
      <c r="B724" s="5">
        <v>28.93</v>
      </c>
      <c r="C724" s="5">
        <v>29.01</v>
      </c>
      <c r="D724" s="5">
        <v>28.52</v>
      </c>
      <c r="E724" s="5">
        <v>28.71</v>
      </c>
      <c r="F724" s="6">
        <v>28676780</v>
      </c>
    </row>
    <row r="725" spans="1:6" x14ac:dyDescent="0.2">
      <c r="A725" s="4">
        <v>45520</v>
      </c>
      <c r="B725" s="5">
        <v>28.65</v>
      </c>
      <c r="C725" s="5">
        <v>28.65</v>
      </c>
      <c r="D725" s="5">
        <v>27.85</v>
      </c>
      <c r="E725" s="5">
        <v>28.3</v>
      </c>
      <c r="F725" s="6">
        <v>50332920</v>
      </c>
    </row>
    <row r="726" spans="1:6" x14ac:dyDescent="0.2">
      <c r="A726" s="4">
        <v>45523</v>
      </c>
      <c r="B726" s="5">
        <v>28.35</v>
      </c>
      <c r="C726" s="5">
        <v>28.89</v>
      </c>
      <c r="D726" s="5">
        <v>28.28</v>
      </c>
      <c r="E726" s="5">
        <v>28.8</v>
      </c>
      <c r="F726" s="6">
        <v>26382520</v>
      </c>
    </row>
    <row r="727" spans="1:6" x14ac:dyDescent="0.2">
      <c r="A727" s="4">
        <v>45524</v>
      </c>
      <c r="B727" s="5">
        <v>28.8</v>
      </c>
      <c r="C727" s="5">
        <v>29.19</v>
      </c>
      <c r="D727" s="5">
        <v>28.8</v>
      </c>
      <c r="E727" s="5">
        <v>28.9</v>
      </c>
      <c r="F727" s="6">
        <v>21301280</v>
      </c>
    </row>
    <row r="728" spans="1:6" x14ac:dyDescent="0.2">
      <c r="A728" s="4">
        <v>45525</v>
      </c>
      <c r="B728" s="5">
        <v>28.98</v>
      </c>
      <c r="C728" s="5">
        <v>29.17</v>
      </c>
      <c r="D728" s="5">
        <v>28.93</v>
      </c>
      <c r="E728" s="5">
        <v>29.03</v>
      </c>
      <c r="F728" s="6">
        <v>16729670</v>
      </c>
    </row>
    <row r="729" spans="1:6" x14ac:dyDescent="0.2">
      <c r="A729" s="4">
        <v>45526</v>
      </c>
      <c r="B729" s="5">
        <v>29.02</v>
      </c>
      <c r="C729" s="5">
        <v>29.13</v>
      </c>
      <c r="D729" s="5">
        <v>28.54</v>
      </c>
      <c r="E729" s="5">
        <v>28.78</v>
      </c>
      <c r="F729" s="6">
        <v>20241540</v>
      </c>
    </row>
    <row r="730" spans="1:6" x14ac:dyDescent="0.2">
      <c r="A730" s="4">
        <v>45527</v>
      </c>
      <c r="B730" s="5">
        <v>28.82</v>
      </c>
      <c r="C730" s="5">
        <v>28.94</v>
      </c>
      <c r="D730" s="5">
        <v>28.64</v>
      </c>
      <c r="E730" s="5">
        <v>28.9</v>
      </c>
      <c r="F730" s="6">
        <v>21885330</v>
      </c>
    </row>
    <row r="731" spans="1:6" x14ac:dyDescent="0.2">
      <c r="A731" s="4">
        <v>45530</v>
      </c>
      <c r="B731" s="5">
        <v>28.92</v>
      </c>
      <c r="C731" s="5">
        <v>29.05</v>
      </c>
      <c r="D731" s="5">
        <v>28.77</v>
      </c>
      <c r="E731" s="5">
        <v>28.92</v>
      </c>
      <c r="F731" s="6">
        <v>16506020</v>
      </c>
    </row>
    <row r="732" spans="1:6" x14ac:dyDescent="0.2">
      <c r="A732" s="4">
        <v>45531</v>
      </c>
      <c r="B732" s="5">
        <v>28.98</v>
      </c>
      <c r="C732" s="5">
        <v>29.04</v>
      </c>
      <c r="D732" s="5">
        <v>28.56</v>
      </c>
      <c r="E732" s="5">
        <v>28.82</v>
      </c>
      <c r="F732" s="6">
        <v>16184630</v>
      </c>
    </row>
    <row r="733" spans="1:6" x14ac:dyDescent="0.2">
      <c r="A733" s="4">
        <v>45532</v>
      </c>
      <c r="B733" s="5">
        <v>28.78</v>
      </c>
      <c r="C733" s="5">
        <v>29.08</v>
      </c>
      <c r="D733" s="5">
        <v>28.635000000000002</v>
      </c>
      <c r="E733" s="5">
        <v>28.75</v>
      </c>
      <c r="F733" s="6">
        <v>19874150</v>
      </c>
    </row>
    <row r="734" spans="1:6" x14ac:dyDescent="0.2">
      <c r="A734" s="4">
        <v>45533</v>
      </c>
      <c r="B734" s="5">
        <v>28.87</v>
      </c>
      <c r="C734" s="5">
        <v>28.89</v>
      </c>
      <c r="D734" s="5">
        <v>28.53</v>
      </c>
      <c r="E734" s="5">
        <v>28.72</v>
      </c>
      <c r="F734" s="6">
        <v>19229830</v>
      </c>
    </row>
    <row r="735" spans="1:6" x14ac:dyDescent="0.2">
      <c r="A735" s="4">
        <v>45534</v>
      </c>
      <c r="B735" s="5">
        <v>28.72</v>
      </c>
      <c r="C735" s="5">
        <v>29.05</v>
      </c>
      <c r="D735" s="5">
        <v>28.67</v>
      </c>
      <c r="E735" s="5">
        <v>29.01</v>
      </c>
      <c r="F735" s="6">
        <v>37137600</v>
      </c>
    </row>
    <row r="736" spans="1:6" x14ac:dyDescent="0.2">
      <c r="A736" s="4">
        <v>45538</v>
      </c>
      <c r="B736" s="5">
        <v>28.65</v>
      </c>
      <c r="C736" s="5">
        <v>28.92</v>
      </c>
      <c r="D736" s="5">
        <v>28.14</v>
      </c>
      <c r="E736" s="5">
        <v>28.3</v>
      </c>
      <c r="F736" s="6">
        <v>44499550</v>
      </c>
    </row>
    <row r="737" spans="1:6" x14ac:dyDescent="0.2">
      <c r="A737" s="4">
        <v>45539</v>
      </c>
      <c r="B737" s="5">
        <v>28.29</v>
      </c>
      <c r="C737" s="5">
        <v>28.54</v>
      </c>
      <c r="D737" s="5">
        <v>28.2</v>
      </c>
      <c r="E737" s="5">
        <v>28.39</v>
      </c>
      <c r="F737" s="6">
        <v>23510500</v>
      </c>
    </row>
    <row r="738" spans="1:6" x14ac:dyDescent="0.2">
      <c r="A738" s="4">
        <v>45540</v>
      </c>
      <c r="B738" s="5">
        <v>28.43</v>
      </c>
      <c r="C738" s="5">
        <v>28.8</v>
      </c>
      <c r="D738" s="5">
        <v>28.35</v>
      </c>
      <c r="E738" s="5">
        <v>28.51</v>
      </c>
      <c r="F738" s="6">
        <v>25927160</v>
      </c>
    </row>
    <row r="739" spans="1:6" x14ac:dyDescent="0.2">
      <c r="A739" s="4">
        <v>45541</v>
      </c>
      <c r="B739" s="5">
        <v>28.56</v>
      </c>
      <c r="C739" s="5">
        <v>28.77</v>
      </c>
      <c r="D739" s="5">
        <v>28.28</v>
      </c>
      <c r="E739" s="5">
        <v>28.56</v>
      </c>
      <c r="F739" s="6">
        <v>31214480</v>
      </c>
    </row>
    <row r="740" spans="1:6" x14ac:dyDescent="0.2">
      <c r="A740" s="4">
        <v>45544</v>
      </c>
      <c r="B740" s="5">
        <v>28.54</v>
      </c>
      <c r="C740" s="5">
        <v>29.59</v>
      </c>
      <c r="D740" s="5">
        <v>28.452999999999999</v>
      </c>
      <c r="E740" s="5">
        <v>29.41</v>
      </c>
      <c r="F740" s="6">
        <v>36558420</v>
      </c>
    </row>
    <row r="741" spans="1:6" x14ac:dyDescent="0.2">
      <c r="A741" s="4">
        <v>45545</v>
      </c>
      <c r="B741" s="5">
        <v>29.42</v>
      </c>
      <c r="C741" s="5">
        <v>29.754999999999999</v>
      </c>
      <c r="D741" s="5">
        <v>29.19</v>
      </c>
      <c r="E741" s="5">
        <v>29.74</v>
      </c>
      <c r="F741" s="6">
        <v>32378820</v>
      </c>
    </row>
    <row r="742" spans="1:6" x14ac:dyDescent="0.2">
      <c r="A742" s="4">
        <v>45546</v>
      </c>
      <c r="B742" s="5">
        <v>29.68</v>
      </c>
      <c r="C742" s="5">
        <v>29.7</v>
      </c>
      <c r="D742" s="5">
        <v>29.14</v>
      </c>
      <c r="E742" s="5">
        <v>29.66</v>
      </c>
      <c r="F742" s="6">
        <v>31943120</v>
      </c>
    </row>
    <row r="743" spans="1:6" x14ac:dyDescent="0.2">
      <c r="A743" s="4">
        <v>45547</v>
      </c>
      <c r="B743" s="5">
        <v>29.58</v>
      </c>
      <c r="C743" s="5">
        <v>29.707999999999998</v>
      </c>
      <c r="D743" s="5">
        <v>28.76</v>
      </c>
      <c r="E743" s="5">
        <v>29.16</v>
      </c>
      <c r="F743" s="6">
        <v>32535890</v>
      </c>
    </row>
    <row r="744" spans="1:6" x14ac:dyDescent="0.2">
      <c r="A744" s="4">
        <v>45548</v>
      </c>
      <c r="B744" s="5">
        <v>29.16</v>
      </c>
      <c r="C744" s="5">
        <v>29.32</v>
      </c>
      <c r="D744" s="5">
        <v>28.99</v>
      </c>
      <c r="E744" s="5">
        <v>29.27</v>
      </c>
      <c r="F744" s="6">
        <v>19987680</v>
      </c>
    </row>
    <row r="745" spans="1:6" x14ac:dyDescent="0.2">
      <c r="A745" s="4">
        <v>45551</v>
      </c>
      <c r="B745" s="5">
        <v>29.57</v>
      </c>
      <c r="C745" s="5">
        <v>30.14</v>
      </c>
      <c r="D745" s="5">
        <v>29.44</v>
      </c>
      <c r="E745" s="5">
        <v>30.07</v>
      </c>
      <c r="F745" s="6">
        <v>29224560</v>
      </c>
    </row>
    <row r="746" spans="1:6" x14ac:dyDescent="0.2">
      <c r="A746" s="4">
        <v>45552</v>
      </c>
      <c r="B746" s="5">
        <v>30.045000000000002</v>
      </c>
      <c r="C746" s="5">
        <v>30.14</v>
      </c>
      <c r="D746" s="5">
        <v>29.6</v>
      </c>
      <c r="E746" s="5">
        <v>29.83</v>
      </c>
      <c r="F746" s="6">
        <v>27055290</v>
      </c>
    </row>
    <row r="747" spans="1:6" x14ac:dyDescent="0.2">
      <c r="A747" s="4">
        <v>45553</v>
      </c>
      <c r="B747" s="5">
        <v>30</v>
      </c>
      <c r="C747" s="5">
        <v>30.14</v>
      </c>
      <c r="D747" s="5">
        <v>29.7301</v>
      </c>
      <c r="E747" s="5">
        <v>29.75</v>
      </c>
      <c r="F747" s="6">
        <v>25812850</v>
      </c>
    </row>
    <row r="748" spans="1:6" x14ac:dyDescent="0.2">
      <c r="A748" s="4">
        <v>45554</v>
      </c>
      <c r="B748" s="5">
        <v>29.89</v>
      </c>
      <c r="C748" s="5">
        <v>30.35</v>
      </c>
      <c r="D748" s="5">
        <v>29.52</v>
      </c>
      <c r="E748" s="5">
        <v>29.66</v>
      </c>
      <c r="F748" s="6">
        <v>22653160</v>
      </c>
    </row>
    <row r="749" spans="1:6" x14ac:dyDescent="0.2">
      <c r="A749" s="4">
        <v>45555</v>
      </c>
      <c r="B749" s="5">
        <v>29.54</v>
      </c>
      <c r="C749" s="5">
        <v>29.55</v>
      </c>
      <c r="D749" s="5">
        <v>29.23</v>
      </c>
      <c r="E749" s="5">
        <v>29.42</v>
      </c>
      <c r="F749" s="6">
        <v>56877420</v>
      </c>
    </row>
    <row r="750" spans="1:6" x14ac:dyDescent="0.2">
      <c r="A750" s="4">
        <v>45558</v>
      </c>
      <c r="B750" s="5">
        <v>29.43</v>
      </c>
      <c r="C750" s="5">
        <v>29.47</v>
      </c>
      <c r="D750" s="5">
        <v>29.18</v>
      </c>
      <c r="E750" s="5">
        <v>29.31</v>
      </c>
      <c r="F750" s="6">
        <v>23126230</v>
      </c>
    </row>
    <row r="751" spans="1:6" x14ac:dyDescent="0.2">
      <c r="A751" s="4">
        <v>45559</v>
      </c>
      <c r="B751" s="5">
        <v>29.245000000000001</v>
      </c>
      <c r="C751" s="5">
        <v>29.59</v>
      </c>
      <c r="D751" s="5">
        <v>29.15</v>
      </c>
      <c r="E751" s="5">
        <v>29.5</v>
      </c>
      <c r="F751" s="6">
        <v>21446190</v>
      </c>
    </row>
    <row r="752" spans="1:6" x14ac:dyDescent="0.2">
      <c r="A752" s="4">
        <v>45560</v>
      </c>
      <c r="B752" s="5">
        <v>29.6</v>
      </c>
      <c r="C752" s="5">
        <v>29.71</v>
      </c>
      <c r="D752" s="5">
        <v>28.91</v>
      </c>
      <c r="E752" s="5">
        <v>28.93</v>
      </c>
      <c r="F752" s="6">
        <v>30712710</v>
      </c>
    </row>
    <row r="753" spans="1:6" x14ac:dyDescent="0.2">
      <c r="A753" s="4">
        <v>45561</v>
      </c>
      <c r="B753" s="5">
        <v>28.48</v>
      </c>
      <c r="C753" s="5">
        <v>29.009899999999998</v>
      </c>
      <c r="D753" s="5">
        <v>28.31</v>
      </c>
      <c r="E753" s="5">
        <v>28.97</v>
      </c>
      <c r="F753" s="6">
        <v>32310410</v>
      </c>
    </row>
    <row r="754" spans="1:6" x14ac:dyDescent="0.2">
      <c r="A754" s="4">
        <v>45562</v>
      </c>
      <c r="B754" s="5">
        <v>29.02</v>
      </c>
      <c r="C754" s="5">
        <v>29.23</v>
      </c>
      <c r="D754" s="5">
        <v>28.92</v>
      </c>
      <c r="E754" s="5">
        <v>29.09</v>
      </c>
      <c r="F754" s="6">
        <v>25013040</v>
      </c>
    </row>
    <row r="755" spans="1:6" x14ac:dyDescent="0.2">
      <c r="A755" s="4">
        <v>45565</v>
      </c>
      <c r="B755" s="5">
        <v>29.11</v>
      </c>
      <c r="C755" s="5">
        <v>29.19</v>
      </c>
      <c r="D755" s="5">
        <v>28.78</v>
      </c>
      <c r="E755" s="5">
        <v>28.94</v>
      </c>
      <c r="F755" s="6">
        <v>27481210</v>
      </c>
    </row>
    <row r="756" spans="1:6" x14ac:dyDescent="0.2">
      <c r="A756" s="4">
        <v>45566</v>
      </c>
      <c r="B756" s="5">
        <v>29.05</v>
      </c>
      <c r="C756" s="5">
        <v>29.08</v>
      </c>
      <c r="D756" s="5">
        <v>28.53</v>
      </c>
      <c r="E756" s="5">
        <v>28.67</v>
      </c>
      <c r="F756" s="6">
        <v>30725110</v>
      </c>
    </row>
    <row r="757" spans="1:6" x14ac:dyDescent="0.2">
      <c r="A757" s="4">
        <v>45567</v>
      </c>
      <c r="B757" s="5">
        <v>28.6</v>
      </c>
      <c r="C757" s="5">
        <v>28.77</v>
      </c>
      <c r="D757" s="5">
        <v>28.38</v>
      </c>
      <c r="E757" s="5">
        <v>28.61</v>
      </c>
      <c r="F757" s="6">
        <v>24957180</v>
      </c>
    </row>
    <row r="758" spans="1:6" x14ac:dyDescent="0.2">
      <c r="A758" s="4">
        <v>45568</v>
      </c>
      <c r="B758" s="5">
        <v>28.5</v>
      </c>
      <c r="C758" s="5">
        <v>28.52</v>
      </c>
      <c r="D758" s="5">
        <v>28.26</v>
      </c>
      <c r="E758" s="5">
        <v>28.34</v>
      </c>
      <c r="F758" s="6">
        <v>25678870</v>
      </c>
    </row>
    <row r="759" spans="1:6" x14ac:dyDescent="0.2">
      <c r="A759" s="4">
        <v>45569</v>
      </c>
      <c r="B759" s="5">
        <v>28.29</v>
      </c>
      <c r="C759" s="5">
        <v>28.59</v>
      </c>
      <c r="D759" s="5">
        <v>28.24</v>
      </c>
      <c r="E759" s="5">
        <v>28.58</v>
      </c>
      <c r="F759" s="6">
        <v>28786880</v>
      </c>
    </row>
    <row r="760" spans="1:6" x14ac:dyDescent="0.2">
      <c r="A760" s="4">
        <v>45572</v>
      </c>
      <c r="B760" s="5">
        <v>29.37</v>
      </c>
      <c r="C760" s="5">
        <v>29.84</v>
      </c>
      <c r="D760" s="5">
        <v>29.11</v>
      </c>
      <c r="E760" s="5">
        <v>29.2</v>
      </c>
      <c r="F760" s="6">
        <v>51426590</v>
      </c>
    </row>
    <row r="761" spans="1:6" x14ac:dyDescent="0.2">
      <c r="A761" s="4">
        <v>45573</v>
      </c>
      <c r="B761" s="5">
        <v>29.21</v>
      </c>
      <c r="C761" s="5">
        <v>29.49</v>
      </c>
      <c r="D761" s="5">
        <v>29</v>
      </c>
      <c r="E761" s="5">
        <v>29.18</v>
      </c>
      <c r="F761" s="6">
        <v>29126560</v>
      </c>
    </row>
    <row r="762" spans="1:6" x14ac:dyDescent="0.2">
      <c r="A762" s="4">
        <v>45574</v>
      </c>
      <c r="B762" s="5">
        <v>29.22</v>
      </c>
      <c r="C762" s="5">
        <v>30.43</v>
      </c>
      <c r="D762" s="5">
        <v>29.1</v>
      </c>
      <c r="E762" s="5">
        <v>30.19</v>
      </c>
      <c r="F762" s="6">
        <v>44244840</v>
      </c>
    </row>
    <row r="763" spans="1:6" x14ac:dyDescent="0.2">
      <c r="A763" s="4">
        <v>45575</v>
      </c>
      <c r="B763" s="5">
        <v>29.89</v>
      </c>
      <c r="C763" s="5">
        <v>30.08</v>
      </c>
      <c r="D763" s="5">
        <v>29.28</v>
      </c>
      <c r="E763" s="5">
        <v>29.34</v>
      </c>
      <c r="F763" s="6">
        <v>34347730</v>
      </c>
    </row>
    <row r="764" spans="1:6" x14ac:dyDescent="0.2">
      <c r="A764" s="4">
        <v>45576</v>
      </c>
      <c r="B764" s="5">
        <v>29.36</v>
      </c>
      <c r="C764" s="5">
        <v>29.44</v>
      </c>
      <c r="D764" s="5">
        <v>28.95</v>
      </c>
      <c r="E764" s="5">
        <v>29.16</v>
      </c>
      <c r="F764" s="6">
        <v>29617610</v>
      </c>
    </row>
    <row r="765" spans="1:6" x14ac:dyDescent="0.2">
      <c r="A765" s="4">
        <v>45579</v>
      </c>
      <c r="B765" s="5">
        <v>29.16</v>
      </c>
      <c r="C765" s="5">
        <v>29.17</v>
      </c>
      <c r="D765" s="5">
        <v>28.85</v>
      </c>
      <c r="E765" s="5">
        <v>29.08</v>
      </c>
      <c r="F765" s="6">
        <v>23594180</v>
      </c>
    </row>
    <row r="766" spans="1:6" x14ac:dyDescent="0.2">
      <c r="A766" s="4">
        <v>45580</v>
      </c>
      <c r="B766" s="5">
        <v>29.09</v>
      </c>
      <c r="C766" s="5">
        <v>29.74</v>
      </c>
      <c r="D766" s="5">
        <v>29.07</v>
      </c>
      <c r="E766" s="5">
        <v>29.44</v>
      </c>
      <c r="F766" s="6">
        <v>29009880</v>
      </c>
    </row>
    <row r="767" spans="1:6" x14ac:dyDescent="0.2">
      <c r="A767" s="4">
        <v>45581</v>
      </c>
      <c r="B767" s="5">
        <v>29.5</v>
      </c>
      <c r="C767" s="5">
        <v>29.82</v>
      </c>
      <c r="D767" s="5">
        <v>29.43</v>
      </c>
      <c r="E767" s="5">
        <v>29.67</v>
      </c>
      <c r="F767" s="6">
        <v>28414750</v>
      </c>
    </row>
    <row r="768" spans="1:6" x14ac:dyDescent="0.2">
      <c r="A768" s="4">
        <v>45582</v>
      </c>
      <c r="B768" s="5">
        <v>29.48</v>
      </c>
      <c r="C768" s="5">
        <v>29.53</v>
      </c>
      <c r="D768" s="5">
        <v>29.22</v>
      </c>
      <c r="E768" s="5">
        <v>29.27</v>
      </c>
      <c r="F768" s="6">
        <v>23779150</v>
      </c>
    </row>
    <row r="769" spans="1:6" x14ac:dyDescent="0.2">
      <c r="A769" s="4">
        <v>45583</v>
      </c>
      <c r="B769" s="5">
        <v>29.3</v>
      </c>
      <c r="C769" s="5">
        <v>29.364999999999998</v>
      </c>
      <c r="D769" s="5">
        <v>29.08</v>
      </c>
      <c r="E769" s="5">
        <v>29.22</v>
      </c>
      <c r="F769" s="6">
        <v>24244870</v>
      </c>
    </row>
    <row r="770" spans="1:6" x14ac:dyDescent="0.2">
      <c r="A770" s="4">
        <v>45586</v>
      </c>
      <c r="B770" s="5">
        <v>29.22</v>
      </c>
      <c r="C770" s="5">
        <v>29.22</v>
      </c>
      <c r="D770" s="5">
        <v>28.88</v>
      </c>
      <c r="E770" s="5">
        <v>28.93</v>
      </c>
      <c r="F770" s="6">
        <v>23395660</v>
      </c>
    </row>
    <row r="771" spans="1:6" x14ac:dyDescent="0.2">
      <c r="A771" s="4">
        <v>45587</v>
      </c>
      <c r="B771" s="5">
        <v>28.9</v>
      </c>
      <c r="C771" s="5">
        <v>28.984999999999999</v>
      </c>
      <c r="D771" s="5">
        <v>28.6</v>
      </c>
      <c r="E771" s="5">
        <v>28.84</v>
      </c>
      <c r="F771" s="6">
        <v>29036390</v>
      </c>
    </row>
    <row r="772" spans="1:6" x14ac:dyDescent="0.2">
      <c r="A772" s="4">
        <v>45588</v>
      </c>
      <c r="B772" s="5">
        <v>28.87</v>
      </c>
      <c r="C772" s="5">
        <v>29.11</v>
      </c>
      <c r="D772" s="5">
        <v>28.67</v>
      </c>
      <c r="E772" s="5">
        <v>28.86</v>
      </c>
      <c r="F772" s="6">
        <v>22217570</v>
      </c>
    </row>
    <row r="773" spans="1:6" x14ac:dyDescent="0.2">
      <c r="A773" s="4">
        <v>45589</v>
      </c>
      <c r="B773" s="5">
        <v>28.86</v>
      </c>
      <c r="C773" s="5">
        <v>28.98</v>
      </c>
      <c r="D773" s="5">
        <v>28.5</v>
      </c>
      <c r="E773" s="5">
        <v>28.64</v>
      </c>
      <c r="F773" s="6">
        <v>31473590</v>
      </c>
    </row>
    <row r="774" spans="1:6" x14ac:dyDescent="0.2">
      <c r="A774" s="4">
        <v>45590</v>
      </c>
      <c r="B774" s="5">
        <v>28.68</v>
      </c>
      <c r="C774" s="5">
        <v>28.73</v>
      </c>
      <c r="D774" s="5">
        <v>28.44</v>
      </c>
      <c r="E774" s="5">
        <v>28.45</v>
      </c>
      <c r="F774" s="6">
        <v>26091110</v>
      </c>
    </row>
    <row r="775" spans="1:6" x14ac:dyDescent="0.2">
      <c r="A775" s="4">
        <v>45593</v>
      </c>
      <c r="B775" s="5">
        <v>28.6</v>
      </c>
      <c r="C775" s="5">
        <v>28.94</v>
      </c>
      <c r="D775" s="5">
        <v>28.56</v>
      </c>
      <c r="E775" s="5">
        <v>28.86</v>
      </c>
      <c r="F775" s="6">
        <v>37922530</v>
      </c>
    </row>
    <row r="776" spans="1:6" x14ac:dyDescent="0.2">
      <c r="A776" s="4">
        <v>45594</v>
      </c>
      <c r="B776" s="5">
        <v>29.01</v>
      </c>
      <c r="C776" s="5">
        <v>29.17</v>
      </c>
      <c r="D776" s="5">
        <v>28.024999999999999</v>
      </c>
      <c r="E776" s="5">
        <v>28.46</v>
      </c>
      <c r="F776" s="6">
        <v>102267000</v>
      </c>
    </row>
    <row r="777" spans="1:6" x14ac:dyDescent="0.2">
      <c r="A777" s="4">
        <v>45595</v>
      </c>
      <c r="B777" s="5">
        <v>28.31</v>
      </c>
      <c r="C777" s="5">
        <v>28.6</v>
      </c>
      <c r="D777" s="5">
        <v>28.19</v>
      </c>
      <c r="E777" s="5">
        <v>28.52</v>
      </c>
      <c r="F777" s="6">
        <v>47104020</v>
      </c>
    </row>
    <row r="778" spans="1:6" x14ac:dyDescent="0.2">
      <c r="A778" s="4">
        <v>45596</v>
      </c>
      <c r="B778" s="5">
        <v>28.45</v>
      </c>
      <c r="C778" s="5">
        <v>28.64</v>
      </c>
      <c r="D778" s="5">
        <v>28.29</v>
      </c>
      <c r="E778" s="5">
        <v>28.3</v>
      </c>
      <c r="F778" s="6">
        <v>37909600</v>
      </c>
    </row>
    <row r="779" spans="1:6" x14ac:dyDescent="0.2">
      <c r="A779" s="4">
        <v>45597</v>
      </c>
      <c r="B779" s="5">
        <v>28.48</v>
      </c>
      <c r="C779" s="5">
        <v>28.54</v>
      </c>
      <c r="D779" s="5">
        <v>28.05</v>
      </c>
      <c r="E779" s="5">
        <v>28.09</v>
      </c>
      <c r="F779" s="6">
        <v>46894560</v>
      </c>
    </row>
    <row r="780" spans="1:6" x14ac:dyDescent="0.2">
      <c r="A780" s="4">
        <v>45600</v>
      </c>
      <c r="B780" s="5">
        <v>28.1</v>
      </c>
      <c r="C780" s="5">
        <v>28.14</v>
      </c>
      <c r="D780" s="5">
        <v>27.73</v>
      </c>
      <c r="E780" s="5">
        <v>27.76</v>
      </c>
      <c r="F780" s="6">
        <v>41347820</v>
      </c>
    </row>
    <row r="781" spans="1:6" x14ac:dyDescent="0.2">
      <c r="A781" s="4">
        <v>45601</v>
      </c>
      <c r="B781" s="5">
        <v>27.74</v>
      </c>
      <c r="C781" s="5">
        <v>28</v>
      </c>
      <c r="D781" s="5">
        <v>27.58</v>
      </c>
      <c r="E781" s="5">
        <v>27.99</v>
      </c>
      <c r="F781" s="6">
        <v>44175840</v>
      </c>
    </row>
    <row r="782" spans="1:6" x14ac:dyDescent="0.2">
      <c r="A782" s="4">
        <v>45602</v>
      </c>
      <c r="B782" s="5">
        <v>27.93</v>
      </c>
      <c r="C782" s="5">
        <v>27.99</v>
      </c>
      <c r="D782" s="5">
        <v>27.08</v>
      </c>
      <c r="E782" s="5">
        <v>27.36</v>
      </c>
      <c r="F782" s="6">
        <v>65749520</v>
      </c>
    </row>
    <row r="783" spans="1:6" x14ac:dyDescent="0.2">
      <c r="A783" s="4">
        <v>45603</v>
      </c>
      <c r="B783" s="5">
        <v>27.53</v>
      </c>
      <c r="C783" s="5">
        <v>27.59</v>
      </c>
      <c r="D783" s="5">
        <v>27.34</v>
      </c>
      <c r="E783" s="5">
        <v>27.46</v>
      </c>
      <c r="F783" s="6">
        <v>48484780</v>
      </c>
    </row>
    <row r="784" spans="1:6" x14ac:dyDescent="0.2">
      <c r="A784" s="4">
        <v>45604</v>
      </c>
      <c r="B784" s="5">
        <v>27.11</v>
      </c>
      <c r="C784" s="5">
        <v>27.15</v>
      </c>
      <c r="D784" s="5">
        <v>26.71</v>
      </c>
      <c r="E784" s="5">
        <v>26.72</v>
      </c>
      <c r="F784" s="6">
        <v>55951320</v>
      </c>
    </row>
    <row r="785" spans="1:6" x14ac:dyDescent="0.2">
      <c r="A785" s="4">
        <v>45607</v>
      </c>
      <c r="B785" s="5">
        <v>26.72</v>
      </c>
      <c r="C785" s="5">
        <v>26.83</v>
      </c>
      <c r="D785" s="5">
        <v>26.22</v>
      </c>
      <c r="E785" s="5">
        <v>26.24</v>
      </c>
      <c r="F785" s="6">
        <v>54329260</v>
      </c>
    </row>
    <row r="786" spans="1:6" x14ac:dyDescent="0.2">
      <c r="A786" s="4">
        <v>45608</v>
      </c>
      <c r="B786" s="5">
        <v>26.23</v>
      </c>
      <c r="C786" s="5">
        <v>26.44</v>
      </c>
      <c r="D786" s="5">
        <v>25.95</v>
      </c>
      <c r="E786" s="5">
        <v>26.19</v>
      </c>
      <c r="F786" s="6">
        <v>53035230</v>
      </c>
    </row>
    <row r="787" spans="1:6" x14ac:dyDescent="0.2">
      <c r="A787" s="4">
        <v>45609</v>
      </c>
      <c r="B787" s="5">
        <v>26.23</v>
      </c>
      <c r="C787" s="5">
        <v>26.75</v>
      </c>
      <c r="D787" s="5">
        <v>25.975000000000001</v>
      </c>
      <c r="E787" s="5">
        <v>26.72</v>
      </c>
      <c r="F787" s="6">
        <v>47983090</v>
      </c>
    </row>
    <row r="788" spans="1:6" x14ac:dyDescent="0.2">
      <c r="A788" s="4">
        <v>45610</v>
      </c>
      <c r="B788" s="5">
        <v>26.74</v>
      </c>
      <c r="C788" s="5">
        <v>26.85</v>
      </c>
      <c r="D788" s="5">
        <v>25.84</v>
      </c>
      <c r="E788" s="5">
        <v>26.02</v>
      </c>
      <c r="F788" s="6">
        <v>45262220</v>
      </c>
    </row>
    <row r="789" spans="1:6" x14ac:dyDescent="0.2">
      <c r="A789" s="4">
        <v>45611</v>
      </c>
      <c r="B789" s="5">
        <v>25.7</v>
      </c>
      <c r="C789" s="5">
        <v>25.7</v>
      </c>
      <c r="D789" s="5">
        <v>24.48</v>
      </c>
      <c r="E789" s="5">
        <v>24.8</v>
      </c>
      <c r="F789" s="6">
        <v>131074400</v>
      </c>
    </row>
    <row r="790" spans="1:6" x14ac:dyDescent="0.2">
      <c r="A790" s="4">
        <v>45614</v>
      </c>
      <c r="B790" s="5">
        <v>24.97</v>
      </c>
      <c r="C790" s="5">
        <v>25.25</v>
      </c>
      <c r="D790" s="5">
        <v>24.7</v>
      </c>
      <c r="E790" s="5">
        <v>24.86</v>
      </c>
      <c r="F790" s="6">
        <v>64261280</v>
      </c>
    </row>
    <row r="791" spans="1:6" x14ac:dyDescent="0.2">
      <c r="A791" s="4">
        <v>45615</v>
      </c>
      <c r="B791" s="5">
        <v>24.7</v>
      </c>
      <c r="C791" s="5">
        <v>25.11</v>
      </c>
      <c r="D791" s="5">
        <v>24.61</v>
      </c>
      <c r="E791" s="5">
        <v>25.1</v>
      </c>
      <c r="F791" s="6">
        <v>52381210</v>
      </c>
    </row>
    <row r="792" spans="1:6" x14ac:dyDescent="0.2">
      <c r="A792" s="4">
        <v>45616</v>
      </c>
      <c r="B792" s="5">
        <v>25.07</v>
      </c>
      <c r="C792" s="5">
        <v>25.1</v>
      </c>
      <c r="D792" s="5">
        <v>24.65</v>
      </c>
      <c r="E792" s="5">
        <v>24.94</v>
      </c>
      <c r="F792" s="6">
        <v>46170790</v>
      </c>
    </row>
    <row r="793" spans="1:6" x14ac:dyDescent="0.2">
      <c r="A793" s="4">
        <v>45617</v>
      </c>
      <c r="B793" s="5">
        <v>24.87</v>
      </c>
      <c r="C793" s="5">
        <v>25.215</v>
      </c>
      <c r="D793" s="5">
        <v>24.774999999999999</v>
      </c>
      <c r="E793" s="5">
        <v>25.13</v>
      </c>
      <c r="F793" s="6">
        <v>45048360</v>
      </c>
    </row>
    <row r="794" spans="1:6" x14ac:dyDescent="0.2">
      <c r="A794" s="4">
        <v>45618</v>
      </c>
      <c r="B794" s="5">
        <v>25.18</v>
      </c>
      <c r="C794" s="5">
        <v>25.75</v>
      </c>
      <c r="D794" s="5">
        <v>25.099</v>
      </c>
      <c r="E794" s="5">
        <v>25.65</v>
      </c>
      <c r="F794" s="6">
        <v>41896990</v>
      </c>
    </row>
    <row r="795" spans="1:6" x14ac:dyDescent="0.2">
      <c r="A795" s="4">
        <v>45621</v>
      </c>
      <c r="B795" s="5">
        <v>25.75</v>
      </c>
      <c r="C795" s="5">
        <v>26.45</v>
      </c>
      <c r="D795" s="5">
        <v>25.74</v>
      </c>
      <c r="E795" s="5">
        <v>26.17</v>
      </c>
      <c r="F795" s="6">
        <v>57707650</v>
      </c>
    </row>
    <row r="796" spans="1:6" x14ac:dyDescent="0.2">
      <c r="A796" s="4">
        <v>45622</v>
      </c>
      <c r="B796" s="5">
        <v>26.16</v>
      </c>
      <c r="C796" s="5">
        <v>26.24</v>
      </c>
      <c r="D796" s="5">
        <v>25.61</v>
      </c>
      <c r="E796" s="5">
        <v>25.77</v>
      </c>
      <c r="F796" s="6">
        <v>33001020</v>
      </c>
    </row>
    <row r="797" spans="1:6" x14ac:dyDescent="0.2">
      <c r="A797" s="4">
        <v>45623</v>
      </c>
      <c r="B797" s="5">
        <v>25.76</v>
      </c>
      <c r="C797" s="5">
        <v>25.95</v>
      </c>
      <c r="D797" s="5">
        <v>25.7</v>
      </c>
      <c r="E797" s="5">
        <v>25.83</v>
      </c>
      <c r="F797" s="6">
        <v>28242090</v>
      </c>
    </row>
    <row r="798" spans="1:6" x14ac:dyDescent="0.2">
      <c r="A798" s="4">
        <v>45625</v>
      </c>
      <c r="B798" s="5">
        <v>25.83</v>
      </c>
      <c r="C798" s="5">
        <v>26.23</v>
      </c>
      <c r="D798" s="5">
        <v>25.77</v>
      </c>
      <c r="E798" s="5">
        <v>26.21</v>
      </c>
      <c r="F798" s="6">
        <v>22023020</v>
      </c>
    </row>
    <row r="799" spans="1:6" x14ac:dyDescent="0.2">
      <c r="A799" s="4">
        <v>45628</v>
      </c>
      <c r="B799" s="5">
        <v>26.07</v>
      </c>
      <c r="C799" s="5">
        <v>26.22</v>
      </c>
      <c r="D799" s="5">
        <v>25.73</v>
      </c>
      <c r="E799" s="5">
        <v>25.82</v>
      </c>
      <c r="F799" s="6">
        <v>43866360</v>
      </c>
    </row>
    <row r="800" spans="1:6" x14ac:dyDescent="0.2">
      <c r="A800" s="4">
        <v>45629</v>
      </c>
      <c r="B800" s="5">
        <v>25.83</v>
      </c>
      <c r="C800" s="5">
        <v>25.9</v>
      </c>
      <c r="D800" s="5">
        <v>25.52</v>
      </c>
      <c r="E800" s="5">
        <v>25.56</v>
      </c>
      <c r="F800" s="6">
        <v>49064300</v>
      </c>
    </row>
    <row r="801" spans="1:6" x14ac:dyDescent="0.2">
      <c r="A801" s="4">
        <v>45630</v>
      </c>
      <c r="B801" s="5">
        <v>25.45</v>
      </c>
      <c r="C801" s="5">
        <v>25.5</v>
      </c>
      <c r="D801" s="5">
        <v>25.18</v>
      </c>
      <c r="E801" s="5">
        <v>25.23</v>
      </c>
      <c r="F801" s="6">
        <v>42541530</v>
      </c>
    </row>
    <row r="802" spans="1:6" x14ac:dyDescent="0.2">
      <c r="A802" s="4">
        <v>45631</v>
      </c>
      <c r="B802" s="5">
        <v>25.23</v>
      </c>
      <c r="C802" s="5">
        <v>25.79</v>
      </c>
      <c r="D802" s="5">
        <v>25.14</v>
      </c>
      <c r="E802" s="5">
        <v>25.7</v>
      </c>
      <c r="F802" s="6">
        <v>43647890</v>
      </c>
    </row>
    <row r="803" spans="1:6" x14ac:dyDescent="0.2">
      <c r="A803" s="4">
        <v>45632</v>
      </c>
      <c r="B803" s="5">
        <v>25.74</v>
      </c>
      <c r="C803" s="5">
        <v>26.1</v>
      </c>
      <c r="D803" s="5">
        <v>25.59</v>
      </c>
      <c r="E803" s="5">
        <v>25.73</v>
      </c>
      <c r="F803" s="6">
        <v>31830730</v>
      </c>
    </row>
    <row r="804" spans="1:6" x14ac:dyDescent="0.2">
      <c r="A804" s="4">
        <v>45635</v>
      </c>
      <c r="B804" s="5">
        <v>25.76</v>
      </c>
      <c r="C804" s="5">
        <v>26.44</v>
      </c>
      <c r="D804" s="5">
        <v>25.58</v>
      </c>
      <c r="E804" s="5">
        <v>26.1</v>
      </c>
      <c r="F804" s="6">
        <v>37464820</v>
      </c>
    </row>
    <row r="805" spans="1:6" x14ac:dyDescent="0.2">
      <c r="A805" s="4">
        <v>45636</v>
      </c>
      <c r="B805" s="5">
        <v>26.1</v>
      </c>
      <c r="C805" s="5">
        <v>26.11</v>
      </c>
      <c r="D805" s="5">
        <v>25.51</v>
      </c>
      <c r="E805" s="5">
        <v>25.57</v>
      </c>
      <c r="F805" s="6">
        <v>43280550</v>
      </c>
    </row>
    <row r="806" spans="1:6" x14ac:dyDescent="0.2">
      <c r="A806" s="4">
        <v>45637</v>
      </c>
      <c r="B806" s="5">
        <v>25.38</v>
      </c>
      <c r="C806" s="5">
        <v>25.5137</v>
      </c>
      <c r="D806" s="5">
        <v>25.17</v>
      </c>
      <c r="E806" s="5">
        <v>25.23</v>
      </c>
      <c r="F806" s="6">
        <v>39569370</v>
      </c>
    </row>
    <row r="807" spans="1:6" x14ac:dyDescent="0.2">
      <c r="A807" s="4">
        <v>45638</v>
      </c>
      <c r="B807" s="5">
        <v>25.18</v>
      </c>
      <c r="C807" s="5">
        <v>25.48</v>
      </c>
      <c r="D807" s="5">
        <v>25.06</v>
      </c>
      <c r="E807" s="5">
        <v>25.37</v>
      </c>
      <c r="F807" s="6">
        <v>38705090</v>
      </c>
    </row>
    <row r="808" spans="1:6" x14ac:dyDescent="0.2">
      <c r="A808" s="4">
        <v>45639</v>
      </c>
      <c r="B808" s="5">
        <v>25.34</v>
      </c>
      <c r="C808" s="5">
        <v>25.66</v>
      </c>
      <c r="D808" s="5">
        <v>25.26</v>
      </c>
      <c r="E808" s="5">
        <v>25.58</v>
      </c>
      <c r="F808" s="6">
        <v>29043560</v>
      </c>
    </row>
    <row r="809" spans="1:6" x14ac:dyDescent="0.2">
      <c r="A809" s="4">
        <v>45642</v>
      </c>
      <c r="B809" s="5">
        <v>25.59</v>
      </c>
      <c r="C809" s="5">
        <v>25.75</v>
      </c>
      <c r="D809" s="5">
        <v>25.221800000000002</v>
      </c>
      <c r="E809" s="5">
        <v>25.25</v>
      </c>
      <c r="F809" s="6">
        <v>40193950</v>
      </c>
    </row>
    <row r="810" spans="1:6" x14ac:dyDescent="0.2">
      <c r="A810" s="4">
        <v>45643</v>
      </c>
      <c r="B810" s="5">
        <v>25.9</v>
      </c>
      <c r="C810" s="5">
        <v>26.46</v>
      </c>
      <c r="D810" s="5">
        <v>25.86</v>
      </c>
      <c r="E810" s="5">
        <v>26.43</v>
      </c>
      <c r="F810" s="6">
        <v>71440270</v>
      </c>
    </row>
    <row r="811" spans="1:6" x14ac:dyDescent="0.2">
      <c r="A811" s="4">
        <v>45644</v>
      </c>
      <c r="B811" s="5">
        <v>26.19</v>
      </c>
      <c r="C811" s="5">
        <v>26.52</v>
      </c>
      <c r="D811" s="5">
        <v>25.86</v>
      </c>
      <c r="E811" s="5">
        <v>25.89</v>
      </c>
      <c r="F811" s="6">
        <v>47575130</v>
      </c>
    </row>
    <row r="812" spans="1:6" x14ac:dyDescent="0.2">
      <c r="A812" s="4">
        <v>45645</v>
      </c>
      <c r="B812" s="5">
        <v>25.7</v>
      </c>
      <c r="C812" s="5">
        <v>26.09</v>
      </c>
      <c r="D812" s="5">
        <v>25.574999999999999</v>
      </c>
      <c r="E812" s="5">
        <v>25.77</v>
      </c>
      <c r="F812" s="6">
        <v>50324680</v>
      </c>
    </row>
    <row r="813" spans="1:6" x14ac:dyDescent="0.2">
      <c r="A813" s="4">
        <v>45646</v>
      </c>
      <c r="B813" s="5">
        <v>25.7</v>
      </c>
      <c r="C813" s="5">
        <v>26.49</v>
      </c>
      <c r="D813" s="5">
        <v>25.7</v>
      </c>
      <c r="E813" s="5">
        <v>26.36</v>
      </c>
      <c r="F813" s="6">
        <v>116340100</v>
      </c>
    </row>
    <row r="814" spans="1:6" x14ac:dyDescent="0.2">
      <c r="A814" s="4">
        <v>45649</v>
      </c>
      <c r="B814" s="5">
        <v>26.36</v>
      </c>
      <c r="C814" s="5">
        <v>26.75</v>
      </c>
      <c r="D814" s="5">
        <v>26.19</v>
      </c>
      <c r="E814" s="5">
        <v>26.71</v>
      </c>
      <c r="F814" s="6">
        <v>35350370</v>
      </c>
    </row>
    <row r="815" spans="1:6" x14ac:dyDescent="0.2">
      <c r="A815" s="4">
        <v>45650</v>
      </c>
      <c r="B815" s="5">
        <v>26.59</v>
      </c>
      <c r="C815" s="5">
        <v>26.77</v>
      </c>
      <c r="D815" s="5">
        <v>26.3812</v>
      </c>
      <c r="E815" s="5">
        <v>26.74</v>
      </c>
      <c r="F815" s="6">
        <v>19716420</v>
      </c>
    </row>
    <row r="816" spans="1:6" x14ac:dyDescent="0.2">
      <c r="A816" s="4">
        <v>45652</v>
      </c>
      <c r="B816" s="5">
        <v>26.64</v>
      </c>
      <c r="C816" s="5">
        <v>26.72</v>
      </c>
      <c r="D816" s="5">
        <v>26.48</v>
      </c>
      <c r="E816" s="5">
        <v>26.56</v>
      </c>
      <c r="F816" s="6">
        <v>31513730</v>
      </c>
    </row>
    <row r="817" spans="1:6" x14ac:dyDescent="0.2">
      <c r="A817" s="4">
        <v>45653</v>
      </c>
      <c r="B817" s="5">
        <v>26.43</v>
      </c>
      <c r="C817" s="5">
        <v>26.85</v>
      </c>
      <c r="D817" s="5">
        <v>26.422499999999999</v>
      </c>
      <c r="E817" s="5">
        <v>26.62</v>
      </c>
      <c r="F817" s="6">
        <v>35218280</v>
      </c>
    </row>
    <row r="818" spans="1:6" x14ac:dyDescent="0.2">
      <c r="A818" s="4">
        <v>45656</v>
      </c>
      <c r="B818" s="5">
        <v>26.48</v>
      </c>
      <c r="C818" s="5">
        <v>26.58</v>
      </c>
      <c r="D818" s="5">
        <v>26.24</v>
      </c>
      <c r="E818" s="5">
        <v>26.42</v>
      </c>
      <c r="F818" s="6">
        <v>32859110</v>
      </c>
    </row>
    <row r="819" spans="1:6" x14ac:dyDescent="0.2">
      <c r="A819" s="4">
        <v>45657</v>
      </c>
      <c r="B819" s="5">
        <v>26.4</v>
      </c>
      <c r="C819" s="5">
        <v>26.65</v>
      </c>
      <c r="D819" s="5">
        <v>26.36</v>
      </c>
      <c r="E819" s="5">
        <v>26.53</v>
      </c>
      <c r="F819" s="6">
        <v>27085470</v>
      </c>
    </row>
    <row r="820" spans="1:6" x14ac:dyDescent="0.2">
      <c r="A820" s="4">
        <v>45659</v>
      </c>
      <c r="B820" s="5">
        <v>26.75</v>
      </c>
      <c r="C820" s="5">
        <v>26.86</v>
      </c>
      <c r="D820" s="5">
        <v>26.56</v>
      </c>
      <c r="E820" s="5">
        <v>26.61</v>
      </c>
      <c r="F820" s="6">
        <v>32899230</v>
      </c>
    </row>
    <row r="821" spans="1:6" x14ac:dyDescent="0.2">
      <c r="A821" s="4">
        <v>45660</v>
      </c>
      <c r="B821" s="5">
        <v>26.7</v>
      </c>
      <c r="C821" s="5">
        <v>26.84</v>
      </c>
      <c r="D821" s="5">
        <v>26.520099999999999</v>
      </c>
      <c r="E821" s="5">
        <v>26.59</v>
      </c>
      <c r="F821" s="6">
        <v>33416990</v>
      </c>
    </row>
    <row r="822" spans="1:6" x14ac:dyDescent="0.2">
      <c r="A822" s="4">
        <v>45663</v>
      </c>
      <c r="B822" s="5">
        <v>26.71</v>
      </c>
      <c r="C822" s="5">
        <v>27.25</v>
      </c>
      <c r="D822" s="5">
        <v>26.56</v>
      </c>
      <c r="E822" s="5">
        <v>26.89</v>
      </c>
      <c r="F822" s="6">
        <v>43950970</v>
      </c>
    </row>
    <row r="823" spans="1:6" x14ac:dyDescent="0.2">
      <c r="A823" s="4">
        <v>45664</v>
      </c>
      <c r="B823" s="5">
        <v>27.01</v>
      </c>
      <c r="C823" s="5">
        <v>27.57</v>
      </c>
      <c r="D823" s="5">
        <v>26.94</v>
      </c>
      <c r="E823" s="5">
        <v>27.13</v>
      </c>
      <c r="F823" s="6">
        <v>35029960</v>
      </c>
    </row>
    <row r="824" spans="1:6" x14ac:dyDescent="0.2">
      <c r="A824" s="4">
        <v>45665</v>
      </c>
      <c r="B824" s="5">
        <v>27.05</v>
      </c>
      <c r="C824" s="5">
        <v>27.14</v>
      </c>
      <c r="D824" s="5">
        <v>26.23</v>
      </c>
      <c r="E824" s="5">
        <v>26.86</v>
      </c>
      <c r="F824" s="6">
        <v>35430720</v>
      </c>
    </row>
    <row r="825" spans="1:6" x14ac:dyDescent="0.2">
      <c r="A825" s="4">
        <v>45667</v>
      </c>
      <c r="B825" s="5">
        <v>26.87</v>
      </c>
      <c r="C825" s="5">
        <v>27.05</v>
      </c>
      <c r="D825" s="5">
        <v>26.69</v>
      </c>
      <c r="E825" s="5">
        <v>26.72</v>
      </c>
      <c r="F825" s="6">
        <v>32836860</v>
      </c>
    </row>
    <row r="826" spans="1:6" x14ac:dyDescent="0.2">
      <c r="A826" s="4">
        <v>45670</v>
      </c>
      <c r="B826" s="5">
        <v>26.65</v>
      </c>
      <c r="C826" s="5">
        <v>26.81</v>
      </c>
      <c r="D826" s="5">
        <v>26.36</v>
      </c>
      <c r="E826" s="5">
        <v>26.8</v>
      </c>
      <c r="F826" s="6">
        <v>28359600</v>
      </c>
    </row>
    <row r="827" spans="1:6" x14ac:dyDescent="0.2">
      <c r="A827" s="4">
        <v>45671</v>
      </c>
      <c r="B827" s="5">
        <v>26.81</v>
      </c>
      <c r="C827" s="5">
        <v>26.87</v>
      </c>
      <c r="D827" s="5">
        <v>26.27</v>
      </c>
      <c r="E827" s="5">
        <v>26.41</v>
      </c>
      <c r="F827" s="6">
        <v>25856910</v>
      </c>
    </row>
    <row r="828" spans="1:6" x14ac:dyDescent="0.2">
      <c r="A828" s="4">
        <v>45672</v>
      </c>
      <c r="B828" s="5">
        <v>26.515000000000001</v>
      </c>
      <c r="C828" s="5">
        <v>26.65</v>
      </c>
      <c r="D828" s="5">
        <v>26.21</v>
      </c>
      <c r="E828" s="5">
        <v>26.22</v>
      </c>
      <c r="F828" s="6">
        <v>35949690</v>
      </c>
    </row>
    <row r="829" spans="1:6" x14ac:dyDescent="0.2">
      <c r="A829" s="4">
        <v>45673</v>
      </c>
      <c r="B829" s="5">
        <v>26.07</v>
      </c>
      <c r="C829" s="5">
        <v>26.57</v>
      </c>
      <c r="D829" s="5">
        <v>25.96</v>
      </c>
      <c r="E829" s="5">
        <v>26.49</v>
      </c>
      <c r="F829" s="6">
        <v>29981140</v>
      </c>
    </row>
    <row r="830" spans="1:6" x14ac:dyDescent="0.2">
      <c r="A830" s="4">
        <v>45674</v>
      </c>
      <c r="B830" s="5">
        <v>26.395</v>
      </c>
      <c r="C830" s="5">
        <v>26.56</v>
      </c>
      <c r="D830" s="5">
        <v>26.22</v>
      </c>
      <c r="E830" s="5">
        <v>26.3</v>
      </c>
      <c r="F830" s="6">
        <v>35380330</v>
      </c>
    </row>
    <row r="831" spans="1:6" x14ac:dyDescent="0.2">
      <c r="A831" s="4">
        <v>45678</v>
      </c>
      <c r="B831" s="5">
        <v>26.45</v>
      </c>
      <c r="C831" s="5">
        <v>26.64</v>
      </c>
      <c r="D831" s="5">
        <v>26.39</v>
      </c>
      <c r="E831" s="5">
        <v>26.64</v>
      </c>
      <c r="F831" s="6">
        <v>39745590</v>
      </c>
    </row>
    <row r="832" spans="1:6" x14ac:dyDescent="0.2">
      <c r="A832" s="4">
        <v>45679</v>
      </c>
      <c r="B832" s="5">
        <v>26.51</v>
      </c>
      <c r="C832" s="5">
        <v>26.6</v>
      </c>
      <c r="D832" s="5">
        <v>25.97</v>
      </c>
      <c r="E832" s="5">
        <v>26.01</v>
      </c>
      <c r="F832" s="6">
        <v>41890420</v>
      </c>
    </row>
    <row r="833" spans="1:6" x14ac:dyDescent="0.2">
      <c r="A833" s="4">
        <v>45680</v>
      </c>
      <c r="B833" s="5">
        <v>26.01</v>
      </c>
      <c r="C833" s="5">
        <v>26.478200000000001</v>
      </c>
      <c r="D833" s="5">
        <v>25.85</v>
      </c>
      <c r="E833" s="5">
        <v>26.44</v>
      </c>
      <c r="F833" s="6">
        <v>40987050</v>
      </c>
    </row>
    <row r="834" spans="1:6" x14ac:dyDescent="0.2">
      <c r="A834" s="4">
        <v>45681</v>
      </c>
      <c r="B834" s="5">
        <v>26.02</v>
      </c>
      <c r="C834" s="5">
        <v>26.2</v>
      </c>
      <c r="D834" s="5">
        <v>25.96</v>
      </c>
      <c r="E834" s="5">
        <v>26.09</v>
      </c>
      <c r="F834" s="6">
        <v>31300180</v>
      </c>
    </row>
    <row r="835" spans="1:6" x14ac:dyDescent="0.2">
      <c r="A835" s="4">
        <v>45684</v>
      </c>
      <c r="B835" s="5">
        <v>26.24</v>
      </c>
      <c r="C835" s="5">
        <v>26.97</v>
      </c>
      <c r="D835" s="5">
        <v>26.18</v>
      </c>
      <c r="E835" s="5">
        <v>26.86</v>
      </c>
      <c r="F835" s="6">
        <v>50648560</v>
      </c>
    </row>
    <row r="836" spans="1:6" x14ac:dyDescent="0.2">
      <c r="A836" s="4">
        <v>45685</v>
      </c>
      <c r="B836" s="5">
        <v>26.78</v>
      </c>
      <c r="C836" s="5">
        <v>26.86</v>
      </c>
      <c r="D836" s="5">
        <v>26.49</v>
      </c>
      <c r="E836" s="5">
        <v>26.75</v>
      </c>
      <c r="F836" s="6">
        <v>40589560</v>
      </c>
    </row>
    <row r="837" spans="1:6" x14ac:dyDescent="0.2">
      <c r="A837" s="4">
        <v>45686</v>
      </c>
      <c r="B837" s="5">
        <v>26.8</v>
      </c>
      <c r="C837" s="5">
        <v>27.07</v>
      </c>
      <c r="D837" s="5">
        <v>26.57</v>
      </c>
      <c r="E837" s="5">
        <v>26.62</v>
      </c>
      <c r="F837" s="6">
        <v>34418180</v>
      </c>
    </row>
    <row r="838" spans="1:6" x14ac:dyDescent="0.2">
      <c r="A838" s="4">
        <v>45687</v>
      </c>
      <c r="B838" s="5">
        <v>26.66</v>
      </c>
      <c r="C838" s="5">
        <v>27.01</v>
      </c>
      <c r="D838" s="5">
        <v>26.58</v>
      </c>
      <c r="E838" s="5">
        <v>26.91</v>
      </c>
      <c r="F838" s="6">
        <v>32289570</v>
      </c>
    </row>
    <row r="839" spans="1:6" x14ac:dyDescent="0.2">
      <c r="A839" s="4">
        <v>45688</v>
      </c>
      <c r="B839" s="5">
        <v>26.96</v>
      </c>
      <c r="C839" s="5">
        <v>27.01</v>
      </c>
      <c r="D839" s="5">
        <v>26.42</v>
      </c>
      <c r="E839" s="5">
        <v>26.52</v>
      </c>
      <c r="F839" s="6">
        <v>37338150</v>
      </c>
    </row>
    <row r="840" spans="1:6" x14ac:dyDescent="0.2">
      <c r="A840" s="4">
        <v>45691</v>
      </c>
      <c r="B840" s="5">
        <v>26.3</v>
      </c>
      <c r="C840" s="5">
        <v>26.47</v>
      </c>
      <c r="D840" s="5">
        <v>26.15</v>
      </c>
      <c r="E840" s="5">
        <v>26.2</v>
      </c>
      <c r="F840" s="6">
        <v>49626220</v>
      </c>
    </row>
    <row r="841" spans="1:6" x14ac:dyDescent="0.2">
      <c r="A841" s="4">
        <v>45692</v>
      </c>
      <c r="B841" s="5">
        <v>26.1</v>
      </c>
      <c r="C841" s="5">
        <v>26.916799999999999</v>
      </c>
      <c r="D841" s="5">
        <v>25.6</v>
      </c>
      <c r="E841" s="5">
        <v>25.87</v>
      </c>
      <c r="F841" s="6">
        <v>68748340</v>
      </c>
    </row>
    <row r="842" spans="1:6" x14ac:dyDescent="0.2">
      <c r="A842" s="4">
        <v>45693</v>
      </c>
      <c r="B842" s="5">
        <v>25.95</v>
      </c>
      <c r="C842" s="5">
        <v>26.69</v>
      </c>
      <c r="D842" s="5">
        <v>25.7</v>
      </c>
      <c r="E842" s="5">
        <v>26.44</v>
      </c>
      <c r="F842" s="6">
        <v>50426780</v>
      </c>
    </row>
    <row r="843" spans="1:6" x14ac:dyDescent="0.2">
      <c r="A843" s="4">
        <v>45694</v>
      </c>
      <c r="B843" s="5">
        <v>26.42</v>
      </c>
      <c r="C843" s="5">
        <v>26.47</v>
      </c>
      <c r="D843" s="5">
        <v>25.78</v>
      </c>
      <c r="E843" s="5">
        <v>25.83</v>
      </c>
      <c r="F843" s="6">
        <v>45182010</v>
      </c>
    </row>
    <row r="844" spans="1:6" x14ac:dyDescent="0.2">
      <c r="A844" s="4">
        <v>45695</v>
      </c>
      <c r="B844" s="5">
        <v>25.86</v>
      </c>
      <c r="C844" s="5">
        <v>25.959900000000001</v>
      </c>
      <c r="D844" s="5">
        <v>25.53</v>
      </c>
      <c r="E844" s="5">
        <v>25.74</v>
      </c>
      <c r="F844" s="6">
        <v>36512820</v>
      </c>
    </row>
    <row r="845" spans="1:6" x14ac:dyDescent="0.2">
      <c r="A845" s="4">
        <v>45698</v>
      </c>
      <c r="B845" s="5">
        <v>25.78</v>
      </c>
      <c r="C845" s="5">
        <v>26.12</v>
      </c>
      <c r="D845" s="5">
        <v>25.51</v>
      </c>
      <c r="E845" s="5">
        <v>25.87</v>
      </c>
      <c r="F845" s="6">
        <v>39632710</v>
      </c>
    </row>
    <row r="846" spans="1:6" x14ac:dyDescent="0.2">
      <c r="A846" s="4">
        <v>45699</v>
      </c>
      <c r="B846" s="5">
        <v>25.83</v>
      </c>
      <c r="C846" s="5">
        <v>25.91</v>
      </c>
      <c r="D846" s="5">
        <v>25.46</v>
      </c>
      <c r="E846" s="5">
        <v>25.53</v>
      </c>
      <c r="F846" s="6">
        <v>36593280</v>
      </c>
    </row>
    <row r="847" spans="1:6" x14ac:dyDescent="0.2">
      <c r="A847" s="4">
        <v>45700</v>
      </c>
      <c r="B847" s="5">
        <v>25.475000000000001</v>
      </c>
      <c r="C847" s="5">
        <v>25.614999999999998</v>
      </c>
      <c r="D847" s="5">
        <v>25.17</v>
      </c>
      <c r="E847" s="5">
        <v>25.47</v>
      </c>
      <c r="F847" s="6">
        <v>31671610</v>
      </c>
    </row>
    <row r="848" spans="1:6" x14ac:dyDescent="0.2">
      <c r="A848" s="4">
        <v>45701</v>
      </c>
      <c r="B848" s="5">
        <v>25.49</v>
      </c>
      <c r="C848" s="5">
        <v>25.74</v>
      </c>
      <c r="D848" s="5">
        <v>25.33</v>
      </c>
      <c r="E848" s="5">
        <v>25.64</v>
      </c>
      <c r="F848" s="6">
        <v>30612530</v>
      </c>
    </row>
    <row r="849" spans="1:6" x14ac:dyDescent="0.2">
      <c r="A849" s="4">
        <v>45702</v>
      </c>
      <c r="B849" s="5">
        <v>25.73</v>
      </c>
      <c r="C849" s="5">
        <v>25.83</v>
      </c>
      <c r="D849" s="5">
        <v>25.47</v>
      </c>
      <c r="E849" s="5">
        <v>25.53</v>
      </c>
      <c r="F849" s="6">
        <v>33214610</v>
      </c>
    </row>
    <row r="850" spans="1:6" x14ac:dyDescent="0.2">
      <c r="A850" s="4">
        <v>45706</v>
      </c>
      <c r="B850" s="5">
        <v>25.605</v>
      </c>
      <c r="C850" s="5">
        <v>25.74</v>
      </c>
      <c r="D850" s="5">
        <v>25.42</v>
      </c>
      <c r="E850" s="5">
        <v>25.56</v>
      </c>
      <c r="F850" s="6">
        <v>40499740</v>
      </c>
    </row>
    <row r="851" spans="1:6" x14ac:dyDescent="0.2">
      <c r="A851" s="4">
        <v>45707</v>
      </c>
      <c r="B851" s="5">
        <v>25.57</v>
      </c>
      <c r="C851" s="5">
        <v>25.914999999999999</v>
      </c>
      <c r="D851" s="5">
        <v>25.5</v>
      </c>
      <c r="E851" s="5">
        <v>25.89</v>
      </c>
      <c r="F851" s="6">
        <v>37292370</v>
      </c>
    </row>
    <row r="852" spans="1:6" x14ac:dyDescent="0.2">
      <c r="A852" s="4">
        <v>45708</v>
      </c>
      <c r="B852" s="5">
        <v>25.86</v>
      </c>
      <c r="C852" s="5">
        <v>26.08</v>
      </c>
      <c r="D852" s="5">
        <v>25.75</v>
      </c>
      <c r="E852" s="5">
        <v>25.9</v>
      </c>
      <c r="F852" s="6">
        <v>37138960</v>
      </c>
    </row>
    <row r="853" spans="1:6" x14ac:dyDescent="0.2">
      <c r="A853" s="4">
        <v>45709</v>
      </c>
      <c r="B853" s="5">
        <v>25.89</v>
      </c>
      <c r="C853" s="5">
        <v>26.57</v>
      </c>
      <c r="D853" s="5">
        <v>25.844999999999999</v>
      </c>
      <c r="E853" s="5">
        <v>26.3</v>
      </c>
      <c r="F853" s="6">
        <v>54611480</v>
      </c>
    </row>
    <row r="854" spans="1:6" x14ac:dyDescent="0.2">
      <c r="A854" s="4">
        <v>45712</v>
      </c>
      <c r="B854" s="5">
        <v>26.4</v>
      </c>
      <c r="C854" s="5">
        <v>26.74</v>
      </c>
      <c r="D854" s="5">
        <v>25.88</v>
      </c>
      <c r="E854" s="5">
        <v>26.65</v>
      </c>
      <c r="F854" s="6">
        <v>43823330</v>
      </c>
    </row>
    <row r="855" spans="1:6" x14ac:dyDescent="0.2">
      <c r="A855" s="4">
        <v>45713</v>
      </c>
      <c r="B855" s="5">
        <v>26.72</v>
      </c>
      <c r="C855" s="5">
        <v>27.03</v>
      </c>
      <c r="D855" s="5">
        <v>26.54</v>
      </c>
      <c r="E855" s="5">
        <v>26.74</v>
      </c>
      <c r="F855" s="6">
        <v>43560140</v>
      </c>
    </row>
    <row r="856" spans="1:6" x14ac:dyDescent="0.2">
      <c r="A856" s="4">
        <v>45714</v>
      </c>
      <c r="B856" s="5">
        <v>26.68</v>
      </c>
      <c r="C856" s="5">
        <v>26.78</v>
      </c>
      <c r="D856" s="5">
        <v>26.35</v>
      </c>
      <c r="E856" s="5">
        <v>26.42</v>
      </c>
      <c r="F856" s="6">
        <v>30103280</v>
      </c>
    </row>
    <row r="857" spans="1:6" x14ac:dyDescent="0.2">
      <c r="A857" s="4">
        <v>45715</v>
      </c>
      <c r="B857" s="5">
        <v>26.285</v>
      </c>
      <c r="C857" s="5">
        <v>26.5</v>
      </c>
      <c r="D857" s="5">
        <v>26.010899999999999</v>
      </c>
      <c r="E857" s="5">
        <v>26.1</v>
      </c>
      <c r="F857" s="6">
        <v>28268280</v>
      </c>
    </row>
    <row r="858" spans="1:6" x14ac:dyDescent="0.2">
      <c r="A858" s="4">
        <v>45716</v>
      </c>
      <c r="B858" s="5">
        <v>26.055</v>
      </c>
      <c r="C858" s="5">
        <v>26.49</v>
      </c>
      <c r="D858" s="5">
        <v>25.91</v>
      </c>
      <c r="E858" s="5">
        <v>26.43</v>
      </c>
      <c r="F858" s="6">
        <v>51531750</v>
      </c>
    </row>
    <row r="859" spans="1:6" x14ac:dyDescent="0.2">
      <c r="A859" s="4">
        <v>45719</v>
      </c>
      <c r="B859" s="5">
        <v>26.37</v>
      </c>
      <c r="C859" s="5">
        <v>26.895</v>
      </c>
      <c r="D859" s="5">
        <v>25.97</v>
      </c>
      <c r="E859" s="5">
        <v>26.25</v>
      </c>
      <c r="F859" s="6">
        <v>54048600</v>
      </c>
    </row>
    <row r="860" spans="1:6" x14ac:dyDescent="0.2">
      <c r="A860" s="4">
        <v>45720</v>
      </c>
      <c r="B860" s="5">
        <v>26.25</v>
      </c>
      <c r="C860" s="5">
        <v>26.31</v>
      </c>
      <c r="D860" s="5">
        <v>25.67</v>
      </c>
      <c r="E860" s="5">
        <v>25.75</v>
      </c>
      <c r="F860" s="6">
        <v>51315030</v>
      </c>
    </row>
    <row r="861" spans="1:6" x14ac:dyDescent="0.2">
      <c r="A861" s="4">
        <v>45721</v>
      </c>
      <c r="B861" s="5">
        <v>25.7</v>
      </c>
      <c r="C861" s="5">
        <v>26.1799</v>
      </c>
      <c r="D861" s="5">
        <v>25.6601</v>
      </c>
      <c r="E861" s="5">
        <v>25.94</v>
      </c>
      <c r="F861" s="6">
        <v>37062360</v>
      </c>
    </row>
    <row r="862" spans="1:6" x14ac:dyDescent="0.2">
      <c r="A862" s="4">
        <v>45722</v>
      </c>
      <c r="B862" s="5">
        <v>25.93</v>
      </c>
      <c r="C862" s="5">
        <v>26.456199999999999</v>
      </c>
      <c r="D862" s="5">
        <v>25.9</v>
      </c>
      <c r="E862" s="5">
        <v>26.24</v>
      </c>
      <c r="F862" s="6">
        <v>46998310</v>
      </c>
    </row>
    <row r="863" spans="1:6" x14ac:dyDescent="0.2">
      <c r="A863" s="4">
        <v>45723</v>
      </c>
      <c r="B863" s="5">
        <v>26.4</v>
      </c>
      <c r="C863" s="5">
        <v>26.885000000000002</v>
      </c>
      <c r="D863" s="5">
        <v>26.18</v>
      </c>
      <c r="E863" s="5">
        <v>26.73</v>
      </c>
      <c r="F863" s="6">
        <v>54337680</v>
      </c>
    </row>
    <row r="864" spans="1:6" x14ac:dyDescent="0.2">
      <c r="A864" s="4">
        <v>45726</v>
      </c>
      <c r="B864" s="5">
        <v>26.64</v>
      </c>
      <c r="C864" s="5">
        <v>27.24</v>
      </c>
      <c r="D864" s="5">
        <v>26.54</v>
      </c>
      <c r="E864" s="5">
        <v>26.64</v>
      </c>
      <c r="F864" s="6">
        <v>53013460</v>
      </c>
    </row>
    <row r="865" spans="1:6" x14ac:dyDescent="0.2">
      <c r="A865" s="4">
        <v>45727</v>
      </c>
      <c r="B865" s="5">
        <v>26.57</v>
      </c>
      <c r="C865" s="5">
        <v>26.62</v>
      </c>
      <c r="D865" s="5">
        <v>25.87</v>
      </c>
      <c r="E865" s="5">
        <v>25.99</v>
      </c>
      <c r="F865" s="6">
        <v>44841410</v>
      </c>
    </row>
    <row r="866" spans="1:6" x14ac:dyDescent="0.2">
      <c r="A866" s="4">
        <v>45728</v>
      </c>
      <c r="B866" s="5">
        <v>25.934999999999999</v>
      </c>
      <c r="C866" s="5">
        <v>25.97</v>
      </c>
      <c r="D866" s="5">
        <v>25.5</v>
      </c>
      <c r="E866" s="5">
        <v>25.71</v>
      </c>
      <c r="F866" s="6">
        <v>37331040</v>
      </c>
    </row>
    <row r="867" spans="1:6" x14ac:dyDescent="0.2">
      <c r="A867" s="4">
        <v>45729</v>
      </c>
      <c r="B867" s="5">
        <v>25.76</v>
      </c>
      <c r="C867" s="5">
        <v>26.07</v>
      </c>
      <c r="D867" s="5">
        <v>25.53</v>
      </c>
      <c r="E867" s="5">
        <v>25.6</v>
      </c>
      <c r="F867" s="6">
        <v>36717860</v>
      </c>
    </row>
    <row r="868" spans="1:6" x14ac:dyDescent="0.2">
      <c r="A868" s="4">
        <v>45730</v>
      </c>
      <c r="B868" s="5">
        <v>25.62</v>
      </c>
      <c r="C868" s="5">
        <v>25.76</v>
      </c>
      <c r="D868" s="5">
        <v>25.495000000000001</v>
      </c>
      <c r="E868" s="5">
        <v>25.72</v>
      </c>
      <c r="F868" s="6">
        <v>30298340</v>
      </c>
    </row>
    <row r="869" spans="1:6" x14ac:dyDescent="0.2">
      <c r="A869" s="4">
        <v>45733</v>
      </c>
      <c r="B869" s="5">
        <v>25.74</v>
      </c>
      <c r="C869" s="5">
        <v>26.15</v>
      </c>
      <c r="D869" s="5">
        <v>25.585000000000001</v>
      </c>
      <c r="E869" s="5">
        <v>26.05</v>
      </c>
      <c r="F869" s="6">
        <v>32676850</v>
      </c>
    </row>
    <row r="870" spans="1:6" x14ac:dyDescent="0.2">
      <c r="A870" s="4">
        <v>45734</v>
      </c>
      <c r="B870" s="5">
        <v>26.21</v>
      </c>
      <c r="C870" s="5">
        <v>26.4</v>
      </c>
      <c r="D870" s="5">
        <v>26.1</v>
      </c>
      <c r="E870" s="5">
        <v>26.31</v>
      </c>
      <c r="F870" s="6">
        <v>32958720</v>
      </c>
    </row>
    <row r="871" spans="1:6" x14ac:dyDescent="0.2">
      <c r="A871" s="4">
        <v>45735</v>
      </c>
      <c r="B871" s="5">
        <v>26.33</v>
      </c>
      <c r="C871" s="5">
        <v>26.5</v>
      </c>
      <c r="D871" s="5">
        <v>26.08</v>
      </c>
      <c r="E871" s="5">
        <v>26.21</v>
      </c>
      <c r="F871" s="6">
        <v>42522710</v>
      </c>
    </row>
    <row r="872" spans="1:6" x14ac:dyDescent="0.2">
      <c r="A872" s="4">
        <v>45736</v>
      </c>
      <c r="B872" s="5">
        <v>26.245000000000001</v>
      </c>
      <c r="C872" s="5">
        <v>26.295000000000002</v>
      </c>
      <c r="D872" s="5">
        <v>26.015000000000001</v>
      </c>
      <c r="E872" s="5">
        <v>26.19</v>
      </c>
      <c r="F872" s="6">
        <v>35378940</v>
      </c>
    </row>
    <row r="873" spans="1:6" x14ac:dyDescent="0.2">
      <c r="A873" s="4">
        <v>45737</v>
      </c>
      <c r="B873" s="5">
        <v>26.13</v>
      </c>
      <c r="C873" s="5">
        <v>26.52</v>
      </c>
      <c r="D873" s="5">
        <v>26.01</v>
      </c>
      <c r="E873" s="5">
        <v>26.28</v>
      </c>
      <c r="F873" s="6">
        <v>349996500</v>
      </c>
    </row>
    <row r="874" spans="1:6" x14ac:dyDescent="0.2">
      <c r="A874" s="4">
        <v>45740</v>
      </c>
      <c r="B874" s="5">
        <v>26.1</v>
      </c>
      <c r="C874" s="5">
        <v>26.22</v>
      </c>
      <c r="D874" s="5">
        <v>25.89</v>
      </c>
      <c r="E874" s="5">
        <v>26.14</v>
      </c>
      <c r="F874" s="6">
        <v>37944360</v>
      </c>
    </row>
    <row r="875" spans="1:6" x14ac:dyDescent="0.2">
      <c r="A875" s="4">
        <v>45741</v>
      </c>
      <c r="B875" s="5">
        <v>26.16</v>
      </c>
      <c r="C875" s="5">
        <v>26.2</v>
      </c>
      <c r="D875" s="5">
        <v>25.51</v>
      </c>
      <c r="E875" s="5">
        <v>25.55</v>
      </c>
      <c r="F875" s="6">
        <v>47607590</v>
      </c>
    </row>
    <row r="876" spans="1:6" x14ac:dyDescent="0.2">
      <c r="A876" s="4">
        <v>45742</v>
      </c>
      <c r="B876" s="5">
        <v>25.52</v>
      </c>
      <c r="C876" s="5">
        <v>25.65</v>
      </c>
      <c r="D876" s="5">
        <v>25.125</v>
      </c>
      <c r="E876" s="5">
        <v>25.21</v>
      </c>
      <c r="F876" s="6">
        <v>49578890</v>
      </c>
    </row>
    <row r="877" spans="1:6" x14ac:dyDescent="0.2">
      <c r="A877" s="4">
        <v>45743</v>
      </c>
      <c r="B877" s="5">
        <v>25.2</v>
      </c>
      <c r="C877" s="5">
        <v>25.23</v>
      </c>
      <c r="D877" s="5">
        <v>24.83</v>
      </c>
      <c r="E877" s="5">
        <v>25.01</v>
      </c>
      <c r="F877" s="6">
        <v>51302020</v>
      </c>
    </row>
    <row r="878" spans="1:6" x14ac:dyDescent="0.2">
      <c r="A878" s="4">
        <v>45744</v>
      </c>
      <c r="B878" s="5">
        <v>25.03</v>
      </c>
      <c r="C878" s="5">
        <v>25.22</v>
      </c>
      <c r="D878" s="5">
        <v>24.81</v>
      </c>
      <c r="E878" s="5">
        <v>25.21</v>
      </c>
      <c r="F878" s="6">
        <v>32352550</v>
      </c>
    </row>
    <row r="879" spans="1:6" x14ac:dyDescent="0.2">
      <c r="A879" s="4">
        <v>45747</v>
      </c>
      <c r="B879" s="5">
        <v>24.8</v>
      </c>
      <c r="C879" s="5">
        <v>25.425000000000001</v>
      </c>
      <c r="D879" s="5">
        <v>24.61</v>
      </c>
      <c r="E879" s="5">
        <v>25.34</v>
      </c>
      <c r="F879" s="6">
        <v>53498110</v>
      </c>
    </row>
    <row r="880" spans="1:6" x14ac:dyDescent="0.2">
      <c r="A880" s="4">
        <v>45748</v>
      </c>
      <c r="B880" s="5">
        <v>25.29</v>
      </c>
      <c r="C880" s="5">
        <v>25.344999999999999</v>
      </c>
      <c r="D880" s="5">
        <v>24.52</v>
      </c>
      <c r="E880" s="5">
        <v>24.54</v>
      </c>
      <c r="F880" s="6">
        <v>54444200</v>
      </c>
    </row>
    <row r="881" spans="1:6" x14ac:dyDescent="0.2">
      <c r="A881" s="4">
        <v>45749</v>
      </c>
      <c r="B881" s="5">
        <v>24.5</v>
      </c>
      <c r="C881" s="5">
        <v>24.734999999999999</v>
      </c>
      <c r="D881" s="5">
        <v>24.31</v>
      </c>
      <c r="E881" s="5">
        <v>24.7</v>
      </c>
      <c r="F881" s="6">
        <v>41964970</v>
      </c>
    </row>
    <row r="882" spans="1:6" x14ac:dyDescent="0.2">
      <c r="A882" s="4">
        <v>45750</v>
      </c>
      <c r="B882" s="5">
        <v>24.74</v>
      </c>
      <c r="C882" s="5">
        <v>24.87</v>
      </c>
      <c r="D882" s="5">
        <v>24.28</v>
      </c>
      <c r="E882" s="5">
        <v>24.29</v>
      </c>
      <c r="F882" s="6">
        <v>53501840</v>
      </c>
    </row>
    <row r="883" spans="1:6" x14ac:dyDescent="0.2">
      <c r="A883" s="4">
        <v>45751</v>
      </c>
      <c r="B883" s="5">
        <v>23.94</v>
      </c>
      <c r="C883" s="5">
        <v>24.1</v>
      </c>
      <c r="D883" s="5">
        <v>22.95</v>
      </c>
      <c r="E883" s="5">
        <v>22.97</v>
      </c>
      <c r="F883" s="6">
        <v>80002590</v>
      </c>
    </row>
    <row r="884" spans="1:6" x14ac:dyDescent="0.2">
      <c r="A884" s="4">
        <v>45754</v>
      </c>
      <c r="B884" s="5">
        <v>22.14</v>
      </c>
      <c r="C884" s="5">
        <v>23.155000000000001</v>
      </c>
      <c r="D884" s="5">
        <v>21.75</v>
      </c>
      <c r="E884" s="5">
        <v>22.63</v>
      </c>
      <c r="F884" s="6">
        <v>86106060</v>
      </c>
    </row>
    <row r="885" spans="1:6" x14ac:dyDescent="0.2">
      <c r="A885" s="4">
        <v>45755</v>
      </c>
      <c r="B885" s="5">
        <v>22.9</v>
      </c>
      <c r="C885" s="5">
        <v>22.99</v>
      </c>
      <c r="D885" s="5">
        <v>21.44</v>
      </c>
      <c r="E885" s="5">
        <v>21.84</v>
      </c>
      <c r="F885" s="6">
        <v>72406020</v>
      </c>
    </row>
    <row r="886" spans="1:6" x14ac:dyDescent="0.2">
      <c r="A886" s="4">
        <v>45756</v>
      </c>
      <c r="B886" s="5">
        <v>21.11</v>
      </c>
      <c r="C886" s="5">
        <v>22.536899999999999</v>
      </c>
      <c r="D886" s="5">
        <v>20.914999999999999</v>
      </c>
      <c r="E886" s="5">
        <v>22.49</v>
      </c>
      <c r="F886" s="6">
        <v>95954380</v>
      </c>
    </row>
    <row r="887" spans="1:6" x14ac:dyDescent="0.2">
      <c r="A887" s="4">
        <v>45757</v>
      </c>
      <c r="B887" s="5">
        <v>22.26</v>
      </c>
      <c r="C887" s="5">
        <v>22.27</v>
      </c>
      <c r="D887" s="5">
        <v>21.085000000000001</v>
      </c>
      <c r="E887" s="5">
        <v>21.59</v>
      </c>
      <c r="F887" s="6">
        <v>72960680</v>
      </c>
    </row>
    <row r="888" spans="1:6" x14ac:dyDescent="0.2">
      <c r="A888" s="4">
        <v>45758</v>
      </c>
      <c r="B888" s="5">
        <v>21.59</v>
      </c>
      <c r="C888" s="5">
        <v>22</v>
      </c>
      <c r="D888" s="5">
        <v>21.2849</v>
      </c>
      <c r="E888" s="5">
        <v>21.91</v>
      </c>
      <c r="F888" s="6">
        <v>55078090</v>
      </c>
    </row>
    <row r="889" spans="1:6" x14ac:dyDescent="0.2">
      <c r="A889" s="4">
        <v>45761</v>
      </c>
      <c r="B889" s="5">
        <v>22.08</v>
      </c>
      <c r="C889" s="5">
        <v>22.23</v>
      </c>
      <c r="D889" s="5">
        <v>21.87</v>
      </c>
      <c r="E889" s="5">
        <v>22.12</v>
      </c>
      <c r="F889" s="6">
        <v>61900900</v>
      </c>
    </row>
    <row r="890" spans="1:6" x14ac:dyDescent="0.2">
      <c r="A890" s="4">
        <v>45762</v>
      </c>
      <c r="B890" s="5">
        <v>22.17</v>
      </c>
      <c r="C890" s="5">
        <v>22.93</v>
      </c>
      <c r="D890" s="5">
        <v>22.125</v>
      </c>
      <c r="E890" s="5">
        <v>22.44</v>
      </c>
      <c r="F890" s="6">
        <v>51814670</v>
      </c>
    </row>
    <row r="891" spans="1:6" x14ac:dyDescent="0.2">
      <c r="A891" s="4">
        <v>45763</v>
      </c>
      <c r="B891" s="5">
        <v>22.49</v>
      </c>
      <c r="C891" s="5">
        <v>22.68</v>
      </c>
      <c r="D891" s="5">
        <v>21.95</v>
      </c>
      <c r="E891" s="5">
        <v>22.04</v>
      </c>
      <c r="F891" s="6">
        <v>37641160</v>
      </c>
    </row>
    <row r="892" spans="1:6" x14ac:dyDescent="0.2">
      <c r="A892" s="4">
        <v>45764</v>
      </c>
      <c r="B892" s="5">
        <v>22.15</v>
      </c>
      <c r="C892" s="5">
        <v>22.55</v>
      </c>
      <c r="D892" s="5">
        <v>22.1</v>
      </c>
      <c r="E892" s="5">
        <v>22.14</v>
      </c>
      <c r="F892" s="6">
        <v>54073680</v>
      </c>
    </row>
    <row r="893" spans="1:6" x14ac:dyDescent="0.2">
      <c r="A893" s="4">
        <v>45768</v>
      </c>
      <c r="B893" s="5">
        <v>22.125</v>
      </c>
      <c r="C893" s="5">
        <v>22.17</v>
      </c>
      <c r="D893" s="5">
        <v>21.87</v>
      </c>
      <c r="E893" s="5">
        <v>22.04</v>
      </c>
      <c r="F893" s="6">
        <v>32021010</v>
      </c>
    </row>
    <row r="894" spans="1:6" x14ac:dyDescent="0.2">
      <c r="A894" s="4">
        <v>45769</v>
      </c>
      <c r="B894" s="5">
        <v>22.175000000000001</v>
      </c>
      <c r="C894" s="5">
        <v>22.545400000000001</v>
      </c>
      <c r="D894" s="5">
        <v>22.145</v>
      </c>
      <c r="E894" s="5">
        <v>22.53</v>
      </c>
      <c r="F894" s="6">
        <v>36052600</v>
      </c>
    </row>
    <row r="895" spans="1:6" x14ac:dyDescent="0.2">
      <c r="A895" s="4">
        <v>45770</v>
      </c>
      <c r="B895" s="5">
        <v>22.78</v>
      </c>
      <c r="C895" s="5">
        <v>23.055</v>
      </c>
      <c r="D895" s="5">
        <v>22.234999999999999</v>
      </c>
      <c r="E895" s="5">
        <v>22.39</v>
      </c>
      <c r="F895" s="6">
        <v>50781010</v>
      </c>
    </row>
    <row r="896" spans="1:6" x14ac:dyDescent="0.2">
      <c r="A896" s="4">
        <v>45771</v>
      </c>
      <c r="B896" s="5">
        <v>22.4</v>
      </c>
      <c r="C896" s="5">
        <v>22.855</v>
      </c>
      <c r="D896" s="5">
        <v>22.23</v>
      </c>
      <c r="E896" s="5">
        <v>22.78</v>
      </c>
      <c r="F896" s="6">
        <v>35009620</v>
      </c>
    </row>
    <row r="897" spans="1:6" x14ac:dyDescent="0.2">
      <c r="A897" s="4">
        <v>45772</v>
      </c>
      <c r="B897" s="5">
        <v>22.77</v>
      </c>
      <c r="C897" s="5">
        <v>23.105</v>
      </c>
      <c r="D897" s="5">
        <v>22.475000000000001</v>
      </c>
      <c r="E897" s="5">
        <v>22.92</v>
      </c>
      <c r="F897" s="6">
        <v>35847680</v>
      </c>
    </row>
    <row r="898" spans="1:6" x14ac:dyDescent="0.2">
      <c r="A898" s="4">
        <v>45775</v>
      </c>
      <c r="B898" s="5">
        <v>23.03</v>
      </c>
      <c r="C898" s="5">
        <v>23.29</v>
      </c>
      <c r="D898" s="5">
        <v>22.9</v>
      </c>
      <c r="E898" s="5">
        <v>23.05</v>
      </c>
      <c r="F898" s="6">
        <v>55888880</v>
      </c>
    </row>
    <row r="899" spans="1:6" x14ac:dyDescent="0.2">
      <c r="A899" s="4">
        <v>45776</v>
      </c>
      <c r="B899" s="5">
        <v>22.83</v>
      </c>
      <c r="C899" s="5">
        <v>24.12</v>
      </c>
      <c r="D899" s="5">
        <v>22.46</v>
      </c>
      <c r="E899" s="5">
        <v>23.79</v>
      </c>
      <c r="F899" s="6">
        <v>98540190</v>
      </c>
    </row>
    <row r="900" spans="1:6" x14ac:dyDescent="0.2">
      <c r="A900" s="4">
        <v>45777</v>
      </c>
      <c r="B900" s="5">
        <v>24.195</v>
      </c>
      <c r="C900" s="5">
        <v>24.44</v>
      </c>
      <c r="D900" s="5">
        <v>23.98</v>
      </c>
      <c r="E900" s="5">
        <v>24.41</v>
      </c>
      <c r="F900" s="6">
        <v>53941720</v>
      </c>
    </row>
    <row r="901" spans="1:6" x14ac:dyDescent="0.2">
      <c r="A901" s="4">
        <v>45778</v>
      </c>
      <c r="B901" s="5">
        <v>24.3</v>
      </c>
      <c r="C901" s="5">
        <v>24.324999999999999</v>
      </c>
      <c r="D901" s="5">
        <v>23.8</v>
      </c>
      <c r="E901" s="5">
        <v>23.93</v>
      </c>
      <c r="F901" s="6">
        <v>46891740</v>
      </c>
    </row>
    <row r="902" spans="1:6" x14ac:dyDescent="0.2">
      <c r="A902" s="4">
        <v>45779</v>
      </c>
      <c r="B902" s="5">
        <v>24.274999999999999</v>
      </c>
      <c r="C902" s="5">
        <v>24.3</v>
      </c>
      <c r="D902" s="5">
        <v>23.97</v>
      </c>
      <c r="E902" s="5">
        <v>24.2</v>
      </c>
      <c r="F902" s="6">
        <v>41685760</v>
      </c>
    </row>
    <row r="903" spans="1:6" x14ac:dyDescent="0.2">
      <c r="A903" s="4">
        <v>45782</v>
      </c>
      <c r="B903" s="5">
        <v>24.2</v>
      </c>
      <c r="C903" s="5">
        <v>24.25</v>
      </c>
      <c r="D903" s="5">
        <v>23.85</v>
      </c>
      <c r="E903" s="5">
        <v>23.87</v>
      </c>
      <c r="F903" s="6">
        <v>40811810</v>
      </c>
    </row>
    <row r="904" spans="1:6" x14ac:dyDescent="0.2">
      <c r="A904" s="4">
        <v>45783</v>
      </c>
      <c r="B904" s="5">
        <v>23.83</v>
      </c>
      <c r="C904" s="5">
        <v>23.89</v>
      </c>
      <c r="D904" s="5">
        <v>22.844999999999999</v>
      </c>
      <c r="E904" s="5">
        <v>22.88</v>
      </c>
      <c r="F904" s="6">
        <v>60872640</v>
      </c>
    </row>
    <row r="905" spans="1:6" x14ac:dyDescent="0.2">
      <c r="A905" s="4">
        <v>45784</v>
      </c>
      <c r="B905" s="5">
        <v>22.99</v>
      </c>
      <c r="C905" s="5">
        <v>23.085000000000001</v>
      </c>
      <c r="D905" s="5">
        <v>22.72</v>
      </c>
      <c r="E905" s="5">
        <v>22.79</v>
      </c>
      <c r="F905" s="6">
        <v>48369890</v>
      </c>
    </row>
    <row r="906" spans="1:6" x14ac:dyDescent="0.2">
      <c r="A906" s="4">
        <v>45785</v>
      </c>
      <c r="B906" s="5">
        <v>22.82</v>
      </c>
      <c r="C906" s="5">
        <v>23.09</v>
      </c>
      <c r="D906" s="5">
        <v>22.51</v>
      </c>
      <c r="E906" s="5">
        <v>22.97</v>
      </c>
      <c r="F906" s="6">
        <v>55669820</v>
      </c>
    </row>
    <row r="907" spans="1:6" x14ac:dyDescent="0.2">
      <c r="A907" s="4">
        <v>45786</v>
      </c>
      <c r="B907" s="5">
        <v>22.51</v>
      </c>
      <c r="C907" s="5">
        <v>22.6</v>
      </c>
      <c r="D907" s="5">
        <v>22.26</v>
      </c>
      <c r="E907" s="5">
        <v>22.28</v>
      </c>
      <c r="F907" s="6">
        <v>39059760</v>
      </c>
    </row>
    <row r="908" spans="1:6" x14ac:dyDescent="0.2">
      <c r="A908" s="4">
        <v>45789</v>
      </c>
      <c r="B908" s="5">
        <v>22.23</v>
      </c>
      <c r="C908" s="5">
        <v>23.15</v>
      </c>
      <c r="D908" s="5">
        <v>22.18</v>
      </c>
      <c r="E908" s="5">
        <v>23.09</v>
      </c>
      <c r="F908" s="6">
        <v>77480930</v>
      </c>
    </row>
    <row r="909" spans="1:6" x14ac:dyDescent="0.2">
      <c r="A909" s="4">
        <v>45790</v>
      </c>
      <c r="B909" s="5">
        <v>22.9</v>
      </c>
      <c r="C909" s="5">
        <v>22.98</v>
      </c>
      <c r="D909" s="5">
        <v>22.49</v>
      </c>
      <c r="E909" s="5">
        <v>22.87</v>
      </c>
      <c r="F909" s="6">
        <v>41193230</v>
      </c>
    </row>
    <row r="910" spans="1:6" x14ac:dyDescent="0.2">
      <c r="A910" s="4">
        <v>45791</v>
      </c>
      <c r="B910" s="5">
        <v>22.86</v>
      </c>
      <c r="C910" s="5">
        <v>22.9</v>
      </c>
      <c r="D910" s="5">
        <v>21.97</v>
      </c>
      <c r="E910" s="5">
        <v>22.02</v>
      </c>
      <c r="F910" s="6">
        <v>59393960</v>
      </c>
    </row>
    <row r="911" spans="1:6" x14ac:dyDescent="0.2">
      <c r="A911" s="4">
        <v>45792</v>
      </c>
      <c r="B911" s="5">
        <v>22.2</v>
      </c>
      <c r="C911" s="5">
        <v>22.6</v>
      </c>
      <c r="D911" s="5">
        <v>22.09</v>
      </c>
      <c r="E911" s="5">
        <v>22.6</v>
      </c>
      <c r="F911" s="6">
        <v>51800090</v>
      </c>
    </row>
    <row r="912" spans="1:6" x14ac:dyDescent="0.2">
      <c r="A912" s="4">
        <v>45793</v>
      </c>
      <c r="B912" s="5">
        <v>22.65</v>
      </c>
      <c r="C912" s="5">
        <v>22.844999999999999</v>
      </c>
      <c r="D912" s="5">
        <v>22.45</v>
      </c>
      <c r="E912" s="5">
        <v>22.83</v>
      </c>
      <c r="F912" s="6">
        <v>37786790</v>
      </c>
    </row>
    <row r="913" spans="1:6" x14ac:dyDescent="0.2">
      <c r="A913" s="4">
        <v>45796</v>
      </c>
      <c r="B913" s="5">
        <v>22.74</v>
      </c>
      <c r="C913" s="5">
        <v>23.03</v>
      </c>
      <c r="D913" s="5">
        <v>22.6401</v>
      </c>
      <c r="E913" s="5">
        <v>23</v>
      </c>
      <c r="F913" s="6">
        <v>31513690</v>
      </c>
    </row>
    <row r="914" spans="1:6" x14ac:dyDescent="0.2">
      <c r="A914" s="4">
        <v>45797</v>
      </c>
      <c r="B914" s="5">
        <v>23.17</v>
      </c>
      <c r="C914" s="5">
        <v>23.7</v>
      </c>
      <c r="D914" s="5">
        <v>23.155000000000001</v>
      </c>
      <c r="E914" s="5">
        <v>23.52</v>
      </c>
      <c r="F914" s="6">
        <v>57047500</v>
      </c>
    </row>
    <row r="915" spans="1:6" x14ac:dyDescent="0.2">
      <c r="A915" s="4">
        <v>45798</v>
      </c>
      <c r="B915" s="5">
        <v>23.47</v>
      </c>
      <c r="C915" s="5">
        <v>23.48</v>
      </c>
      <c r="D915" s="5">
        <v>23.04</v>
      </c>
      <c r="E915" s="5">
        <v>23.04</v>
      </c>
      <c r="F915" s="6">
        <v>42984720</v>
      </c>
    </row>
    <row r="916" spans="1:6" x14ac:dyDescent="0.2">
      <c r="A916" s="4">
        <v>45799</v>
      </c>
      <c r="B916" s="5">
        <v>23.04</v>
      </c>
      <c r="C916" s="5">
        <v>23.16</v>
      </c>
      <c r="D916" s="5">
        <v>22.81</v>
      </c>
      <c r="E916" s="5">
        <v>23.04</v>
      </c>
      <c r="F916" s="6">
        <v>38602840</v>
      </c>
    </row>
    <row r="917" spans="1:6" x14ac:dyDescent="0.2">
      <c r="A917" s="4">
        <v>45800</v>
      </c>
      <c r="B917" s="5">
        <v>22.95</v>
      </c>
      <c r="C917" s="5">
        <v>23.39</v>
      </c>
      <c r="D917" s="5">
        <v>22.88</v>
      </c>
      <c r="E917" s="5">
        <v>23.32</v>
      </c>
      <c r="F917" s="6">
        <v>35405390</v>
      </c>
    </row>
    <row r="918" spans="1:6" x14ac:dyDescent="0.2">
      <c r="A918" s="4">
        <v>45804</v>
      </c>
      <c r="B918" s="5">
        <v>23.55</v>
      </c>
      <c r="C918" s="5">
        <v>23.66</v>
      </c>
      <c r="D918" s="5">
        <v>23.364999999999998</v>
      </c>
      <c r="E918" s="5">
        <v>23.61</v>
      </c>
      <c r="F918" s="6">
        <v>36155380</v>
      </c>
    </row>
    <row r="919" spans="1:6" x14ac:dyDescent="0.2">
      <c r="A919" s="4">
        <v>45805</v>
      </c>
      <c r="B919" s="5">
        <v>23.61</v>
      </c>
      <c r="C919" s="5">
        <v>23.635000000000002</v>
      </c>
      <c r="D919" s="5">
        <v>23.11</v>
      </c>
      <c r="E919" s="5">
        <v>23.18</v>
      </c>
      <c r="F919" s="6">
        <v>36737180</v>
      </c>
    </row>
    <row r="920" spans="1:6" x14ac:dyDescent="0.2">
      <c r="A920" s="4">
        <v>45806</v>
      </c>
      <c r="B920" s="5">
        <v>23.324999999999999</v>
      </c>
      <c r="C920" s="5">
        <v>23.45</v>
      </c>
      <c r="D920" s="5">
        <v>23.16</v>
      </c>
      <c r="E920" s="5">
        <v>23.45</v>
      </c>
      <c r="F920" s="6">
        <v>26210100</v>
      </c>
    </row>
    <row r="921" spans="1:6" x14ac:dyDescent="0.2">
      <c r="A921" s="4">
        <v>45807</v>
      </c>
      <c r="B921" s="5">
        <v>23.48</v>
      </c>
      <c r="C921" s="5">
        <v>23.62</v>
      </c>
      <c r="D921" s="5">
        <v>23.16</v>
      </c>
      <c r="E921" s="5">
        <v>23.49</v>
      </c>
      <c r="F921" s="6">
        <v>56618550</v>
      </c>
    </row>
    <row r="922" spans="1:6" x14ac:dyDescent="0.2">
      <c r="A922" s="4">
        <v>45810</v>
      </c>
      <c r="B922" s="5">
        <v>23.54</v>
      </c>
      <c r="C922" s="5">
        <v>23.56</v>
      </c>
      <c r="D922" s="5">
        <v>23.221900000000002</v>
      </c>
      <c r="E922" s="5">
        <v>23.46</v>
      </c>
      <c r="F922" s="6">
        <v>30443930</v>
      </c>
    </row>
    <row r="923" spans="1:6" x14ac:dyDescent="0.2">
      <c r="A923" s="4">
        <v>45811</v>
      </c>
      <c r="B923" s="5">
        <v>23.38</v>
      </c>
      <c r="C923" s="5">
        <v>23.54</v>
      </c>
      <c r="D923" s="5">
        <v>23.06</v>
      </c>
      <c r="E923" s="5">
        <v>23.35</v>
      </c>
      <c r="F923" s="6">
        <v>37887100</v>
      </c>
    </row>
    <row r="924" spans="1:6" x14ac:dyDescent="0.2">
      <c r="A924" s="4">
        <v>45812</v>
      </c>
      <c r="B924" s="5">
        <v>23.41</v>
      </c>
      <c r="C924" s="5">
        <v>23.54</v>
      </c>
      <c r="D924" s="5">
        <v>23.35</v>
      </c>
      <c r="E924" s="5">
        <v>23.39</v>
      </c>
      <c r="F924" s="6">
        <v>24500120</v>
      </c>
    </row>
    <row r="925" spans="1:6" x14ac:dyDescent="0.2">
      <c r="A925" s="4">
        <v>45813</v>
      </c>
      <c r="B925" s="5">
        <v>23.44</v>
      </c>
      <c r="C925" s="5">
        <v>23.44</v>
      </c>
      <c r="D925" s="5">
        <v>23.08</v>
      </c>
      <c r="E925" s="5">
        <v>23.12</v>
      </c>
      <c r="F925" s="6">
        <v>33199870</v>
      </c>
    </row>
    <row r="926" spans="1:6" x14ac:dyDescent="0.2">
      <c r="A926" s="4">
        <v>45814</v>
      </c>
      <c r="B926" s="5">
        <v>23.27</v>
      </c>
      <c r="C926" s="5">
        <v>23.58</v>
      </c>
      <c r="D926" s="5">
        <v>23.245000000000001</v>
      </c>
      <c r="E926" s="5">
        <v>23.35</v>
      </c>
      <c r="F926" s="6">
        <v>30426240</v>
      </c>
    </row>
    <row r="927" spans="1:6" x14ac:dyDescent="0.2">
      <c r="A927" s="4">
        <v>45817</v>
      </c>
      <c r="B927" s="5">
        <v>23.44</v>
      </c>
      <c r="C927" s="5">
        <v>24.14</v>
      </c>
      <c r="D927" s="5">
        <v>23.42</v>
      </c>
      <c r="E927" s="5">
        <v>23.97</v>
      </c>
      <c r="F927" s="6">
        <v>42542640</v>
      </c>
    </row>
    <row r="928" spans="1:6" x14ac:dyDescent="0.2">
      <c r="A928" s="4">
        <v>45818</v>
      </c>
      <c r="B928" s="5">
        <v>23.97</v>
      </c>
      <c r="C928" s="5">
        <v>24.42</v>
      </c>
      <c r="D928" s="5">
        <v>23.96</v>
      </c>
      <c r="E928" s="5">
        <v>24.3</v>
      </c>
      <c r="F928" s="6">
        <v>40439210</v>
      </c>
    </row>
    <row r="929" spans="1:6" x14ac:dyDescent="0.2">
      <c r="A929" s="4">
        <v>45819</v>
      </c>
      <c r="B929" s="5">
        <v>24.33</v>
      </c>
      <c r="C929" s="5">
        <v>24.69</v>
      </c>
      <c r="D929" s="5">
        <v>24.32</v>
      </c>
      <c r="E929" s="5">
        <v>24.48</v>
      </c>
      <c r="F929" s="6">
        <v>38558670</v>
      </c>
    </row>
    <row r="930" spans="1:6" x14ac:dyDescent="0.2">
      <c r="A930" s="4">
        <v>45820</v>
      </c>
      <c r="B930" s="5">
        <v>24.53</v>
      </c>
      <c r="C930" s="5">
        <v>24.88</v>
      </c>
      <c r="D930" s="5">
        <v>24.53</v>
      </c>
      <c r="E930" s="5">
        <v>24.84</v>
      </c>
      <c r="F930" s="6">
        <v>42465420</v>
      </c>
    </row>
    <row r="931" spans="1:6" x14ac:dyDescent="0.2">
      <c r="A931" s="4">
        <v>45821</v>
      </c>
      <c r="B931" s="5">
        <v>24.785</v>
      </c>
      <c r="C931" s="5">
        <v>24.95</v>
      </c>
      <c r="D931" s="5">
        <v>24.46</v>
      </c>
      <c r="E931" s="5">
        <v>24.54</v>
      </c>
      <c r="F931" s="6">
        <v>46368360</v>
      </c>
    </row>
    <row r="932" spans="1:6" x14ac:dyDescent="0.2">
      <c r="A932" s="4">
        <v>45824</v>
      </c>
      <c r="B932" s="5">
        <v>24.5</v>
      </c>
      <c r="C932" s="5">
        <v>24.59</v>
      </c>
      <c r="D932" s="5">
        <v>24.28</v>
      </c>
      <c r="E932" s="5">
        <v>24.4</v>
      </c>
      <c r="F932" s="6">
        <v>35102140</v>
      </c>
    </row>
    <row r="933" spans="1:6" x14ac:dyDescent="0.2">
      <c r="A933" s="4">
        <v>45825</v>
      </c>
      <c r="B933" s="5">
        <v>24.27</v>
      </c>
      <c r="C933" s="5">
        <v>24.32</v>
      </c>
      <c r="D933" s="5">
        <v>23.91</v>
      </c>
      <c r="E933" s="5">
        <v>24</v>
      </c>
      <c r="F933" s="6">
        <v>40408780</v>
      </c>
    </row>
    <row r="934" spans="1:6" x14ac:dyDescent="0.2">
      <c r="A934" s="4">
        <v>45826</v>
      </c>
      <c r="B934" s="5">
        <v>23.96</v>
      </c>
      <c r="C934" s="5">
        <v>24.08</v>
      </c>
      <c r="D934" s="5">
        <v>23.77</v>
      </c>
      <c r="E934" s="5">
        <v>23.88</v>
      </c>
      <c r="F934" s="6">
        <v>37076210</v>
      </c>
    </row>
    <row r="935" spans="1:6" x14ac:dyDescent="0.2">
      <c r="A935" s="4">
        <v>45828</v>
      </c>
      <c r="B935" s="5">
        <v>24</v>
      </c>
      <c r="C935" s="5">
        <v>24.09</v>
      </c>
      <c r="D935" s="5">
        <v>23.77</v>
      </c>
      <c r="E935" s="5">
        <v>23.97</v>
      </c>
      <c r="F935" s="6">
        <v>63098140</v>
      </c>
    </row>
    <row r="936" spans="1:6" x14ac:dyDescent="0.2">
      <c r="A936" s="4">
        <v>45831</v>
      </c>
      <c r="B936" s="5">
        <v>23.87</v>
      </c>
      <c r="C936" s="5">
        <v>24.085000000000001</v>
      </c>
      <c r="D936" s="5">
        <v>23.765000000000001</v>
      </c>
      <c r="E936" s="5">
        <v>24.03</v>
      </c>
      <c r="F936" s="6">
        <v>31959080</v>
      </c>
    </row>
    <row r="937" spans="1:6" x14ac:dyDescent="0.2">
      <c r="A937" s="4">
        <v>45832</v>
      </c>
      <c r="B937" s="5">
        <v>24.14</v>
      </c>
      <c r="C937" s="5">
        <v>24.4</v>
      </c>
      <c r="D937" s="5">
        <v>24.11</v>
      </c>
      <c r="E937" s="5">
        <v>24.31</v>
      </c>
      <c r="F937" s="6">
        <v>34404160</v>
      </c>
    </row>
    <row r="938" spans="1:6" x14ac:dyDescent="0.2">
      <c r="A938" s="4">
        <v>45833</v>
      </c>
      <c r="B938" s="5">
        <v>24.21</v>
      </c>
      <c r="C938" s="5">
        <v>24.37</v>
      </c>
      <c r="D938" s="5">
        <v>24.07</v>
      </c>
      <c r="E938" s="5">
        <v>24.26</v>
      </c>
      <c r="F938" s="6">
        <v>25603320</v>
      </c>
    </row>
    <row r="939" spans="1:6" x14ac:dyDescent="0.2">
      <c r="A939" s="4">
        <v>45834</v>
      </c>
      <c r="B939" s="5">
        <v>24.315000000000001</v>
      </c>
      <c r="C939" s="5">
        <v>24.43</v>
      </c>
      <c r="D939" s="5">
        <v>24.16</v>
      </c>
      <c r="E939" s="5">
        <v>24.24</v>
      </c>
      <c r="F939" s="6">
        <v>31835340</v>
      </c>
    </row>
    <row r="940" spans="1:6" x14ac:dyDescent="0.2">
      <c r="A940" s="4">
        <v>45835</v>
      </c>
      <c r="B940" s="5">
        <v>24.35</v>
      </c>
      <c r="C940" s="5">
        <v>24.42</v>
      </c>
      <c r="D940" s="5">
        <v>24.08</v>
      </c>
      <c r="E940" s="5">
        <v>24.19</v>
      </c>
      <c r="F940" s="6">
        <v>39528750</v>
      </c>
    </row>
    <row r="941" spans="1:6" x14ac:dyDescent="0.2">
      <c r="A941" s="4">
        <v>45838</v>
      </c>
      <c r="B941" s="5">
        <v>24.21</v>
      </c>
      <c r="C941" s="5">
        <v>24.38</v>
      </c>
      <c r="D941" s="5">
        <v>24.12</v>
      </c>
      <c r="E941" s="5">
        <v>24.24</v>
      </c>
      <c r="F941" s="6">
        <v>44730910</v>
      </c>
    </row>
    <row r="942" spans="1:6" x14ac:dyDescent="0.2">
      <c r="A942" s="4">
        <v>45839</v>
      </c>
      <c r="B942" s="5">
        <v>24.274999999999999</v>
      </c>
      <c r="C942" s="5">
        <v>25.35</v>
      </c>
      <c r="D942" s="5">
        <v>24.26</v>
      </c>
      <c r="E942" s="5">
        <v>25.04</v>
      </c>
      <c r="F942" s="6">
        <v>59259860</v>
      </c>
    </row>
    <row r="943" spans="1:6" x14ac:dyDescent="0.2">
      <c r="A943" s="4">
        <v>45840</v>
      </c>
      <c r="B943" s="5">
        <v>25.13</v>
      </c>
      <c r="C943" s="5">
        <v>25.36</v>
      </c>
      <c r="D943" s="5">
        <v>25.024999999999999</v>
      </c>
      <c r="E943" s="5">
        <v>25.32</v>
      </c>
      <c r="F943" s="6">
        <v>36772090</v>
      </c>
    </row>
    <row r="944" spans="1:6" x14ac:dyDescent="0.2">
      <c r="A944" s="4">
        <v>45841</v>
      </c>
      <c r="B944" s="5">
        <v>25.35</v>
      </c>
      <c r="C944" s="5">
        <v>25.52</v>
      </c>
      <c r="D944" s="5">
        <v>25.2212</v>
      </c>
      <c r="E944" s="5">
        <v>25.38</v>
      </c>
      <c r="F944" s="6">
        <v>27104580</v>
      </c>
    </row>
    <row r="945" spans="1:6" x14ac:dyDescent="0.2">
      <c r="A945" s="4">
        <v>45845</v>
      </c>
      <c r="B945" s="5">
        <v>25.36</v>
      </c>
      <c r="C945" s="5">
        <v>25.53</v>
      </c>
      <c r="D945" s="5">
        <v>25.14</v>
      </c>
      <c r="E945" s="5">
        <v>25.24</v>
      </c>
      <c r="F945" s="6">
        <v>34905920</v>
      </c>
    </row>
    <row r="946" spans="1:6" x14ac:dyDescent="0.2">
      <c r="A946" s="4">
        <v>45846</v>
      </c>
      <c r="B946" s="5">
        <v>25.24</v>
      </c>
      <c r="C946" s="5">
        <v>25.96</v>
      </c>
      <c r="D946" s="5">
        <v>25.21</v>
      </c>
      <c r="E946" s="5">
        <v>25.62</v>
      </c>
      <c r="F946" s="6">
        <v>51275810</v>
      </c>
    </row>
    <row r="947" spans="1:6" x14ac:dyDescent="0.2">
      <c r="A947" s="4">
        <v>45847</v>
      </c>
      <c r="B947" s="5">
        <v>25.69</v>
      </c>
      <c r="C947" s="5">
        <v>25.8399</v>
      </c>
      <c r="D947" s="5">
        <v>25.34</v>
      </c>
      <c r="E947" s="5">
        <v>25.56</v>
      </c>
      <c r="F947" s="6">
        <v>38362230</v>
      </c>
    </row>
    <row r="948" spans="1:6" x14ac:dyDescent="0.2">
      <c r="A948" s="4">
        <v>45848</v>
      </c>
      <c r="B948" s="5">
        <v>25.58</v>
      </c>
      <c r="C948" s="5">
        <v>26.05</v>
      </c>
      <c r="D948" s="5">
        <v>25.535</v>
      </c>
      <c r="E948" s="5">
        <v>25.78</v>
      </c>
      <c r="F948" s="6">
        <v>39499240</v>
      </c>
    </row>
    <row r="949" spans="1:6" x14ac:dyDescent="0.2">
      <c r="A949" s="4">
        <v>45849</v>
      </c>
      <c r="B949" s="5">
        <v>25.65</v>
      </c>
      <c r="C949" s="5">
        <v>25.715</v>
      </c>
      <c r="D949" s="5">
        <v>25.42</v>
      </c>
      <c r="E949" s="5">
        <v>25.65</v>
      </c>
      <c r="F949" s="6">
        <v>34864400</v>
      </c>
    </row>
    <row r="950" spans="1:6" x14ac:dyDescent="0.2">
      <c r="A950" s="4">
        <v>45852</v>
      </c>
      <c r="B950" s="5">
        <v>25.58</v>
      </c>
      <c r="C950" s="5">
        <v>25.63</v>
      </c>
      <c r="D950" s="5">
        <v>25.34</v>
      </c>
      <c r="E950" s="5">
        <v>25.35</v>
      </c>
      <c r="F950" s="6">
        <v>25918050</v>
      </c>
    </row>
    <row r="951" spans="1:6" x14ac:dyDescent="0.2">
      <c r="A951" s="4">
        <v>45853</v>
      </c>
      <c r="B951" s="5">
        <v>25.335000000000001</v>
      </c>
      <c r="C951" s="5">
        <v>25.44</v>
      </c>
      <c r="D951" s="5">
        <v>24.53</v>
      </c>
      <c r="E951" s="5">
        <v>24.61</v>
      </c>
      <c r="F951" s="6">
        <v>54457960</v>
      </c>
    </row>
    <row r="952" spans="1:6" x14ac:dyDescent="0.2">
      <c r="A952" s="4">
        <v>45854</v>
      </c>
      <c r="B952" s="5">
        <v>24.675000000000001</v>
      </c>
      <c r="C952" s="5">
        <v>24.96</v>
      </c>
      <c r="D952" s="5">
        <v>24.53</v>
      </c>
      <c r="E952" s="5">
        <v>24.61</v>
      </c>
      <c r="F952" s="6">
        <v>44218210</v>
      </c>
    </row>
    <row r="953" spans="1:6" x14ac:dyDescent="0.2">
      <c r="A953" s="4">
        <v>45855</v>
      </c>
      <c r="B953" s="5">
        <v>24.49</v>
      </c>
      <c r="C953" s="5">
        <v>24.78</v>
      </c>
      <c r="D953" s="5">
        <v>24.45</v>
      </c>
      <c r="E953" s="5">
        <v>24.58</v>
      </c>
      <c r="F953" s="6">
        <v>47393880</v>
      </c>
    </row>
    <row r="954" spans="1:6" x14ac:dyDescent="0.2">
      <c r="A954" s="4">
        <v>45856</v>
      </c>
      <c r="B954" s="5">
        <v>24.71</v>
      </c>
      <c r="C954" s="5">
        <v>24.78</v>
      </c>
      <c r="D954" s="5">
        <v>24.39</v>
      </c>
      <c r="E954" s="5">
        <v>24.47</v>
      </c>
      <c r="F954" s="6">
        <v>36309400</v>
      </c>
    </row>
    <row r="955" spans="1:6" x14ac:dyDescent="0.2">
      <c r="A955" s="4">
        <v>45859</v>
      </c>
      <c r="B955" s="5">
        <v>24.59</v>
      </c>
      <c r="C955" s="5">
        <v>24.65</v>
      </c>
      <c r="D955" s="5">
        <v>24.254999999999999</v>
      </c>
      <c r="E955" s="5">
        <v>24.26</v>
      </c>
      <c r="F955" s="6">
        <v>33663380</v>
      </c>
    </row>
    <row r="956" spans="1:6" x14ac:dyDescent="0.2">
      <c r="A956" s="4">
        <v>45860</v>
      </c>
      <c r="B956" s="5">
        <v>24.37</v>
      </c>
      <c r="C956" s="5">
        <v>25.14</v>
      </c>
      <c r="D956" s="5">
        <v>24.34</v>
      </c>
      <c r="E956" s="5">
        <v>25.14</v>
      </c>
      <c r="F956" s="6">
        <v>48091580</v>
      </c>
    </row>
    <row r="957" spans="1:6" x14ac:dyDescent="0.2">
      <c r="A957" s="4">
        <v>45861</v>
      </c>
      <c r="B957" s="5">
        <v>25.38</v>
      </c>
      <c r="C957" s="5">
        <v>25.53</v>
      </c>
      <c r="D957" s="5">
        <v>25.25</v>
      </c>
      <c r="E957" s="5">
        <v>25.36</v>
      </c>
      <c r="F957" s="6">
        <v>42073290</v>
      </c>
    </row>
    <row r="958" spans="1:6" x14ac:dyDescent="0.2">
      <c r="A958" s="4">
        <v>45862</v>
      </c>
      <c r="B958" s="5">
        <v>25.39</v>
      </c>
      <c r="C958" s="5">
        <v>25.54</v>
      </c>
      <c r="D958" s="5">
        <v>25.26</v>
      </c>
      <c r="E958" s="5">
        <v>25.35</v>
      </c>
      <c r="F958" s="6">
        <v>25672380</v>
      </c>
    </row>
    <row r="959" spans="1:6" x14ac:dyDescent="0.2">
      <c r="A959" s="4">
        <v>45863</v>
      </c>
      <c r="B959" s="5">
        <v>24.97</v>
      </c>
      <c r="C959" s="5">
        <v>24.97</v>
      </c>
      <c r="D959" s="5">
        <v>24.62</v>
      </c>
      <c r="E959" s="5">
        <v>24.79</v>
      </c>
      <c r="F959" s="6">
        <v>35643440</v>
      </c>
    </row>
    <row r="960" spans="1:6" x14ac:dyDescent="0.2">
      <c r="A960" s="4">
        <v>45866</v>
      </c>
      <c r="B960" s="5">
        <v>24.675000000000001</v>
      </c>
      <c r="C960" s="5">
        <v>24.73</v>
      </c>
      <c r="D960" s="5">
        <v>24.234999999999999</v>
      </c>
      <c r="E960" s="5">
        <v>24.31</v>
      </c>
      <c r="F960" s="6">
        <v>31096630</v>
      </c>
    </row>
    <row r="961" spans="1:6" x14ac:dyDescent="0.2">
      <c r="A961" s="4">
        <v>45867</v>
      </c>
      <c r="B961" s="5">
        <v>24.31</v>
      </c>
      <c r="C961" s="5">
        <v>24.33</v>
      </c>
      <c r="D961" s="5">
        <v>23.93</v>
      </c>
      <c r="E961" s="5">
        <v>24.3</v>
      </c>
      <c r="F961" s="6">
        <v>38499830</v>
      </c>
    </row>
    <row r="962" spans="1:6" x14ac:dyDescent="0.2">
      <c r="A962" s="4">
        <v>45868</v>
      </c>
      <c r="B962" s="5">
        <v>24.32</v>
      </c>
      <c r="C962" s="5">
        <v>24.395</v>
      </c>
      <c r="D962" s="5">
        <v>23.795000000000002</v>
      </c>
      <c r="E962" s="5">
        <v>23.81</v>
      </c>
      <c r="F962" s="6">
        <v>35649550</v>
      </c>
    </row>
    <row r="963" spans="1:6" x14ac:dyDescent="0.2">
      <c r="A963" s="4">
        <v>45869</v>
      </c>
      <c r="B963" s="5">
        <v>23.6</v>
      </c>
      <c r="C963" s="5">
        <v>23.84</v>
      </c>
      <c r="D963" s="5">
        <v>23.14</v>
      </c>
      <c r="E963" s="5">
        <v>23.29</v>
      </c>
      <c r="F963" s="6">
        <v>62768330</v>
      </c>
    </row>
    <row r="964" spans="1:6" x14ac:dyDescent="0.2">
      <c r="A964" s="4">
        <v>45870</v>
      </c>
      <c r="B964" s="5">
        <v>23.3</v>
      </c>
      <c r="C964" s="5">
        <v>23.52</v>
      </c>
      <c r="D964" s="5">
        <v>23.11</v>
      </c>
      <c r="E964" s="5">
        <v>23.49</v>
      </c>
      <c r="F964" s="6">
        <v>51332710</v>
      </c>
    </row>
    <row r="965" spans="1:6" x14ac:dyDescent="0.2">
      <c r="A965" s="4">
        <v>45873</v>
      </c>
      <c r="B965" s="5">
        <v>23.44</v>
      </c>
      <c r="C965" s="5">
        <v>23.68</v>
      </c>
      <c r="D965" s="5">
        <v>23.4</v>
      </c>
      <c r="E965" s="5">
        <v>23.53</v>
      </c>
      <c r="F965" s="6">
        <v>57010740</v>
      </c>
    </row>
    <row r="966" spans="1:6" x14ac:dyDescent="0.2">
      <c r="A966" s="4">
        <v>45874</v>
      </c>
      <c r="B966" s="5">
        <v>24.27</v>
      </c>
      <c r="C966" s="5">
        <v>24.89</v>
      </c>
      <c r="D966" s="5">
        <v>24.27</v>
      </c>
      <c r="E966" s="5">
        <v>24.75</v>
      </c>
      <c r="F966" s="6">
        <v>113955100</v>
      </c>
    </row>
    <row r="967" spans="1:6" x14ac:dyDescent="0.2">
      <c r="A967" s="4">
        <v>45875</v>
      </c>
      <c r="B967" s="5">
        <v>24.68</v>
      </c>
      <c r="C967" s="5">
        <v>24.71</v>
      </c>
      <c r="D967" s="5">
        <v>23.86</v>
      </c>
      <c r="E967" s="5">
        <v>23.93</v>
      </c>
      <c r="F967" s="6">
        <v>65689180</v>
      </c>
    </row>
    <row r="968" spans="1:6" x14ac:dyDescent="0.2">
      <c r="A968" s="4">
        <v>45876</v>
      </c>
      <c r="B968" s="5">
        <v>24.17</v>
      </c>
      <c r="C968" s="5">
        <v>24.47</v>
      </c>
      <c r="D968" s="5">
        <v>23.94</v>
      </c>
      <c r="E968" s="5">
        <v>24.23</v>
      </c>
      <c r="F968" s="6">
        <v>45494360</v>
      </c>
    </row>
    <row r="969" spans="1:6" x14ac:dyDescent="0.2">
      <c r="A969" s="4">
        <v>45877</v>
      </c>
      <c r="B969" s="5">
        <v>24.29</v>
      </c>
      <c r="C969" s="5">
        <v>24.61</v>
      </c>
      <c r="D969" s="5">
        <v>24.16</v>
      </c>
      <c r="E969" s="5">
        <v>24.58</v>
      </c>
      <c r="F969" s="6">
        <v>36376970</v>
      </c>
    </row>
    <row r="970" spans="1:6" x14ac:dyDescent="0.2">
      <c r="A970" s="4">
        <v>45880</v>
      </c>
      <c r="B970" s="5">
        <v>24.6</v>
      </c>
      <c r="C970" s="5">
        <v>24.92</v>
      </c>
      <c r="D970" s="5">
        <v>24.53</v>
      </c>
      <c r="E970" s="5">
        <v>24.58</v>
      </c>
      <c r="F970" s="6">
        <v>38115710</v>
      </c>
    </row>
    <row r="971" spans="1:6" x14ac:dyDescent="0.2">
      <c r="A971" s="4">
        <v>45881</v>
      </c>
      <c r="B971" s="5">
        <v>24.655000000000001</v>
      </c>
      <c r="C971" s="5">
        <v>24.7684</v>
      </c>
      <c r="D971" s="5">
        <v>24.47</v>
      </c>
      <c r="E971" s="5">
        <v>24.65</v>
      </c>
      <c r="F971" s="6">
        <v>34412630</v>
      </c>
    </row>
    <row r="972" spans="1:6" x14ac:dyDescent="0.2">
      <c r="A972" s="4">
        <v>45882</v>
      </c>
      <c r="B972" s="5">
        <v>24.745000000000001</v>
      </c>
      <c r="C972" s="5">
        <v>25.195</v>
      </c>
      <c r="D972" s="5">
        <v>24.742999999999999</v>
      </c>
      <c r="E972" s="5">
        <v>25.16</v>
      </c>
      <c r="F972" s="6">
        <v>40176490</v>
      </c>
    </row>
    <row r="973" spans="1:6" x14ac:dyDescent="0.2">
      <c r="A973" s="4">
        <v>45883</v>
      </c>
      <c r="B973" s="5">
        <v>25.09</v>
      </c>
      <c r="C973" s="5">
        <v>25.18</v>
      </c>
      <c r="D973" s="5">
        <v>24.815000000000001</v>
      </c>
      <c r="E973" s="5">
        <v>25.11</v>
      </c>
      <c r="F973" s="6">
        <v>32513970</v>
      </c>
    </row>
    <row r="974" spans="1:6" x14ac:dyDescent="0.2">
      <c r="A974" s="4">
        <v>45884</v>
      </c>
      <c r="B974" s="5">
        <v>25.22</v>
      </c>
      <c r="C974" s="5">
        <v>25.3</v>
      </c>
      <c r="D974" s="5">
        <v>24.97</v>
      </c>
      <c r="E974" s="5">
        <v>25.14</v>
      </c>
      <c r="F974" s="6">
        <v>31844850</v>
      </c>
    </row>
    <row r="975" spans="1:6" x14ac:dyDescent="0.2">
      <c r="A975" s="4">
        <v>45887</v>
      </c>
      <c r="B975" s="5">
        <v>25.14</v>
      </c>
      <c r="C975" s="5">
        <v>25.23</v>
      </c>
      <c r="D975" s="5">
        <v>25.01</v>
      </c>
      <c r="E975" s="5">
        <v>25.07</v>
      </c>
      <c r="F975" s="6">
        <v>35623340</v>
      </c>
    </row>
    <row r="976" spans="1:6" x14ac:dyDescent="0.2">
      <c r="A976" s="4">
        <v>45888</v>
      </c>
      <c r="B976" s="5">
        <v>25.14</v>
      </c>
      <c r="C976" s="5">
        <v>25.43</v>
      </c>
      <c r="D976" s="5">
        <v>25.1</v>
      </c>
      <c r="E976" s="5">
        <v>25.32</v>
      </c>
      <c r="F976" s="6">
        <v>29170500</v>
      </c>
    </row>
    <row r="977" spans="1:6" x14ac:dyDescent="0.2">
      <c r="A977" s="4">
        <v>45889</v>
      </c>
      <c r="B977" s="5">
        <v>25.39</v>
      </c>
      <c r="C977" s="5">
        <v>25.69</v>
      </c>
      <c r="D977" s="5">
        <v>25.34</v>
      </c>
      <c r="E977" s="5">
        <v>25.38</v>
      </c>
      <c r="F977" s="6">
        <v>38111020</v>
      </c>
    </row>
    <row r="978" spans="1:6" x14ac:dyDescent="0.2">
      <c r="A978" s="4">
        <v>45890</v>
      </c>
      <c r="B978" s="5">
        <v>25.41</v>
      </c>
      <c r="C978" s="5">
        <v>25.885000000000002</v>
      </c>
      <c r="D978" s="5">
        <v>25.37</v>
      </c>
      <c r="E978" s="5">
        <v>25.74</v>
      </c>
      <c r="F978" s="6">
        <v>37068080</v>
      </c>
    </row>
    <row r="979" spans="1:6" x14ac:dyDescent="0.2">
      <c r="A979" s="4">
        <v>45891</v>
      </c>
      <c r="B979" s="5">
        <v>25.9</v>
      </c>
      <c r="C979" s="5">
        <v>26.11</v>
      </c>
      <c r="D979" s="5">
        <v>25.76</v>
      </c>
      <c r="E979" s="5">
        <v>25.88</v>
      </c>
      <c r="F979" s="6">
        <v>34560470</v>
      </c>
    </row>
    <row r="980" spans="1:6" x14ac:dyDescent="0.2">
      <c r="A980" s="4">
        <v>45894</v>
      </c>
      <c r="B980" s="5">
        <v>25.88</v>
      </c>
      <c r="C980" s="5">
        <v>25.89</v>
      </c>
      <c r="D980" s="5">
        <v>25.11</v>
      </c>
      <c r="E980" s="5">
        <v>25.14</v>
      </c>
      <c r="F980" s="6">
        <v>32684210</v>
      </c>
    </row>
    <row r="981" spans="1:6" x14ac:dyDescent="0.2">
      <c r="A981" s="4">
        <v>45895</v>
      </c>
      <c r="B981" s="5">
        <v>25.14</v>
      </c>
      <c r="C981" s="5">
        <v>25.24</v>
      </c>
      <c r="D981" s="5">
        <v>24.87</v>
      </c>
      <c r="E981" s="5">
        <v>24.92</v>
      </c>
      <c r="F981" s="6">
        <v>43938720</v>
      </c>
    </row>
    <row r="982" spans="1:6" x14ac:dyDescent="0.2">
      <c r="A982" s="4">
        <v>45896</v>
      </c>
      <c r="B982" s="5">
        <v>25.01</v>
      </c>
      <c r="C982" s="5">
        <v>25.17</v>
      </c>
      <c r="D982" s="5">
        <v>24.85</v>
      </c>
      <c r="E982" s="5">
        <v>25.07</v>
      </c>
      <c r="F982" s="6">
        <v>31840310</v>
      </c>
    </row>
    <row r="983" spans="1:6" x14ac:dyDescent="0.2">
      <c r="A983" s="4">
        <v>45897</v>
      </c>
      <c r="B983" s="5">
        <v>25.07</v>
      </c>
      <c r="C983" s="5">
        <v>25.07</v>
      </c>
      <c r="D983" s="5">
        <v>24.51</v>
      </c>
      <c r="E983" s="5">
        <v>24.6</v>
      </c>
      <c r="F983" s="6">
        <v>44306850</v>
      </c>
    </row>
    <row r="984" spans="1:6" x14ac:dyDescent="0.2">
      <c r="A984" s="4">
        <v>45898</v>
      </c>
      <c r="B984" s="5">
        <v>24.68</v>
      </c>
      <c r="C984" s="5">
        <v>24.88</v>
      </c>
      <c r="D984" s="5">
        <v>24.510999999999999</v>
      </c>
      <c r="E984" s="5">
        <v>24.76</v>
      </c>
      <c r="F984" s="6">
        <v>37029980</v>
      </c>
    </row>
    <row r="985" spans="1:6" x14ac:dyDescent="0.2">
      <c r="A985" s="4">
        <v>45902</v>
      </c>
      <c r="B985" s="5">
        <v>24.73</v>
      </c>
      <c r="C985" s="5">
        <v>25.065000000000001</v>
      </c>
      <c r="D985" s="5">
        <v>24.71</v>
      </c>
      <c r="E985" s="5">
        <v>24.98</v>
      </c>
      <c r="F985" s="6">
        <v>44724980</v>
      </c>
    </row>
    <row r="986" spans="1:6" x14ac:dyDescent="0.2">
      <c r="A986" s="4">
        <v>45903</v>
      </c>
      <c r="B986" s="5">
        <v>24.88</v>
      </c>
      <c r="C986" s="5">
        <v>25.12</v>
      </c>
      <c r="D986" s="5">
        <v>24.72</v>
      </c>
      <c r="E986" s="5">
        <v>24.79</v>
      </c>
      <c r="F986" s="6">
        <v>30957580</v>
      </c>
    </row>
    <row r="987" spans="1:6" x14ac:dyDescent="0.2">
      <c r="A987" s="4">
        <v>45904</v>
      </c>
      <c r="B987" s="5">
        <v>24.78</v>
      </c>
      <c r="C987" s="5">
        <v>24.78</v>
      </c>
      <c r="D987" s="5">
        <v>24.35</v>
      </c>
      <c r="E987" s="5">
        <v>24.54</v>
      </c>
      <c r="F987" s="6">
        <v>41695510</v>
      </c>
    </row>
    <row r="988" spans="1:6" x14ac:dyDescent="0.2">
      <c r="A988" s="4">
        <v>45905</v>
      </c>
      <c r="B988" s="5">
        <v>24.57</v>
      </c>
      <c r="C988" s="5">
        <v>24.89</v>
      </c>
      <c r="D988" s="5">
        <v>24.504999999999999</v>
      </c>
      <c r="E988" s="5">
        <v>24.88</v>
      </c>
      <c r="F988" s="6">
        <v>34613230</v>
      </c>
    </row>
    <row r="989" spans="1:6" x14ac:dyDescent="0.2">
      <c r="A989" s="4">
        <v>45908</v>
      </c>
      <c r="B989" s="5">
        <v>24.9</v>
      </c>
      <c r="C989" s="5">
        <v>24.965</v>
      </c>
      <c r="D989" s="5">
        <v>24.31</v>
      </c>
      <c r="E989" s="5">
        <v>24.55</v>
      </c>
      <c r="F989" s="6">
        <v>49242870</v>
      </c>
    </row>
    <row r="990" spans="1:6" x14ac:dyDescent="0.2">
      <c r="A990" s="4">
        <v>45909</v>
      </c>
      <c r="B990" s="5">
        <v>24.55</v>
      </c>
      <c r="C990" s="5">
        <v>24.79</v>
      </c>
      <c r="D990" s="5">
        <v>24.51</v>
      </c>
      <c r="E990" s="5">
        <v>24.71</v>
      </c>
      <c r="F990" s="6">
        <v>32751310</v>
      </c>
    </row>
    <row r="991" spans="1:6" x14ac:dyDescent="0.2">
      <c r="A991" s="4">
        <v>45910</v>
      </c>
      <c r="B991" s="5">
        <v>24.64</v>
      </c>
      <c r="C991" s="5">
        <v>24.65</v>
      </c>
      <c r="D991" s="5">
        <v>24.45</v>
      </c>
      <c r="E991" s="5">
        <v>24.57</v>
      </c>
      <c r="F991" s="6">
        <v>32975900</v>
      </c>
    </row>
    <row r="992" spans="1:6" x14ac:dyDescent="0.2">
      <c r="A992" s="4">
        <v>45911</v>
      </c>
      <c r="B992" s="5">
        <v>24.6</v>
      </c>
      <c r="C992" s="5">
        <v>24.86</v>
      </c>
      <c r="D992" s="5">
        <v>24.54</v>
      </c>
      <c r="E992" s="5">
        <v>24.86</v>
      </c>
      <c r="F992" s="6">
        <v>36784140</v>
      </c>
    </row>
    <row r="993" spans="1:6" x14ac:dyDescent="0.2">
      <c r="A993" s="4">
        <v>45912</v>
      </c>
      <c r="B993" s="5">
        <v>24.81</v>
      </c>
      <c r="C993" s="5">
        <v>24.84</v>
      </c>
      <c r="D993" s="5">
        <v>23.84</v>
      </c>
      <c r="E993" s="5">
        <v>23.87</v>
      </c>
      <c r="F993" s="6">
        <v>81378230</v>
      </c>
    </row>
    <row r="994" spans="1:6" x14ac:dyDescent="0.2">
      <c r="A994" s="4">
        <v>45915</v>
      </c>
      <c r="B994" s="5">
        <v>23.99</v>
      </c>
      <c r="C994" s="5">
        <v>24.12</v>
      </c>
      <c r="D994" s="5">
        <v>23.68</v>
      </c>
      <c r="E994" s="5">
        <v>23.97</v>
      </c>
      <c r="F994" s="6">
        <v>50760170</v>
      </c>
    </row>
    <row r="995" spans="1:6" x14ac:dyDescent="0.2">
      <c r="A995" s="4">
        <v>45916</v>
      </c>
      <c r="B995" s="5">
        <v>23.96</v>
      </c>
      <c r="C995" s="5">
        <v>24.22</v>
      </c>
      <c r="D995" s="5">
        <v>23.87</v>
      </c>
      <c r="E995" s="5">
        <v>23.9</v>
      </c>
      <c r="F995" s="6">
        <v>57010790</v>
      </c>
    </row>
    <row r="996" spans="1:6" x14ac:dyDescent="0.2">
      <c r="A996" s="4">
        <v>45917</v>
      </c>
      <c r="B996" s="5">
        <v>23.98</v>
      </c>
      <c r="C996" s="5">
        <v>24.39</v>
      </c>
      <c r="D996" s="5">
        <v>23.9</v>
      </c>
      <c r="E996" s="5">
        <v>24.05</v>
      </c>
      <c r="F996" s="6">
        <v>46351610</v>
      </c>
    </row>
    <row r="997" spans="1:6" x14ac:dyDescent="0.2">
      <c r="A997" s="4">
        <v>45918</v>
      </c>
      <c r="B997" s="5">
        <v>24.05</v>
      </c>
      <c r="C997" s="5">
        <v>24.24</v>
      </c>
      <c r="D997" s="5">
        <v>23.954999999999998</v>
      </c>
      <c r="E997" s="5">
        <v>24.15</v>
      </c>
      <c r="F997" s="6">
        <v>34418980</v>
      </c>
    </row>
    <row r="998" spans="1:6" x14ac:dyDescent="0.2">
      <c r="A998" s="4">
        <v>45919</v>
      </c>
      <c r="B998" s="5">
        <v>24.25</v>
      </c>
      <c r="C998" s="5">
        <v>24.25</v>
      </c>
      <c r="D998" s="5">
        <v>23.815000000000001</v>
      </c>
      <c r="E998" s="5">
        <v>24.03</v>
      </c>
      <c r="F998" s="6">
        <v>86577630</v>
      </c>
    </row>
    <row r="999" spans="1:6" x14ac:dyDescent="0.2">
      <c r="A999" s="4">
        <v>45922</v>
      </c>
      <c r="B999" s="5">
        <v>24.28</v>
      </c>
      <c r="C999" s="5">
        <v>24.8</v>
      </c>
      <c r="D999" s="5">
        <v>24.03</v>
      </c>
      <c r="E999" s="5">
        <v>24.04</v>
      </c>
      <c r="F999" s="6">
        <v>67863310</v>
      </c>
    </row>
    <row r="1000" spans="1:6" x14ac:dyDescent="0.2">
      <c r="A1000" s="4">
        <v>45923</v>
      </c>
      <c r="B1000" s="5">
        <v>24.1</v>
      </c>
      <c r="C1000" s="5">
        <v>24.36</v>
      </c>
      <c r="D1000" s="5">
        <v>24.05</v>
      </c>
      <c r="E1000" s="5">
        <v>24.13</v>
      </c>
      <c r="F1000" s="6">
        <v>38955250</v>
      </c>
    </row>
    <row r="1001" spans="1:6" x14ac:dyDescent="0.2">
      <c r="A1001" s="4">
        <v>45924</v>
      </c>
      <c r="B1001" s="5">
        <v>24.17</v>
      </c>
      <c r="C1001" s="5">
        <v>24.18</v>
      </c>
      <c r="D1001" s="5">
        <v>23.98</v>
      </c>
      <c r="E1001" s="5">
        <v>24.09</v>
      </c>
      <c r="F1001" s="6">
        <v>39669360</v>
      </c>
    </row>
    <row r="1002" spans="1:6" x14ac:dyDescent="0.2">
      <c r="A1002" s="4">
        <v>45925</v>
      </c>
      <c r="B1002" s="5">
        <v>24.09</v>
      </c>
      <c r="C1002" s="5">
        <v>24.15</v>
      </c>
      <c r="D1002" s="5">
        <v>23.58</v>
      </c>
      <c r="E1002" s="5">
        <v>23.6</v>
      </c>
      <c r="F1002" s="6">
        <v>56738260</v>
      </c>
    </row>
    <row r="1003" spans="1:6" x14ac:dyDescent="0.2">
      <c r="A1003" s="4">
        <v>45926</v>
      </c>
      <c r="B1003" s="5">
        <v>23.73</v>
      </c>
      <c r="C1003" s="5">
        <v>23.81</v>
      </c>
      <c r="D1003" s="5">
        <v>23.61</v>
      </c>
      <c r="E1003" s="5">
        <v>23.76</v>
      </c>
      <c r="F1003" s="6">
        <v>33374530</v>
      </c>
    </row>
    <row r="1004" spans="1:6" x14ac:dyDescent="0.2">
      <c r="A1004" s="4">
        <v>45929</v>
      </c>
      <c r="B1004" s="5">
        <v>23.79</v>
      </c>
      <c r="C1004" s="5">
        <v>23.86</v>
      </c>
      <c r="D1004" s="5">
        <v>23.64</v>
      </c>
      <c r="E1004" s="5">
        <v>23.85</v>
      </c>
      <c r="F1004" s="6">
        <v>39184350</v>
      </c>
    </row>
    <row r="1005" spans="1:6" x14ac:dyDescent="0.2">
      <c r="A1005" s="4">
        <v>45930</v>
      </c>
      <c r="B1005" s="5">
        <v>23.85</v>
      </c>
      <c r="C1005" s="5">
        <v>25.63</v>
      </c>
      <c r="D1005" s="5">
        <v>23.81</v>
      </c>
      <c r="E1005" s="5">
        <v>25.48</v>
      </c>
      <c r="F1005" s="6">
        <v>164867300</v>
      </c>
    </row>
    <row r="1006" spans="1:6" x14ac:dyDescent="0.2">
      <c r="A1006" s="4">
        <v>45931</v>
      </c>
      <c r="B1006" s="5">
        <v>25.97</v>
      </c>
      <c r="C1006" s="5">
        <v>27.45</v>
      </c>
      <c r="D1006" s="5">
        <v>25.58</v>
      </c>
      <c r="E1006" s="5">
        <v>27.21</v>
      </c>
      <c r="F1006" s="6">
        <v>150879900</v>
      </c>
    </row>
    <row r="1007" spans="1:6" x14ac:dyDescent="0.2">
      <c r="A1007" s="4">
        <v>45932</v>
      </c>
      <c r="B1007" s="5">
        <v>26.93</v>
      </c>
      <c r="C1007" s="5">
        <v>27.17</v>
      </c>
      <c r="D1007" s="5">
        <v>26.62</v>
      </c>
      <c r="E1007" s="5">
        <v>27.08</v>
      </c>
      <c r="F1007" s="6">
        <v>69684070</v>
      </c>
    </row>
    <row r="1008" spans="1:6" x14ac:dyDescent="0.2">
      <c r="A1008" s="4">
        <v>45933</v>
      </c>
      <c r="B1008" s="5">
        <v>27.2</v>
      </c>
      <c r="C1008" s="5">
        <v>27.69</v>
      </c>
      <c r="D1008" s="5">
        <v>27.035</v>
      </c>
      <c r="E1008" s="5">
        <v>27.37</v>
      </c>
      <c r="F1008" s="6">
        <v>70524010</v>
      </c>
    </row>
    <row r="1009" spans="1:6" x14ac:dyDescent="0.2">
      <c r="A1009" s="4">
        <v>45936</v>
      </c>
      <c r="B1009" s="5">
        <v>27.27</v>
      </c>
      <c r="C1009" s="5">
        <v>27.36</v>
      </c>
      <c r="D1009" s="5">
        <v>26.391300000000001</v>
      </c>
      <c r="E1009" s="5">
        <v>26.43</v>
      </c>
      <c r="F1009" s="6">
        <v>62945610</v>
      </c>
    </row>
    <row r="1010" spans="1:6" x14ac:dyDescent="0.2">
      <c r="A1010" s="4">
        <v>45937</v>
      </c>
      <c r="B1010" s="5">
        <v>26.42</v>
      </c>
      <c r="C1010" s="5">
        <v>26.58</v>
      </c>
      <c r="D1010" s="5">
        <v>26.05</v>
      </c>
      <c r="E1010" s="5">
        <v>26.27</v>
      </c>
      <c r="F1010" s="6">
        <v>47744190</v>
      </c>
    </row>
    <row r="1011" spans="1:6" x14ac:dyDescent="0.2">
      <c r="A1011" s="4">
        <v>45938</v>
      </c>
      <c r="B1011" s="5">
        <v>26.42</v>
      </c>
      <c r="C1011" s="5">
        <v>26.5</v>
      </c>
      <c r="D1011" s="5">
        <v>25.63</v>
      </c>
      <c r="E1011" s="5">
        <v>25.68</v>
      </c>
      <c r="F1011" s="6">
        <v>48693340</v>
      </c>
    </row>
    <row r="1012" spans="1:6" x14ac:dyDescent="0.2">
      <c r="A1012" s="4">
        <v>45939</v>
      </c>
      <c r="B1012" s="5">
        <v>25.78</v>
      </c>
      <c r="C1012" s="5">
        <v>25.9</v>
      </c>
      <c r="D1012" s="5">
        <v>25.21</v>
      </c>
      <c r="E1012" s="5">
        <v>25.24</v>
      </c>
      <c r="F1012" s="6">
        <v>47278670</v>
      </c>
    </row>
    <row r="1013" spans="1:6" x14ac:dyDescent="0.2">
      <c r="A1013" s="4">
        <v>45940</v>
      </c>
      <c r="B1013" s="5">
        <v>25.26</v>
      </c>
      <c r="C1013" s="5">
        <v>25.42</v>
      </c>
      <c r="D1013" s="5">
        <v>24.62</v>
      </c>
      <c r="E1013" s="5">
        <v>24.78</v>
      </c>
      <c r="F1013" s="6">
        <v>64963950</v>
      </c>
    </row>
    <row r="1014" spans="1:6" x14ac:dyDescent="0.2">
      <c r="A1014" s="4">
        <v>45943</v>
      </c>
      <c r="B1014" s="5">
        <v>24.84</v>
      </c>
      <c r="C1014" s="5">
        <v>24.95</v>
      </c>
      <c r="D1014" s="5">
        <v>24.61</v>
      </c>
      <c r="E1014" s="5">
        <v>24.73</v>
      </c>
      <c r="F1014" s="6">
        <v>45356620</v>
      </c>
    </row>
    <row r="1015" spans="1:6" x14ac:dyDescent="0.2">
      <c r="A1015" s="4">
        <v>45944</v>
      </c>
      <c r="B1015" s="5">
        <v>24.65</v>
      </c>
      <c r="C1015" s="5">
        <v>24.79</v>
      </c>
      <c r="D1015" s="5">
        <v>24.48</v>
      </c>
      <c r="E1015" s="5">
        <v>24.52</v>
      </c>
      <c r="F1015" s="6">
        <v>42277040</v>
      </c>
    </row>
    <row r="1016" spans="1:6" x14ac:dyDescent="0.2">
      <c r="A1016" s="4">
        <v>45945</v>
      </c>
      <c r="B1016" s="5">
        <v>24.49</v>
      </c>
      <c r="C1016" s="5">
        <v>24.58</v>
      </c>
      <c r="D1016" s="5">
        <v>24.21</v>
      </c>
      <c r="E1016" s="5">
        <v>24.39</v>
      </c>
      <c r="F1016" s="6">
        <v>47729800</v>
      </c>
    </row>
    <row r="1017" spans="1:6" x14ac:dyDescent="0.2">
      <c r="A1017" s="4">
        <v>45946</v>
      </c>
      <c r="B1017" s="5">
        <v>24.44</v>
      </c>
      <c r="C1017" s="5">
        <v>24.605</v>
      </c>
      <c r="D1017" s="5">
        <v>24.21</v>
      </c>
      <c r="E1017" s="5">
        <v>24.23</v>
      </c>
      <c r="F1017" s="6">
        <v>44389990</v>
      </c>
    </row>
    <row r="1018" spans="1:6" x14ac:dyDescent="0.2">
      <c r="A1018" s="4">
        <v>45947</v>
      </c>
      <c r="B1018" s="5">
        <v>24.2</v>
      </c>
      <c r="C1018" s="5">
        <v>24.53</v>
      </c>
      <c r="D1018" s="5">
        <v>24.16</v>
      </c>
      <c r="E1018" s="5">
        <v>24.51</v>
      </c>
      <c r="F1018" s="6">
        <v>40101860</v>
      </c>
    </row>
    <row r="1019" spans="1:6" x14ac:dyDescent="0.2">
      <c r="A1019" s="4">
        <v>45950</v>
      </c>
      <c r="B1019" s="5">
        <v>24.57</v>
      </c>
      <c r="C1019" s="5">
        <v>24.73</v>
      </c>
      <c r="D1019" s="5">
        <v>24.51</v>
      </c>
      <c r="E1019" s="5">
        <v>24.69</v>
      </c>
      <c r="F1019" s="6">
        <v>35856840</v>
      </c>
    </row>
    <row r="1020" spans="1:6" x14ac:dyDescent="0.2">
      <c r="A1020" s="4">
        <v>45951</v>
      </c>
      <c r="B1020" s="5">
        <v>24.72</v>
      </c>
      <c r="C1020" s="5">
        <v>24.96</v>
      </c>
      <c r="D1020" s="5">
        <v>24.6</v>
      </c>
      <c r="E1020" s="5">
        <v>24.85</v>
      </c>
      <c r="F1020" s="6">
        <v>40726920</v>
      </c>
    </row>
    <row r="1021" spans="1:6" x14ac:dyDescent="0.2">
      <c r="A1021" s="4">
        <v>45952</v>
      </c>
      <c r="B1021" s="5">
        <v>24.79</v>
      </c>
      <c r="C1021" s="5">
        <v>24.93</v>
      </c>
      <c r="D1021" s="5">
        <v>24.62</v>
      </c>
      <c r="E1021" s="5">
        <v>24.72</v>
      </c>
      <c r="F1021" s="6">
        <v>48662940</v>
      </c>
    </row>
    <row r="1022" spans="1:6" x14ac:dyDescent="0.2">
      <c r="A1022" s="4">
        <v>45953</v>
      </c>
      <c r="B1022" s="5">
        <v>24.76</v>
      </c>
      <c r="C1022" s="5">
        <v>24.78</v>
      </c>
      <c r="D1022" s="5">
        <v>24.51</v>
      </c>
      <c r="E1022" s="5">
        <v>24.67</v>
      </c>
      <c r="F1022" s="6">
        <v>34219940</v>
      </c>
    </row>
    <row r="1023" spans="1:6" x14ac:dyDescent="0.2">
      <c r="A1023" s="4">
        <v>45954</v>
      </c>
      <c r="B1023" s="5">
        <v>24.695</v>
      </c>
      <c r="C1023" s="5">
        <v>24.829000000000001</v>
      </c>
      <c r="D1023" s="5">
        <v>24.68</v>
      </c>
      <c r="E1023" s="5">
        <v>24.76</v>
      </c>
      <c r="F1023" s="6">
        <v>27429170</v>
      </c>
    </row>
    <row r="1024" spans="1:6" x14ac:dyDescent="0.2">
      <c r="A1024" s="4">
        <v>45957</v>
      </c>
      <c r="B1024" s="5">
        <v>24.74</v>
      </c>
      <c r="C1024" s="5">
        <v>24.795000000000002</v>
      </c>
      <c r="D1024" s="5">
        <v>24.63</v>
      </c>
      <c r="E1024" s="5">
        <v>24.77</v>
      </c>
      <c r="F1024" s="6">
        <v>34974860</v>
      </c>
    </row>
    <row r="1025" spans="1:6" x14ac:dyDescent="0.2">
      <c r="A1025" s="4">
        <v>45958</v>
      </c>
      <c r="B1025" s="5">
        <v>24.78</v>
      </c>
      <c r="C1025" s="5">
        <v>24.78</v>
      </c>
      <c r="D1025" s="5">
        <v>24.38</v>
      </c>
      <c r="E1025" s="5">
        <v>24.5</v>
      </c>
      <c r="F1025" s="6">
        <v>50152370</v>
      </c>
    </row>
    <row r="1026" spans="1:6" x14ac:dyDescent="0.2">
      <c r="A1026" s="4">
        <v>45959</v>
      </c>
      <c r="B1026" s="5">
        <v>24.53</v>
      </c>
      <c r="C1026" s="5">
        <v>24.625</v>
      </c>
      <c r="D1026" s="5">
        <v>24.23</v>
      </c>
      <c r="E1026" s="5">
        <v>24.29</v>
      </c>
      <c r="F1026" s="6">
        <v>65438430</v>
      </c>
    </row>
    <row r="1027" spans="1:6" x14ac:dyDescent="0.2">
      <c r="A1027" s="4">
        <v>45960</v>
      </c>
      <c r="B1027" s="5">
        <v>24.31</v>
      </c>
      <c r="C1027" s="5">
        <v>24.7</v>
      </c>
      <c r="D1027" s="5">
        <v>24.15</v>
      </c>
      <c r="E1027" s="5">
        <v>24.29</v>
      </c>
      <c r="F1027" s="6">
        <v>157478000</v>
      </c>
    </row>
    <row r="1028" spans="1:6" x14ac:dyDescent="0.2">
      <c r="A1028" s="4">
        <v>45961</v>
      </c>
      <c r="B1028" s="5">
        <v>24.28</v>
      </c>
      <c r="C1028" s="5">
        <v>24.73</v>
      </c>
      <c r="D1028" s="5">
        <v>24.16</v>
      </c>
      <c r="E1028" s="5">
        <v>24.65</v>
      </c>
      <c r="F1028" s="6">
        <v>132697400</v>
      </c>
    </row>
    <row r="1029" spans="1:6" x14ac:dyDescent="0.2">
      <c r="A1029" s="4">
        <v>45964</v>
      </c>
      <c r="B1029" s="5">
        <v>24.59</v>
      </c>
      <c r="C1029" s="5">
        <v>24.75</v>
      </c>
      <c r="D1029" s="5">
        <v>24.405000000000001</v>
      </c>
      <c r="E1029" s="5">
        <v>24.66</v>
      </c>
      <c r="F1029" s="6">
        <v>140871300</v>
      </c>
    </row>
    <row r="1030" spans="1:6" x14ac:dyDescent="0.2">
      <c r="A1030" s="4">
        <v>45965</v>
      </c>
      <c r="B1030" s="5">
        <v>24.39</v>
      </c>
      <c r="C1030" s="5">
        <v>25.2</v>
      </c>
      <c r="D1030" s="5">
        <v>24.2</v>
      </c>
      <c r="E1030" s="5">
        <v>24.3</v>
      </c>
      <c r="F1030" s="6">
        <v>166162000</v>
      </c>
    </row>
    <row r="1031" spans="1:6" x14ac:dyDescent="0.2">
      <c r="A1031" s="4">
        <v>45966</v>
      </c>
      <c r="B1031" s="5">
        <v>24.38</v>
      </c>
      <c r="C1031" s="5">
        <v>24.67</v>
      </c>
      <c r="D1031" s="5">
        <v>24.16</v>
      </c>
      <c r="E1031" s="5">
        <v>24.61</v>
      </c>
      <c r="F1031" s="6">
        <v>107240900</v>
      </c>
    </row>
    <row r="1032" spans="1:6" x14ac:dyDescent="0.2">
      <c r="A1032" s="4">
        <v>45967</v>
      </c>
      <c r="B1032" s="5">
        <v>24.75</v>
      </c>
      <c r="C1032" s="5">
        <v>25.13</v>
      </c>
      <c r="D1032" s="5">
        <v>24.543199999999999</v>
      </c>
      <c r="E1032" s="5">
        <v>24.85</v>
      </c>
      <c r="F1032" s="6">
        <v>124137200</v>
      </c>
    </row>
    <row r="1033" spans="1:6" x14ac:dyDescent="0.2">
      <c r="A1033" s="4">
        <v>45968</v>
      </c>
      <c r="B1033" s="5">
        <v>24.33</v>
      </c>
      <c r="C1033" s="5">
        <v>24.63</v>
      </c>
      <c r="D1033" s="5">
        <v>24.110900000000001</v>
      </c>
      <c r="E1033" s="5">
        <v>24.43</v>
      </c>
      <c r="F1033" s="6">
        <v>117794500</v>
      </c>
    </row>
    <row r="1034" spans="1:6" x14ac:dyDescent="0.2">
      <c r="A1034" s="4">
        <v>45971</v>
      </c>
      <c r="B1034" s="5">
        <v>24.66</v>
      </c>
      <c r="C1034" s="5">
        <v>24.885000000000002</v>
      </c>
      <c r="D1034" s="5">
        <v>23.91</v>
      </c>
      <c r="E1034" s="5">
        <v>24.39</v>
      </c>
      <c r="F1034" s="6">
        <v>148958600</v>
      </c>
    </row>
    <row r="1035" spans="1:6" x14ac:dyDescent="0.2">
      <c r="A1035" s="4">
        <v>45972</v>
      </c>
      <c r="B1035" s="5">
        <v>24.49</v>
      </c>
      <c r="C1035" s="5">
        <v>25.51</v>
      </c>
      <c r="D1035" s="5">
        <v>24.4438</v>
      </c>
      <c r="E1035" s="5">
        <v>25.51</v>
      </c>
      <c r="F1035" s="6">
        <v>139673800</v>
      </c>
    </row>
    <row r="1036" spans="1:6" x14ac:dyDescent="0.2">
      <c r="A1036" s="4">
        <v>45973</v>
      </c>
      <c r="B1036" s="5">
        <v>25.395</v>
      </c>
      <c r="C1036" s="5">
        <v>25.945</v>
      </c>
      <c r="D1036" s="5">
        <v>25.25</v>
      </c>
      <c r="E1036" s="5">
        <v>25.87</v>
      </c>
      <c r="F1036" s="6">
        <v>96008030</v>
      </c>
    </row>
    <row r="1037" spans="1:6" x14ac:dyDescent="0.2">
      <c r="A1037" s="4">
        <v>45974</v>
      </c>
      <c r="B1037" s="5">
        <v>25.94</v>
      </c>
      <c r="C1037" s="5">
        <v>26.475000000000001</v>
      </c>
      <c r="D1037" s="5">
        <v>25.67</v>
      </c>
      <c r="E1037" s="5">
        <v>25.79</v>
      </c>
      <c r="F1037" s="6">
        <v>123083100</v>
      </c>
    </row>
    <row r="1038" spans="1:6" x14ac:dyDescent="0.2">
      <c r="A1038" s="4">
        <v>45975</v>
      </c>
      <c r="B1038" s="5">
        <v>25.67</v>
      </c>
      <c r="C1038" s="5">
        <v>25.77</v>
      </c>
      <c r="D1038" s="5">
        <v>24.97</v>
      </c>
      <c r="E1038" s="5">
        <v>25.06</v>
      </c>
      <c r="F1038" s="6">
        <v>96507650</v>
      </c>
    </row>
    <row r="1039" spans="1:6" x14ac:dyDescent="0.2">
      <c r="A1039" s="4">
        <v>45978</v>
      </c>
      <c r="B1039" s="5">
        <v>25.11</v>
      </c>
      <c r="C1039" s="5">
        <v>25.57</v>
      </c>
      <c r="D1039" s="5">
        <v>24.95</v>
      </c>
      <c r="E1039" s="5">
        <v>25.08</v>
      </c>
      <c r="F1039" s="6">
        <v>88042250</v>
      </c>
    </row>
    <row r="1040" spans="1:6" x14ac:dyDescent="0.2">
      <c r="A1040" s="4">
        <v>45979</v>
      </c>
      <c r="B1040" s="5">
        <v>25.05</v>
      </c>
      <c r="C1040" s="5">
        <v>25.51</v>
      </c>
      <c r="D1040" s="5">
        <v>24.98</v>
      </c>
      <c r="E1040" s="5">
        <v>25.45</v>
      </c>
      <c r="F1040" s="6">
        <v>66511760</v>
      </c>
    </row>
    <row r="1041" spans="1:6" x14ac:dyDescent="0.2">
      <c r="A1041" s="4">
        <v>45980</v>
      </c>
      <c r="B1041" s="5">
        <v>25.35</v>
      </c>
      <c r="C1041" s="5">
        <v>25.5</v>
      </c>
      <c r="D1041" s="5">
        <v>24.72</v>
      </c>
      <c r="E1041" s="5">
        <v>24.88</v>
      </c>
      <c r="F1041" s="6">
        <v>62000200</v>
      </c>
    </row>
    <row r="1042" spans="1:6" x14ac:dyDescent="0.2">
      <c r="A1042" s="4">
        <v>45981</v>
      </c>
      <c r="B1042" s="5">
        <v>24.89</v>
      </c>
      <c r="C1042" s="5">
        <v>25</v>
      </c>
      <c r="D1042" s="5">
        <v>24.28</v>
      </c>
      <c r="E1042" s="5">
        <v>24.4</v>
      </c>
      <c r="F1042" s="6">
        <v>51983220</v>
      </c>
    </row>
    <row r="1043" spans="1:6" x14ac:dyDescent="0.2">
      <c r="A1043" s="4">
        <v>45982</v>
      </c>
      <c r="B1043" s="5">
        <v>24.585000000000001</v>
      </c>
      <c r="C1043" s="5">
        <v>25.52</v>
      </c>
      <c r="D1043" s="5">
        <v>24.585000000000001</v>
      </c>
      <c r="E1043" s="5">
        <v>25.04</v>
      </c>
      <c r="F1043" s="6">
        <v>73079370</v>
      </c>
    </row>
    <row r="1044" spans="1:6" x14ac:dyDescent="0.2">
      <c r="A1044" s="4">
        <v>45985</v>
      </c>
      <c r="B1044" s="5">
        <v>25.11</v>
      </c>
      <c r="C1044" s="5">
        <v>25.47</v>
      </c>
      <c r="D1044" s="5">
        <v>25.045000000000002</v>
      </c>
      <c r="E1044" s="5">
        <v>25.22</v>
      </c>
      <c r="F1044" s="6">
        <v>63074950</v>
      </c>
    </row>
    <row r="1045" spans="1:6" x14ac:dyDescent="0.2">
      <c r="A1045" s="4">
        <v>45986</v>
      </c>
      <c r="B1045" s="5">
        <v>25.37</v>
      </c>
      <c r="C1045" s="5">
        <v>25.97</v>
      </c>
      <c r="D1045" s="5">
        <v>25.36</v>
      </c>
      <c r="E1045" s="5">
        <v>25.72</v>
      </c>
      <c r="F1045" s="6">
        <v>39130260</v>
      </c>
    </row>
    <row r="1046" spans="1:6" x14ac:dyDescent="0.2">
      <c r="A1046" s="4">
        <v>45987</v>
      </c>
      <c r="B1046" s="5">
        <v>25.7</v>
      </c>
      <c r="C1046" s="5">
        <v>25.8066</v>
      </c>
      <c r="D1046" s="5">
        <v>25.58</v>
      </c>
      <c r="E1046" s="5">
        <v>25.71</v>
      </c>
      <c r="F1046" s="6">
        <v>33461050</v>
      </c>
    </row>
    <row r="1047" spans="1:6" x14ac:dyDescent="0.2">
      <c r="A1047" s="4">
        <v>45989</v>
      </c>
      <c r="B1047" s="5">
        <v>25.85</v>
      </c>
      <c r="C1047" s="5">
        <v>25.86</v>
      </c>
      <c r="D1047" s="5">
        <v>25.66</v>
      </c>
      <c r="E1047" s="5">
        <v>25.74</v>
      </c>
      <c r="F1047" s="6">
        <v>22627580</v>
      </c>
    </row>
    <row r="1048" spans="1:6" x14ac:dyDescent="0.2">
      <c r="A1048" s="4">
        <v>45992</v>
      </c>
      <c r="B1048" s="5">
        <v>25.76</v>
      </c>
      <c r="C1048" s="5">
        <v>25.94</v>
      </c>
      <c r="D1048" s="5">
        <v>25.234400000000001</v>
      </c>
      <c r="E1048" s="5">
        <v>25.27</v>
      </c>
      <c r="F1048" s="6">
        <v>53198560</v>
      </c>
    </row>
    <row r="1049" spans="1:6" x14ac:dyDescent="0.2">
      <c r="A1049" s="4">
        <v>45993</v>
      </c>
      <c r="B1049" s="5">
        <v>25.315000000000001</v>
      </c>
      <c r="C1049" s="5">
        <v>25.315000000000001</v>
      </c>
      <c r="D1049" s="5">
        <v>25.04</v>
      </c>
      <c r="E1049" s="5">
        <v>25.15</v>
      </c>
      <c r="F1049" s="6">
        <v>43826990</v>
      </c>
    </row>
    <row r="1050" spans="1:6" x14ac:dyDescent="0.2">
      <c r="A1050" s="4">
        <v>45994</v>
      </c>
      <c r="B1050" s="5">
        <v>25.32</v>
      </c>
      <c r="C1050" s="5">
        <v>25.89</v>
      </c>
      <c r="D1050" s="5">
        <v>25.3</v>
      </c>
      <c r="E1050" s="5">
        <v>25.57</v>
      </c>
      <c r="F1050" s="6">
        <v>56121170</v>
      </c>
    </row>
    <row r="1051" spans="1:6" x14ac:dyDescent="0.2">
      <c r="A1051" s="4">
        <v>45995</v>
      </c>
      <c r="B1051" s="5">
        <v>25.63</v>
      </c>
      <c r="C1051" s="5">
        <v>25.74</v>
      </c>
      <c r="D1051" s="5">
        <v>25.35</v>
      </c>
      <c r="E1051" s="5">
        <v>25.7</v>
      </c>
      <c r="F1051" s="6">
        <v>35453970</v>
      </c>
    </row>
    <row r="1052" spans="1:6" x14ac:dyDescent="0.2">
      <c r="A1052" s="4">
        <v>45996</v>
      </c>
      <c r="B1052" s="5">
        <v>25.77</v>
      </c>
      <c r="C1052" s="5">
        <v>26.12</v>
      </c>
      <c r="D1052" s="5">
        <v>25.64</v>
      </c>
      <c r="E1052" s="5">
        <v>26.03</v>
      </c>
      <c r="F1052" s="6">
        <v>47443700</v>
      </c>
    </row>
    <row r="1053" spans="1:6" x14ac:dyDescent="0.2">
      <c r="A1053" s="4">
        <v>45999</v>
      </c>
      <c r="B1053" s="5">
        <v>26.04</v>
      </c>
      <c r="C1053" s="5">
        <v>26.19</v>
      </c>
      <c r="D1053" s="5">
        <v>25.76</v>
      </c>
      <c r="E1053" s="5">
        <v>25.77</v>
      </c>
      <c r="F1053" s="6">
        <v>45209350</v>
      </c>
    </row>
    <row r="1054" spans="1:6" x14ac:dyDescent="0.2">
      <c r="A1054" s="4">
        <v>46000</v>
      </c>
      <c r="B1054" s="5">
        <v>26</v>
      </c>
      <c r="C1054" s="5">
        <v>26.13</v>
      </c>
      <c r="D1054" s="5">
        <v>25.13</v>
      </c>
      <c r="E1054" s="5">
        <v>25.33</v>
      </c>
      <c r="F1054" s="6">
        <v>43483810</v>
      </c>
    </row>
    <row r="1055" spans="1:6" x14ac:dyDescent="0.2">
      <c r="A1055" s="4">
        <v>46001</v>
      </c>
      <c r="B1055" s="5">
        <v>25.49</v>
      </c>
      <c r="C1055" s="5">
        <v>25.79</v>
      </c>
      <c r="D1055" s="5">
        <v>25.22</v>
      </c>
      <c r="E1055" s="5">
        <v>25.78</v>
      </c>
      <c r="F1055" s="6">
        <v>43635410</v>
      </c>
    </row>
    <row r="1056" spans="1:6" x14ac:dyDescent="0.2">
      <c r="A1056" s="4">
        <v>46002</v>
      </c>
      <c r="B1056" s="5">
        <v>25.8</v>
      </c>
      <c r="C1056" s="5">
        <v>26.04</v>
      </c>
      <c r="D1056" s="5">
        <v>25.61</v>
      </c>
      <c r="E1056" s="5">
        <v>25.8</v>
      </c>
      <c r="F1056" s="6">
        <v>35570250</v>
      </c>
    </row>
    <row r="1057" spans="1:6" x14ac:dyDescent="0.2">
      <c r="A1057" s="4">
        <v>46003</v>
      </c>
      <c r="B1057" s="5">
        <v>25.835000000000001</v>
      </c>
      <c r="C1057" s="5">
        <v>26.04</v>
      </c>
      <c r="D1057" s="5">
        <v>25.72</v>
      </c>
      <c r="E1057" s="5">
        <v>25.85</v>
      </c>
      <c r="F1057" s="6">
        <v>51599710</v>
      </c>
    </row>
    <row r="1058" spans="1:6" x14ac:dyDescent="0.2">
      <c r="A1058" s="4">
        <v>46006</v>
      </c>
      <c r="B1058" s="5">
        <v>25.82</v>
      </c>
      <c r="C1058" s="5">
        <v>26.65</v>
      </c>
      <c r="D1058" s="5">
        <v>25.81</v>
      </c>
      <c r="E1058" s="5">
        <v>26.43</v>
      </c>
      <c r="F1058" s="6">
        <v>60360030</v>
      </c>
    </row>
    <row r="1059" spans="1:6" x14ac:dyDescent="0.2">
      <c r="A1059" s="4">
        <v>46007</v>
      </c>
      <c r="B1059" s="5">
        <v>26.44</v>
      </c>
      <c r="C1059" s="5">
        <v>26.504999999999999</v>
      </c>
      <c r="D1059" s="5">
        <v>24.92</v>
      </c>
      <c r="E1059" s="5">
        <v>25.53</v>
      </c>
      <c r="F1059" s="6">
        <v>111695500</v>
      </c>
    </row>
    <row r="1060" spans="1:6" x14ac:dyDescent="0.2">
      <c r="A1060" s="4">
        <v>46008</v>
      </c>
      <c r="B1060" s="5">
        <v>25.4</v>
      </c>
      <c r="C1060" s="5">
        <v>25.49</v>
      </c>
      <c r="D1060" s="5">
        <v>25.03</v>
      </c>
      <c r="E1060" s="5">
        <v>25.04</v>
      </c>
      <c r="F1060" s="6">
        <v>61255280</v>
      </c>
    </row>
    <row r="1061" spans="1:6" x14ac:dyDescent="0.2">
      <c r="A1061" s="4">
        <v>46009</v>
      </c>
      <c r="B1061" s="5">
        <v>25.01</v>
      </c>
      <c r="C1061" s="5">
        <v>25.225000000000001</v>
      </c>
      <c r="D1061" s="5">
        <v>24.98</v>
      </c>
      <c r="E1061" s="5">
        <v>25.04</v>
      </c>
      <c r="F1061" s="6">
        <v>47062510</v>
      </c>
    </row>
    <row r="1062" spans="1:6" x14ac:dyDescent="0.2">
      <c r="A1062" s="4">
        <v>46010</v>
      </c>
      <c r="B1062" s="5">
        <v>25.01</v>
      </c>
      <c r="C1062" s="5">
        <v>25.52</v>
      </c>
      <c r="D1062" s="5">
        <v>24.98</v>
      </c>
      <c r="E1062" s="5">
        <v>25.19</v>
      </c>
      <c r="F1062" s="6">
        <v>87589970</v>
      </c>
    </row>
    <row r="1063" spans="1:6" x14ac:dyDescent="0.2">
      <c r="A1063" s="4">
        <v>46013</v>
      </c>
      <c r="B1063" s="5">
        <v>25.2</v>
      </c>
      <c r="C1063" s="5">
        <v>25.4</v>
      </c>
      <c r="D1063" s="5">
        <v>25.13</v>
      </c>
      <c r="E1063" s="5">
        <v>25.21</v>
      </c>
      <c r="F1063" s="6">
        <v>38758870</v>
      </c>
    </row>
    <row r="1064" spans="1:6" x14ac:dyDescent="0.2">
      <c r="A1064" s="4">
        <v>46014</v>
      </c>
      <c r="B1064" s="5">
        <v>25.26</v>
      </c>
      <c r="C1064" s="5">
        <v>25.34</v>
      </c>
      <c r="D1064" s="5">
        <v>24.83</v>
      </c>
      <c r="E1064" s="5">
        <v>24.88</v>
      </c>
      <c r="F1064" s="6">
        <v>43692860</v>
      </c>
    </row>
    <row r="1065" spans="1:6" x14ac:dyDescent="0.2">
      <c r="A1065" s="4">
        <v>46015</v>
      </c>
      <c r="B1065" s="5">
        <v>24.92</v>
      </c>
      <c r="C1065" s="5">
        <v>25.14</v>
      </c>
      <c r="D1065" s="5">
        <v>24.905000000000001</v>
      </c>
      <c r="E1065" s="5">
        <v>25.03</v>
      </c>
      <c r="F1065" s="6">
        <v>19328550</v>
      </c>
    </row>
    <row r="1066" spans="1:6" x14ac:dyDescent="0.2">
      <c r="A1066" s="4">
        <v>46017</v>
      </c>
      <c r="B1066" s="5">
        <v>25.015000000000001</v>
      </c>
      <c r="C1066" s="5">
        <v>25.11</v>
      </c>
      <c r="D1066" s="5">
        <v>24.92</v>
      </c>
      <c r="E1066" s="5">
        <v>25.09</v>
      </c>
      <c r="F1066" s="6">
        <v>21617810</v>
      </c>
    </row>
    <row r="1067" spans="1:6" x14ac:dyDescent="0.2">
      <c r="A1067" s="4">
        <v>46020</v>
      </c>
      <c r="B1067" s="5">
        <v>25.05</v>
      </c>
      <c r="C1067" s="5">
        <v>25.2</v>
      </c>
      <c r="D1067" s="5">
        <v>24.97</v>
      </c>
      <c r="E1067" s="5">
        <v>25</v>
      </c>
      <c r="F1067" s="6">
        <v>33067670</v>
      </c>
    </row>
    <row r="1068" spans="1:6" x14ac:dyDescent="0.2">
      <c r="A1068" s="4">
        <v>46021</v>
      </c>
      <c r="B1068" s="5">
        <v>25.01</v>
      </c>
      <c r="C1068" s="5">
        <v>25.047499999999999</v>
      </c>
      <c r="D1068" s="5">
        <v>24.92</v>
      </c>
      <c r="E1068" s="5">
        <v>24.99</v>
      </c>
      <c r="F1068" s="6">
        <v>28821740</v>
      </c>
    </row>
    <row r="1069" spans="1:6" x14ac:dyDescent="0.2">
      <c r="A1069" s="4">
        <v>46022</v>
      </c>
      <c r="B1069" s="5">
        <v>24.965</v>
      </c>
      <c r="C1069" s="5">
        <v>25.02</v>
      </c>
      <c r="D1069" s="5">
        <v>24.88</v>
      </c>
      <c r="E1069" s="5">
        <v>24.9</v>
      </c>
      <c r="F1069" s="6">
        <v>29409240</v>
      </c>
    </row>
    <row r="1070" spans="1:6" x14ac:dyDescent="0.2">
      <c r="A1070" s="4">
        <v>46024</v>
      </c>
      <c r="B1070" s="5">
        <v>24.98</v>
      </c>
      <c r="C1070" s="5">
        <v>25.3</v>
      </c>
      <c r="D1070" s="5">
        <v>24.83</v>
      </c>
      <c r="E1070" s="5">
        <v>25.18</v>
      </c>
      <c r="F1070" s="6">
        <v>35976670</v>
      </c>
    </row>
    <row r="1071" spans="1:6" x14ac:dyDescent="0.2">
      <c r="A1071" s="4">
        <v>46027</v>
      </c>
      <c r="B1071" s="5">
        <v>25.2</v>
      </c>
      <c r="C1071" s="5">
        <v>25.4</v>
      </c>
      <c r="D1071" s="5">
        <v>24.95</v>
      </c>
      <c r="E1071" s="5">
        <v>25.17</v>
      </c>
      <c r="F1071" s="6">
        <v>52620900</v>
      </c>
    </row>
    <row r="1072" spans="1:6" x14ac:dyDescent="0.2">
      <c r="A1072" s="4">
        <v>46028</v>
      </c>
      <c r="B1072" s="5">
        <v>25.184999999999999</v>
      </c>
      <c r="C1072" s="5">
        <v>26.004999999999999</v>
      </c>
      <c r="D1072" s="5">
        <v>25.184999999999999</v>
      </c>
      <c r="E1072" s="5">
        <v>25.43</v>
      </c>
      <c r="F1072" s="6">
        <v>50977280</v>
      </c>
    </row>
    <row r="1073" spans="1:6" x14ac:dyDescent="0.2">
      <c r="A1073" s="4">
        <v>46029</v>
      </c>
      <c r="B1073" s="5">
        <v>25.59</v>
      </c>
      <c r="C1073" s="5">
        <v>25.81</v>
      </c>
      <c r="D1073" s="5">
        <v>25.14</v>
      </c>
      <c r="E1073" s="5">
        <v>25.28</v>
      </c>
      <c r="F1073" s="6">
        <v>51395760</v>
      </c>
    </row>
    <row r="1074" spans="1:6" x14ac:dyDescent="0.2">
      <c r="A1074" s="4">
        <v>46030</v>
      </c>
      <c r="B1074" s="5">
        <v>25.18</v>
      </c>
      <c r="C1074" s="5">
        <v>25.56</v>
      </c>
      <c r="D1074" s="5">
        <v>25.12</v>
      </c>
      <c r="E1074" s="5">
        <v>25.29</v>
      </c>
      <c r="F1074" s="6">
        <v>42977330</v>
      </c>
    </row>
    <row r="1075" spans="1:6" x14ac:dyDescent="0.2">
      <c r="A1075" s="4">
        <v>46031</v>
      </c>
      <c r="B1075" s="5">
        <v>25.34</v>
      </c>
      <c r="C1075" s="5">
        <v>25.55</v>
      </c>
      <c r="D1075" s="5">
        <v>25.23</v>
      </c>
      <c r="E1075" s="5">
        <v>25.48</v>
      </c>
      <c r="F1075" s="6">
        <v>34190180</v>
      </c>
    </row>
    <row r="1076" spans="1:6" x14ac:dyDescent="0.2">
      <c r="A1076" s="4">
        <v>46034</v>
      </c>
      <c r="B1076" s="5">
        <v>25.574999999999999</v>
      </c>
      <c r="C1076" s="5">
        <v>25.77</v>
      </c>
      <c r="D1076" s="5">
        <v>25.085000000000001</v>
      </c>
      <c r="E1076" s="5">
        <v>25.27</v>
      </c>
      <c r="F1076" s="6">
        <v>50256310</v>
      </c>
    </row>
    <row r="1077" spans="1:6" x14ac:dyDescent="0.2">
      <c r="A1077" s="4">
        <v>46035</v>
      </c>
      <c r="B1077" s="5">
        <v>25.32</v>
      </c>
      <c r="C1077" s="5">
        <v>25.39</v>
      </c>
      <c r="D1077" s="5">
        <v>24.974599999999999</v>
      </c>
      <c r="E1077" s="5">
        <v>25.15</v>
      </c>
      <c r="F1077" s="6">
        <v>47656110</v>
      </c>
    </row>
    <row r="1078" spans="1:6" x14ac:dyDescent="0.2">
      <c r="A1078" s="4">
        <v>46036</v>
      </c>
      <c r="B1078" s="5">
        <v>25.23</v>
      </c>
      <c r="C1078" s="5">
        <v>25.71</v>
      </c>
      <c r="D1078" s="5">
        <v>25.203499999999998</v>
      </c>
      <c r="E1078" s="5">
        <v>25.58</v>
      </c>
      <c r="F1078" s="6">
        <v>53738090</v>
      </c>
    </row>
    <row r="1079" spans="1:6" x14ac:dyDescent="0.2">
      <c r="A1079" s="4">
        <v>46037</v>
      </c>
      <c r="B1079" s="5">
        <v>25.55</v>
      </c>
      <c r="C1079" s="5">
        <v>25.89</v>
      </c>
      <c r="D1079" s="5">
        <v>25.25</v>
      </c>
      <c r="E1079" s="5">
        <v>25.89</v>
      </c>
      <c r="F1079" s="6">
        <v>55263210</v>
      </c>
    </row>
    <row r="1080" spans="1:6" x14ac:dyDescent="0.2">
      <c r="A1080" s="4">
        <v>46038</v>
      </c>
      <c r="B1080" s="5">
        <v>25.89</v>
      </c>
      <c r="C1080" s="5">
        <v>25.89</v>
      </c>
      <c r="D1080" s="5">
        <v>25.55</v>
      </c>
      <c r="E1080" s="5">
        <v>25.65</v>
      </c>
      <c r="F1080" s="6">
        <v>59470570</v>
      </c>
    </row>
    <row r="1081" spans="1:6" x14ac:dyDescent="0.2">
      <c r="A1081" s="4">
        <v>46042</v>
      </c>
      <c r="B1081" s="5">
        <v>25.43</v>
      </c>
      <c r="C1081" s="5">
        <v>25.65</v>
      </c>
      <c r="D1081" s="5">
        <v>25.088999999999999</v>
      </c>
      <c r="E1081" s="5">
        <v>25.52</v>
      </c>
      <c r="F1081" s="6">
        <v>55425390</v>
      </c>
    </row>
    <row r="1082" spans="1:6" x14ac:dyDescent="0.2">
      <c r="A1082" s="4">
        <v>46043</v>
      </c>
      <c r="B1082" s="5">
        <v>25.47</v>
      </c>
      <c r="C1082" s="5">
        <v>25.92</v>
      </c>
      <c r="D1082" s="5">
        <v>25.38</v>
      </c>
      <c r="E1082" s="5">
        <v>25.89</v>
      </c>
      <c r="F1082" s="6">
        <v>47264120</v>
      </c>
    </row>
    <row r="1083" spans="1:6" x14ac:dyDescent="0.2">
      <c r="A1083" s="4">
        <v>46044</v>
      </c>
      <c r="B1083" s="5">
        <v>25.9</v>
      </c>
      <c r="C1083" s="5">
        <v>26.31</v>
      </c>
      <c r="D1083" s="5">
        <v>25.75</v>
      </c>
      <c r="E1083" s="5">
        <v>26.1</v>
      </c>
      <c r="F1083" s="6">
        <v>49883920</v>
      </c>
    </row>
    <row r="1084" spans="1:6" x14ac:dyDescent="0.2">
      <c r="A1084" s="4">
        <v>46045</v>
      </c>
      <c r="B1084" s="5">
        <v>25.58</v>
      </c>
      <c r="C1084" s="5">
        <v>25.684999999999999</v>
      </c>
      <c r="D1084" s="5">
        <v>25.51</v>
      </c>
      <c r="E1084" s="5">
        <v>25.65</v>
      </c>
      <c r="F1084" s="6">
        <v>45402330</v>
      </c>
    </row>
    <row r="1085" spans="1:6" x14ac:dyDescent="0.2">
      <c r="A1085" s="4">
        <v>46048</v>
      </c>
      <c r="B1085" s="5">
        <v>25.63</v>
      </c>
      <c r="C1085" s="5">
        <v>25.92</v>
      </c>
      <c r="D1085" s="5">
        <v>25.594999999999999</v>
      </c>
      <c r="E1085" s="5">
        <v>25.88</v>
      </c>
      <c r="F1085" s="6">
        <v>41441870</v>
      </c>
    </row>
    <row r="1086" spans="1:6" x14ac:dyDescent="0.2">
      <c r="A1086" s="4">
        <v>46049</v>
      </c>
      <c r="B1086" s="5">
        <v>25.94</v>
      </c>
      <c r="C1086" s="5">
        <v>26.83</v>
      </c>
      <c r="D1086" s="5">
        <v>25.9</v>
      </c>
      <c r="E1086" s="5">
        <v>26.5</v>
      </c>
      <c r="F1086" s="6">
        <v>75575390</v>
      </c>
    </row>
    <row r="1087" spans="1:6" x14ac:dyDescent="0.2">
      <c r="A1087" s="4">
        <v>46050</v>
      </c>
      <c r="B1087" s="5">
        <v>26.265000000000001</v>
      </c>
      <c r="C1087" s="5">
        <v>26.39</v>
      </c>
      <c r="D1087" s="5">
        <v>25.754999999999999</v>
      </c>
      <c r="E1087" s="5">
        <v>25.86</v>
      </c>
      <c r="F1087" s="6">
        <v>44976690</v>
      </c>
    </row>
    <row r="1088" spans="1:6" x14ac:dyDescent="0.2">
      <c r="A1088" s="4">
        <v>46051</v>
      </c>
      <c r="B1088" s="5">
        <v>25.9</v>
      </c>
      <c r="C1088" s="5">
        <v>26.23</v>
      </c>
      <c r="D1088" s="5">
        <v>25.88</v>
      </c>
      <c r="E1088" s="5">
        <v>26.1</v>
      </c>
      <c r="F1088" s="6">
        <v>44373800</v>
      </c>
    </row>
    <row r="1089" spans="1:6" x14ac:dyDescent="0.2">
      <c r="A1089" s="4">
        <v>46052</v>
      </c>
      <c r="B1089" s="5">
        <v>26.13</v>
      </c>
      <c r="C1089" s="5">
        <v>26.47</v>
      </c>
      <c r="D1089" s="5">
        <v>25.9</v>
      </c>
      <c r="E1089" s="5">
        <v>26.44</v>
      </c>
      <c r="F1089" s="6">
        <v>51599440</v>
      </c>
    </row>
    <row r="1090" spans="1:6" x14ac:dyDescent="0.2">
      <c r="A1090" s="4">
        <v>46055</v>
      </c>
      <c r="B1090" s="5">
        <v>26.42</v>
      </c>
      <c r="C1090" s="5">
        <v>26.684999999999999</v>
      </c>
      <c r="D1090" s="5">
        <v>26.353400000000001</v>
      </c>
      <c r="E1090" s="5">
        <v>26.66</v>
      </c>
      <c r="F1090" s="6">
        <v>52129520</v>
      </c>
    </row>
    <row r="1091" spans="1:6" x14ac:dyDescent="0.2">
      <c r="A1091" s="4">
        <v>46056</v>
      </c>
      <c r="B1091" s="5">
        <v>25.36</v>
      </c>
      <c r="C1091" s="5">
        <v>26.105</v>
      </c>
      <c r="D1091" s="5">
        <v>25.26</v>
      </c>
      <c r="E1091" s="5">
        <v>25.77</v>
      </c>
      <c r="F1091" s="6">
        <v>91964910</v>
      </c>
    </row>
    <row r="1092" spans="1:6" x14ac:dyDescent="0.2">
      <c r="A1092" s="4">
        <v>46057</v>
      </c>
      <c r="B1092" s="5">
        <v>25.88</v>
      </c>
      <c r="C1092" s="5">
        <v>26.98</v>
      </c>
      <c r="D1092" s="5">
        <v>25.86</v>
      </c>
      <c r="E1092" s="5">
        <v>26.78</v>
      </c>
      <c r="F1092" s="6">
        <v>83025840</v>
      </c>
    </row>
    <row r="1093" spans="1:6" x14ac:dyDescent="0.2">
      <c r="A1093" s="4">
        <v>46058</v>
      </c>
      <c r="B1093" s="5">
        <v>26.76</v>
      </c>
      <c r="C1093" s="5">
        <v>27.19</v>
      </c>
      <c r="D1093" s="5">
        <v>26.46</v>
      </c>
      <c r="E1093" s="5">
        <v>26.49</v>
      </c>
      <c r="F1093" s="6">
        <v>72650730</v>
      </c>
    </row>
    <row r="1094" spans="1:6" x14ac:dyDescent="0.2">
      <c r="A1094" s="4">
        <v>46059</v>
      </c>
      <c r="B1094" s="5">
        <v>26.67</v>
      </c>
      <c r="C1094" s="5">
        <v>27.37</v>
      </c>
      <c r="D1094" s="5">
        <v>26.52</v>
      </c>
      <c r="E1094" s="5">
        <v>27.22</v>
      </c>
      <c r="F1094" s="6">
        <v>50691580</v>
      </c>
    </row>
    <row r="1095" spans="1:6" x14ac:dyDescent="0.2">
      <c r="A1095" s="4">
        <v>46062</v>
      </c>
      <c r="B1095" s="5">
        <v>27.18</v>
      </c>
      <c r="C1095" s="5">
        <v>27.364999999999998</v>
      </c>
      <c r="D1095" s="5">
        <v>26.79</v>
      </c>
      <c r="E1095" s="5">
        <v>27.05</v>
      </c>
      <c r="F1095" s="6">
        <v>49288180</v>
      </c>
    </row>
    <row r="1096" spans="1:6" x14ac:dyDescent="0.2">
      <c r="A1096" s="4">
        <v>46063</v>
      </c>
      <c r="B1096" s="5">
        <v>27.175000000000001</v>
      </c>
      <c r="C1096" s="5">
        <v>27.73</v>
      </c>
      <c r="D1096" s="5">
        <v>27.09</v>
      </c>
      <c r="E1096" s="5">
        <v>27.61</v>
      </c>
      <c r="F1096" s="6">
        <v>43760600</v>
      </c>
    </row>
    <row r="1097" spans="1:6" x14ac:dyDescent="0.2">
      <c r="A1097" s="4">
        <v>46064</v>
      </c>
      <c r="B1097" s="5">
        <v>27.55</v>
      </c>
      <c r="C1097" s="5">
        <v>27.94</v>
      </c>
      <c r="D1097" s="5">
        <v>27.31</v>
      </c>
      <c r="E1097" s="5">
        <v>27.73</v>
      </c>
      <c r="F1097" s="6">
        <v>41699330</v>
      </c>
    </row>
    <row r="1098" spans="1:6" x14ac:dyDescent="0.2">
      <c r="A1098" s="4">
        <v>46065</v>
      </c>
      <c r="B1098" s="5">
        <v>27.65</v>
      </c>
      <c r="C1098" s="5">
        <v>27.89</v>
      </c>
      <c r="D1098" s="5">
        <v>27.41</v>
      </c>
      <c r="E1098" s="5">
        <v>27.47</v>
      </c>
      <c r="F1098" s="6">
        <v>58805110</v>
      </c>
    </row>
    <row r="1099" spans="1:6" x14ac:dyDescent="0.2">
      <c r="A1099" s="4">
        <v>46066</v>
      </c>
      <c r="B1099" s="5">
        <v>27.6</v>
      </c>
      <c r="C1099" s="5">
        <v>27.94</v>
      </c>
      <c r="D1099" s="5">
        <v>27.55</v>
      </c>
      <c r="E1099" s="5">
        <v>27.58</v>
      </c>
      <c r="F1099" s="6">
        <v>36986730</v>
      </c>
    </row>
    <row r="1100" spans="1:6" x14ac:dyDescent="0.2">
      <c r="A1100" s="4">
        <v>46070</v>
      </c>
      <c r="B1100" s="5">
        <v>27.84</v>
      </c>
      <c r="C1100" s="5">
        <v>27.87</v>
      </c>
      <c r="D1100" s="5">
        <v>27.2</v>
      </c>
      <c r="E1100" s="5">
        <v>27.37</v>
      </c>
      <c r="F1100" s="6">
        <v>32119860</v>
      </c>
    </row>
    <row r="1101" spans="1:6" x14ac:dyDescent="0.2">
      <c r="A1101" s="4">
        <v>46071</v>
      </c>
      <c r="B1101" s="5">
        <v>27.44</v>
      </c>
      <c r="C1101" s="5">
        <v>27.48</v>
      </c>
      <c r="D1101" s="5">
        <v>27.204999999999998</v>
      </c>
      <c r="E1101" s="5">
        <v>27.37</v>
      </c>
      <c r="F1101" s="6">
        <v>24779770</v>
      </c>
    </row>
    <row r="1102" spans="1:6" x14ac:dyDescent="0.2">
      <c r="A1102" s="4">
        <v>46072</v>
      </c>
      <c r="B1102" s="5">
        <v>27.37</v>
      </c>
      <c r="C1102" s="5">
        <v>27.4</v>
      </c>
      <c r="D1102" s="5">
        <v>26.58</v>
      </c>
      <c r="E1102" s="5">
        <v>26.86</v>
      </c>
      <c r="F1102" s="6">
        <v>40316790</v>
      </c>
    </row>
    <row r="1103" spans="1:6" x14ac:dyDescent="0.2">
      <c r="A1103" s="4">
        <v>46073</v>
      </c>
      <c r="B1103" s="5">
        <v>26.71</v>
      </c>
      <c r="C1103" s="5">
        <v>26.774999999999999</v>
      </c>
      <c r="D1103" s="5">
        <v>26.355</v>
      </c>
      <c r="E1103" s="5">
        <v>26.65</v>
      </c>
      <c r="F1103" s="6">
        <v>44786930</v>
      </c>
    </row>
    <row r="1104" spans="1:6" x14ac:dyDescent="0.2">
      <c r="A1104" s="4">
        <v>46076</v>
      </c>
      <c r="B1104" s="5">
        <v>26.555</v>
      </c>
      <c r="C1104" s="5">
        <v>27.105</v>
      </c>
      <c r="D1104" s="5">
        <v>26.5</v>
      </c>
      <c r="E1104" s="5">
        <v>27.06</v>
      </c>
      <c r="F1104" s="6">
        <v>34166080</v>
      </c>
    </row>
    <row r="1105" spans="1:6" x14ac:dyDescent="0.2">
      <c r="A1105" s="4">
        <v>46077</v>
      </c>
      <c r="B1105" s="5">
        <v>27.14</v>
      </c>
      <c r="C1105" s="5">
        <v>27.42</v>
      </c>
      <c r="D1105" s="5">
        <v>27.08</v>
      </c>
      <c r="E1105" s="5">
        <v>27.14</v>
      </c>
      <c r="F1105" s="6">
        <v>34686060</v>
      </c>
    </row>
    <row r="1106" spans="1:6" x14ac:dyDescent="0.2">
      <c r="A1106" s="4">
        <v>46078</v>
      </c>
      <c r="B1106" s="5">
        <v>27.055</v>
      </c>
      <c r="C1106" s="5">
        <v>27.29</v>
      </c>
      <c r="D1106" s="5">
        <v>26.73</v>
      </c>
      <c r="E1106" s="5">
        <v>27.09</v>
      </c>
      <c r="F1106" s="6">
        <v>32680320</v>
      </c>
    </row>
    <row r="1107" spans="1:6" x14ac:dyDescent="0.2">
      <c r="A1107" s="4">
        <v>46079</v>
      </c>
      <c r="B1107" s="5">
        <v>27.26</v>
      </c>
      <c r="C1107" s="5">
        <v>27.27</v>
      </c>
      <c r="D1107" s="5">
        <v>26.87</v>
      </c>
      <c r="E1107" s="5">
        <v>27.1</v>
      </c>
      <c r="F1107" s="6">
        <v>30508280</v>
      </c>
    </row>
    <row r="1108" spans="1:6" x14ac:dyDescent="0.2">
      <c r="A1108" s="4">
        <v>46080</v>
      </c>
      <c r="B1108" s="5">
        <v>27.155000000000001</v>
      </c>
      <c r="C1108" s="5">
        <v>27.67</v>
      </c>
      <c r="D1108" s="5">
        <v>27.0901</v>
      </c>
      <c r="E1108" s="5">
        <v>27.65</v>
      </c>
      <c r="F1108" s="6">
        <v>41879690</v>
      </c>
    </row>
    <row r="1109" spans="1:6" x14ac:dyDescent="0.2">
      <c r="A1109" s="4">
        <v>46083</v>
      </c>
      <c r="B1109" s="5">
        <v>27.57</v>
      </c>
      <c r="C1109" s="5">
        <v>27.61</v>
      </c>
      <c r="D1109" s="5">
        <v>27.17</v>
      </c>
      <c r="E1109" s="5">
        <v>27.26</v>
      </c>
      <c r="F1109" s="6">
        <v>41321690</v>
      </c>
    </row>
    <row r="1110" spans="1:6" x14ac:dyDescent="0.2">
      <c r="A1110" s="4">
        <v>46084</v>
      </c>
      <c r="B1110" s="5">
        <v>26.72</v>
      </c>
      <c r="C1110" s="5">
        <v>26.95</v>
      </c>
      <c r="D1110" s="5">
        <v>26.35</v>
      </c>
      <c r="E1110" s="5">
        <v>26.58</v>
      </c>
      <c r="F1110" s="6">
        <v>41486090</v>
      </c>
    </row>
    <row r="1111" spans="1:6" x14ac:dyDescent="0.2">
      <c r="A1111" s="4">
        <v>46085</v>
      </c>
      <c r="B1111" s="5">
        <v>26.765000000000001</v>
      </c>
      <c r="C1111" s="5">
        <v>26.78</v>
      </c>
      <c r="D1111" s="5">
        <v>26.35</v>
      </c>
      <c r="E1111" s="5">
        <v>26.62</v>
      </c>
      <c r="F1111" s="6">
        <v>30893520</v>
      </c>
    </row>
    <row r="1112" spans="1:6" x14ac:dyDescent="0.2">
      <c r="A1112" s="4">
        <v>46086</v>
      </c>
      <c r="B1112" s="5">
        <v>26.39</v>
      </c>
      <c r="C1112" s="5">
        <v>26.71</v>
      </c>
      <c r="D1112" s="5">
        <v>26.2</v>
      </c>
      <c r="E1112" s="5">
        <v>26.61</v>
      </c>
      <c r="F1112" s="6">
        <v>38908620</v>
      </c>
    </row>
    <row r="1113" spans="1:6" x14ac:dyDescent="0.2">
      <c r="A1113" s="4">
        <v>46087</v>
      </c>
      <c r="B1113" s="5">
        <v>26.54</v>
      </c>
      <c r="C1113" s="5">
        <v>27.13</v>
      </c>
      <c r="D1113" s="5">
        <v>26.23</v>
      </c>
      <c r="E1113" s="5">
        <v>27.05</v>
      </c>
      <c r="F1113" s="6">
        <v>53181850</v>
      </c>
    </row>
    <row r="1114" spans="1:6" x14ac:dyDescent="0.2">
      <c r="A1114" s="4">
        <v>46090</v>
      </c>
      <c r="B1114" s="5">
        <v>26.91</v>
      </c>
      <c r="C1114" s="5">
        <v>27.11</v>
      </c>
      <c r="D1114" s="5">
        <v>26.355</v>
      </c>
      <c r="E1114" s="5">
        <v>26.81</v>
      </c>
      <c r="F1114" s="6">
        <v>42789540</v>
      </c>
    </row>
    <row r="1115" spans="1:6" x14ac:dyDescent="0.2">
      <c r="A1115" s="4">
        <v>46091</v>
      </c>
      <c r="B1115" s="5">
        <v>26.82</v>
      </c>
      <c r="C1115" s="5">
        <v>27.29</v>
      </c>
      <c r="D1115" s="5">
        <v>26.52</v>
      </c>
      <c r="E1115" s="5">
        <v>27.16</v>
      </c>
      <c r="F1115" s="6">
        <v>42814600</v>
      </c>
    </row>
    <row r="1116" spans="1:6" x14ac:dyDescent="0.2">
      <c r="A1116" s="4">
        <v>46092</v>
      </c>
      <c r="B1116" s="5">
        <v>27.2</v>
      </c>
      <c r="C1116" s="5">
        <v>27.41</v>
      </c>
      <c r="D1116" s="5">
        <v>27</v>
      </c>
      <c r="E1116" s="5">
        <v>27.3</v>
      </c>
      <c r="F1116" s="6">
        <v>40560130</v>
      </c>
    </row>
    <row r="1117" spans="1:6" x14ac:dyDescent="0.2">
      <c r="A1117" s="4">
        <v>46093</v>
      </c>
      <c r="B1117" s="5">
        <v>27.11</v>
      </c>
      <c r="C1117" s="5">
        <v>27.12</v>
      </c>
      <c r="D1117" s="5">
        <v>26.63</v>
      </c>
      <c r="E1117" s="5">
        <v>26.86</v>
      </c>
      <c r="F1117" s="6">
        <v>38542830</v>
      </c>
    </row>
    <row r="1118" spans="1:6" x14ac:dyDescent="0.2">
      <c r="A1118" s="4">
        <v>46094</v>
      </c>
      <c r="B1118" s="5">
        <v>27.02</v>
      </c>
      <c r="C1118" s="5">
        <v>27.28</v>
      </c>
      <c r="D1118" s="5">
        <v>26.574999999999999</v>
      </c>
      <c r="E1118" s="5">
        <v>26.58</v>
      </c>
      <c r="F1118" s="6">
        <v>34270810</v>
      </c>
    </row>
    <row r="1119" spans="1:6" x14ac:dyDescent="0.2">
      <c r="A1119" s="4">
        <v>46097</v>
      </c>
      <c r="B1119" s="5">
        <v>26.695</v>
      </c>
      <c r="C1119" s="5">
        <v>26.89</v>
      </c>
      <c r="D1119" s="5">
        <v>26.52</v>
      </c>
      <c r="E1119" s="5">
        <v>26.61</v>
      </c>
      <c r="F1119" s="6">
        <v>28551480</v>
      </c>
    </row>
    <row r="1120" spans="1:6" x14ac:dyDescent="0.2">
      <c r="A1120" s="4">
        <v>46098</v>
      </c>
      <c r="B1120" s="5">
        <v>26.815000000000001</v>
      </c>
      <c r="C1120" s="5">
        <v>27.76</v>
      </c>
      <c r="D1120" s="5">
        <v>26.815000000000001</v>
      </c>
      <c r="E1120" s="5">
        <v>27.45</v>
      </c>
      <c r="F1120" s="6">
        <v>60097470</v>
      </c>
    </row>
    <row r="1121" spans="1:6" x14ac:dyDescent="0.2">
      <c r="A1121" s="4">
        <v>46099</v>
      </c>
      <c r="B1121" s="5">
        <v>27.14</v>
      </c>
      <c r="C1121" s="5">
        <v>27.38</v>
      </c>
      <c r="D1121" s="5">
        <v>26.835000000000001</v>
      </c>
      <c r="E1121" s="5">
        <v>27.32</v>
      </c>
      <c r="F1121" s="6">
        <v>47478270</v>
      </c>
    </row>
    <row r="1122" spans="1:6" x14ac:dyDescent="0.2">
      <c r="A1122" s="4">
        <v>46100</v>
      </c>
      <c r="B1122" s="5">
        <v>27.29</v>
      </c>
      <c r="C1122" s="5">
        <v>27.73</v>
      </c>
      <c r="D1122" s="5">
        <v>27.25</v>
      </c>
      <c r="E1122" s="5">
        <v>27.41</v>
      </c>
      <c r="F1122" s="6">
        <v>47939550</v>
      </c>
    </row>
    <row r="1123" spans="1:6" x14ac:dyDescent="0.2">
      <c r="A1123" s="4">
        <v>46101</v>
      </c>
      <c r="B1123" s="5">
        <v>27.41</v>
      </c>
      <c r="C1123" s="5">
        <v>27.55</v>
      </c>
      <c r="D1123" s="5">
        <v>26.8</v>
      </c>
      <c r="E1123" s="5">
        <v>26.97</v>
      </c>
      <c r="F1123" s="6">
        <v>66805680</v>
      </c>
    </row>
    <row r="1124" spans="1:6" x14ac:dyDescent="0.2">
      <c r="A1124" s="4">
        <v>46104</v>
      </c>
      <c r="B1124" s="5">
        <v>27.03</v>
      </c>
      <c r="C1124" s="5">
        <v>27.19</v>
      </c>
      <c r="D1124" s="5">
        <v>26.63</v>
      </c>
      <c r="E1124" s="5">
        <v>26.77</v>
      </c>
      <c r="F1124" s="6">
        <v>42945220</v>
      </c>
    </row>
    <row r="1125" spans="1:6" x14ac:dyDescent="0.2">
      <c r="A1125" s="4">
        <v>46105</v>
      </c>
      <c r="B1125" s="5">
        <v>26.6</v>
      </c>
      <c r="C1125" s="5">
        <v>27.13</v>
      </c>
      <c r="D1125" s="5">
        <v>26.44</v>
      </c>
      <c r="E1125" s="5">
        <v>26.96</v>
      </c>
      <c r="F1125" s="6">
        <v>35605270</v>
      </c>
    </row>
    <row r="1126" spans="1:6" x14ac:dyDescent="0.2">
      <c r="A1126" s="4">
        <v>46106</v>
      </c>
      <c r="B1126" s="5">
        <v>27.18</v>
      </c>
      <c r="C1126" s="5">
        <v>27.53</v>
      </c>
      <c r="D1126" s="5">
        <v>27.04</v>
      </c>
      <c r="E1126" s="5">
        <v>27.28</v>
      </c>
      <c r="F1126" s="6">
        <v>37603860</v>
      </c>
    </row>
    <row r="1127" spans="1:6" x14ac:dyDescent="0.2">
      <c r="A1127" s="4">
        <v>46107</v>
      </c>
      <c r="B1127" s="5">
        <v>27.25</v>
      </c>
      <c r="C1127" s="5">
        <v>27.805</v>
      </c>
      <c r="D1127" s="5">
        <v>27.24</v>
      </c>
      <c r="E1127" s="5">
        <v>27.57</v>
      </c>
      <c r="F1127" s="6">
        <v>28834960</v>
      </c>
    </row>
    <row r="1128" spans="1:6" x14ac:dyDescent="0.2">
      <c r="A1128" s="4">
        <v>46108</v>
      </c>
      <c r="B1128" s="5">
        <v>27.73</v>
      </c>
      <c r="C1128" s="5">
        <v>27.77</v>
      </c>
      <c r="D1128" s="5">
        <v>27.02</v>
      </c>
      <c r="E1128" s="5">
        <v>27.04</v>
      </c>
      <c r="F1128" s="6">
        <v>29124600</v>
      </c>
    </row>
    <row r="1129" spans="1:6" x14ac:dyDescent="0.2">
      <c r="A1129" s="4">
        <v>46111</v>
      </c>
      <c r="B1129" s="5">
        <v>27.42</v>
      </c>
      <c r="C1129" s="5">
        <v>27.82</v>
      </c>
      <c r="D1129" s="5">
        <v>27.15</v>
      </c>
      <c r="E1129" s="5">
        <v>27.77</v>
      </c>
      <c r="F1129" s="6">
        <v>46696030</v>
      </c>
    </row>
    <row r="1130" spans="1:6" x14ac:dyDescent="0.2">
      <c r="A1130" s="4">
        <v>46112</v>
      </c>
      <c r="B1130" s="5">
        <v>27.99</v>
      </c>
      <c r="C1130" s="5">
        <v>28.31</v>
      </c>
      <c r="D1130" s="5">
        <v>27.785</v>
      </c>
      <c r="E1130" s="5">
        <v>28.08</v>
      </c>
      <c r="F1130" s="6">
        <v>44841500</v>
      </c>
    </row>
    <row r="1131" spans="1:6" x14ac:dyDescent="0.2">
      <c r="A1131" s="4">
        <v>46113</v>
      </c>
      <c r="B1131" s="5">
        <v>28.27</v>
      </c>
      <c r="C1131" s="5">
        <v>28.64</v>
      </c>
      <c r="D1131" s="5">
        <v>28.04</v>
      </c>
      <c r="E1131" s="5">
        <v>28.55</v>
      </c>
      <c r="F1131" s="6">
        <v>44208490</v>
      </c>
    </row>
    <row r="1132" spans="1:6" x14ac:dyDescent="0.2">
      <c r="A1132" s="4">
        <v>46114</v>
      </c>
      <c r="B1132" s="5">
        <v>28.5</v>
      </c>
      <c r="C1132" s="5">
        <v>28.745000000000001</v>
      </c>
      <c r="D1132" s="5">
        <v>28.22</v>
      </c>
      <c r="E1132" s="5">
        <v>28.32</v>
      </c>
      <c r="F1132" s="6">
        <v>30920610</v>
      </c>
    </row>
    <row r="1133" spans="1:6" x14ac:dyDescent="0.2">
      <c r="A1133" s="4">
        <v>46118</v>
      </c>
      <c r="B1133" s="5">
        <v>28.19</v>
      </c>
      <c r="C1133" s="5">
        <v>28.23</v>
      </c>
      <c r="D1133" s="5">
        <v>27.81</v>
      </c>
      <c r="E1133" s="5">
        <v>27.83</v>
      </c>
      <c r="F1133" s="6">
        <v>25169260</v>
      </c>
    </row>
    <row r="1134" spans="1:6" x14ac:dyDescent="0.2">
      <c r="A1134" s="4">
        <v>46119</v>
      </c>
      <c r="B1134" s="5">
        <v>27.66</v>
      </c>
      <c r="C1134" s="5">
        <v>27.68</v>
      </c>
      <c r="D1134" s="5">
        <v>26.78</v>
      </c>
      <c r="E1134" s="5">
        <v>27.1</v>
      </c>
      <c r="F1134" s="6">
        <v>46620510</v>
      </c>
    </row>
    <row r="1135" spans="1:6" x14ac:dyDescent="0.2">
      <c r="A1135" s="4">
        <v>46120</v>
      </c>
      <c r="B1135" s="5">
        <v>27.25</v>
      </c>
      <c r="C1135" s="5">
        <v>27.49</v>
      </c>
      <c r="D1135" s="5">
        <v>26.965</v>
      </c>
      <c r="E1135" s="5">
        <v>27.47</v>
      </c>
      <c r="F1135" s="6">
        <v>33789070</v>
      </c>
    </row>
    <row r="1136" spans="1:6" x14ac:dyDescent="0.2">
      <c r="A1136" s="4">
        <v>46121</v>
      </c>
      <c r="B1136" s="5">
        <v>27.21</v>
      </c>
      <c r="C1136" s="5">
        <v>27.5</v>
      </c>
      <c r="D1136" s="5">
        <v>27.18</v>
      </c>
      <c r="E1136" s="5">
        <v>27.22</v>
      </c>
      <c r="F1136" s="6">
        <v>27047560</v>
      </c>
    </row>
    <row r="1137" spans="1:6" x14ac:dyDescent="0.2">
      <c r="A1137" s="4">
        <v>46122</v>
      </c>
      <c r="B1137" s="5">
        <v>27.32</v>
      </c>
      <c r="C1137" s="5">
        <v>27.36</v>
      </c>
      <c r="D1137" s="5">
        <v>26.77</v>
      </c>
      <c r="E1137" s="5">
        <v>26.92</v>
      </c>
      <c r="F1137" s="6">
        <v>27882380</v>
      </c>
    </row>
    <row r="1138" spans="1:6" x14ac:dyDescent="0.2">
      <c r="A1138" s="4">
        <v>46125</v>
      </c>
      <c r="B1138" s="5">
        <v>26.83</v>
      </c>
      <c r="C1138" s="5">
        <v>27.57</v>
      </c>
      <c r="D1138" s="5">
        <v>26.68</v>
      </c>
      <c r="E1138" s="5">
        <v>27.34</v>
      </c>
      <c r="F1138" s="6">
        <v>44156220</v>
      </c>
    </row>
    <row r="1139" spans="1:6" x14ac:dyDescent="0.2">
      <c r="A1139" s="4">
        <v>46126</v>
      </c>
      <c r="B1139" s="5">
        <v>27.2</v>
      </c>
      <c r="C1139" s="5">
        <v>27.31</v>
      </c>
      <c r="D1139" s="5">
        <v>27.074999999999999</v>
      </c>
      <c r="E1139" s="5">
        <v>27.11</v>
      </c>
      <c r="F1139" s="6">
        <v>24558930</v>
      </c>
    </row>
    <row r="1140" spans="1:6" x14ac:dyDescent="0.2">
      <c r="A1140" s="4">
        <v>46127</v>
      </c>
      <c r="B1140" s="5">
        <v>27.18</v>
      </c>
      <c r="C1140" s="5">
        <v>27.36</v>
      </c>
      <c r="D1140" s="5">
        <v>26.97</v>
      </c>
      <c r="E1140" s="5">
        <v>27.19</v>
      </c>
      <c r="F1140" s="6">
        <v>29648940</v>
      </c>
    </row>
    <row r="1141" spans="1:6" x14ac:dyDescent="0.2">
      <c r="A1141" s="4">
        <v>46128</v>
      </c>
      <c r="B1141" s="5">
        <v>27.204999999999998</v>
      </c>
      <c r="C1141" s="5">
        <v>27.48</v>
      </c>
      <c r="D1141" s="5">
        <v>27.15</v>
      </c>
      <c r="E1141" s="5">
        <v>27.22</v>
      </c>
      <c r="F1141" s="6">
        <v>21905300</v>
      </c>
    </row>
    <row r="1142" spans="1:6" x14ac:dyDescent="0.2">
      <c r="A1142" s="4">
        <v>46129</v>
      </c>
      <c r="B1142" s="5">
        <v>27.33</v>
      </c>
      <c r="C1142" s="5">
        <v>27.67</v>
      </c>
      <c r="D1142" s="5">
        <v>27.12</v>
      </c>
      <c r="E1142" s="5">
        <v>27.56</v>
      </c>
      <c r="F1142" s="6">
        <v>30080410</v>
      </c>
    </row>
    <row r="1143" spans="1:6" x14ac:dyDescent="0.2">
      <c r="A1143" s="4">
        <v>46132</v>
      </c>
      <c r="B1143" s="5">
        <v>27.585000000000001</v>
      </c>
      <c r="C1143" s="5">
        <v>27.844999999999999</v>
      </c>
      <c r="D1143" s="5">
        <v>27.51</v>
      </c>
      <c r="E1143" s="5">
        <v>27.52</v>
      </c>
      <c r="F1143" s="6">
        <v>25023000</v>
      </c>
    </row>
    <row r="1144" spans="1:6" x14ac:dyDescent="0.2">
      <c r="A1144" s="4">
        <v>46133</v>
      </c>
      <c r="B1144" s="5">
        <v>27.52</v>
      </c>
      <c r="C1144" s="5">
        <v>27.62</v>
      </c>
      <c r="D1144" s="5">
        <v>27.2</v>
      </c>
      <c r="E1144" s="5">
        <v>27.31</v>
      </c>
      <c r="F1144" s="6">
        <v>29833010</v>
      </c>
    </row>
    <row r="1145" spans="1:6" x14ac:dyDescent="0.2">
      <c r="A1145" s="4">
        <v>46134</v>
      </c>
      <c r="B1145" s="5">
        <v>27.35</v>
      </c>
      <c r="C1145" s="5">
        <v>27.39</v>
      </c>
      <c r="D1145" s="5">
        <v>26.74</v>
      </c>
      <c r="E1145" s="5">
        <v>26.8</v>
      </c>
      <c r="F1145" s="6">
        <v>35246790</v>
      </c>
    </row>
    <row r="1146" spans="1:6" x14ac:dyDescent="0.2">
      <c r="A1146" s="4">
        <v>46135</v>
      </c>
      <c r="B1146" s="5">
        <v>26.76</v>
      </c>
      <c r="C1146" s="5">
        <v>26.83</v>
      </c>
      <c r="D1146" s="5">
        <v>26.38</v>
      </c>
      <c r="E1146" s="5">
        <v>26.67</v>
      </c>
      <c r="F1146" s="6">
        <v>38718410</v>
      </c>
    </row>
    <row r="1147" spans="1:6" x14ac:dyDescent="0.2">
      <c r="A1147" s="4">
        <v>46136</v>
      </c>
      <c r="B1147" s="5">
        <v>26.69</v>
      </c>
      <c r="C1147" s="5">
        <v>27.298999999999999</v>
      </c>
      <c r="D1147" s="5">
        <v>26.58</v>
      </c>
      <c r="E1147" s="5">
        <v>27</v>
      </c>
      <c r="F1147" s="6">
        <v>42500210</v>
      </c>
    </row>
    <row r="1148" spans="1:6" x14ac:dyDescent="0.2">
      <c r="A1148" s="4">
        <v>46139</v>
      </c>
      <c r="B1148" s="5">
        <v>27.055</v>
      </c>
      <c r="C1148" s="5">
        <v>27.344999999999999</v>
      </c>
      <c r="D1148" s="5">
        <v>26.79</v>
      </c>
      <c r="E1148" s="5">
        <v>26.79</v>
      </c>
      <c r="F1148" s="6">
        <v>34764210</v>
      </c>
    </row>
    <row r="1149" spans="1:6" x14ac:dyDescent="0.2">
      <c r="A1149" s="4">
        <v>46140</v>
      </c>
      <c r="B1149" s="5">
        <v>27.53</v>
      </c>
      <c r="C1149" s="5">
        <v>27.58</v>
      </c>
      <c r="D1149" s="5">
        <v>26.32</v>
      </c>
      <c r="E1149" s="5">
        <v>26.48</v>
      </c>
      <c r="F1149" s="6">
        <v>58079040</v>
      </c>
    </row>
    <row r="1150" spans="1:6" x14ac:dyDescent="0.2">
      <c r="A1150" s="4">
        <v>46141</v>
      </c>
      <c r="B1150" s="5">
        <v>26.36</v>
      </c>
      <c r="C1150" s="5">
        <v>26.55</v>
      </c>
      <c r="D1150" s="5">
        <v>26.2</v>
      </c>
      <c r="E1150" s="5">
        <v>26.26</v>
      </c>
      <c r="F1150" s="6">
        <v>29969700</v>
      </c>
    </row>
    <row r="1151" spans="1:6" x14ac:dyDescent="0.2">
      <c r="A1151" s="4">
        <v>46142</v>
      </c>
      <c r="B1151" s="5">
        <v>26.388999999999999</v>
      </c>
      <c r="C1151" s="5">
        <v>26.91</v>
      </c>
      <c r="D1151" s="5">
        <v>26.274999999999999</v>
      </c>
      <c r="E1151" s="5">
        <v>26.7</v>
      </c>
      <c r="F1151" s="6">
        <v>39082930</v>
      </c>
    </row>
    <row r="1152" spans="1:6" x14ac:dyDescent="0.2">
      <c r="A1152" s="4">
        <v>46143</v>
      </c>
      <c r="B1152" s="5">
        <v>26.6</v>
      </c>
      <c r="C1152" s="5">
        <v>26.61</v>
      </c>
      <c r="D1152" s="5">
        <v>26.29</v>
      </c>
      <c r="E1152" s="5">
        <v>26.33</v>
      </c>
      <c r="F1152" s="6">
        <v>29318720</v>
      </c>
    </row>
    <row r="1153" spans="1:6" x14ac:dyDescent="0.2">
      <c r="A1153" s="4">
        <v>46146</v>
      </c>
      <c r="B1153" s="5">
        <v>26.24</v>
      </c>
      <c r="C1153" s="5">
        <v>26.51</v>
      </c>
      <c r="D1153" s="5">
        <v>26.15</v>
      </c>
      <c r="E1153" s="5">
        <v>26.3</v>
      </c>
      <c r="F1153" s="6">
        <v>34583350</v>
      </c>
    </row>
    <row r="1154" spans="1:6" x14ac:dyDescent="0.2">
      <c r="A1154" s="4">
        <v>46147</v>
      </c>
      <c r="B1154" s="5">
        <v>26.59</v>
      </c>
      <c r="C1154" s="5">
        <v>26.75</v>
      </c>
      <c r="D1154" s="5">
        <v>26.01</v>
      </c>
      <c r="E1154" s="5">
        <v>26.45</v>
      </c>
      <c r="F1154" s="6">
        <v>57656110</v>
      </c>
    </row>
    <row r="1155" spans="1:6" x14ac:dyDescent="0.2">
      <c r="A1155" s="4">
        <v>46148</v>
      </c>
      <c r="B1155" s="5">
        <v>26.56</v>
      </c>
      <c r="C1155" s="5">
        <v>26.68</v>
      </c>
      <c r="D1155" s="5">
        <v>26.21</v>
      </c>
      <c r="E1155" s="5">
        <v>26.53</v>
      </c>
      <c r="F1155" s="6">
        <v>40357070</v>
      </c>
    </row>
    <row r="1156" spans="1:6" x14ac:dyDescent="0.2">
      <c r="A1156" s="4">
        <v>46149</v>
      </c>
      <c r="B1156" s="5">
        <v>26.51</v>
      </c>
      <c r="C1156" s="5">
        <v>26.72</v>
      </c>
      <c r="D1156" s="5">
        <v>26.16</v>
      </c>
      <c r="E1156" s="5">
        <v>26.48</v>
      </c>
      <c r="F1156" s="6">
        <v>48345970</v>
      </c>
    </row>
    <row r="1157" spans="1:6" x14ac:dyDescent="0.2">
      <c r="A1157" s="4">
        <v>46150</v>
      </c>
      <c r="B1157" s="5">
        <v>26.16</v>
      </c>
      <c r="C1157" s="5">
        <v>26.195</v>
      </c>
      <c r="D1157" s="5">
        <v>25.6</v>
      </c>
      <c r="E1157" s="5">
        <v>25.68</v>
      </c>
      <c r="F1157" s="6">
        <v>38903360</v>
      </c>
    </row>
    <row r="1158" spans="1:6" x14ac:dyDescent="0.2">
      <c r="A1158" s="4">
        <v>46153</v>
      </c>
      <c r="B1158" s="5">
        <v>25.79</v>
      </c>
      <c r="C1158" s="5">
        <v>26.18</v>
      </c>
      <c r="D1158" s="5">
        <v>25.68</v>
      </c>
      <c r="E1158" s="5">
        <v>25.81</v>
      </c>
      <c r="F1158" s="6">
        <v>43557960</v>
      </c>
    </row>
    <row r="1159" spans="1:6" x14ac:dyDescent="0.2">
      <c r="A1159" s="4">
        <v>46154</v>
      </c>
      <c r="B1159" s="5">
        <v>25.82</v>
      </c>
      <c r="C1159" s="5">
        <v>26.09</v>
      </c>
      <c r="D1159" s="5">
        <v>25.74</v>
      </c>
      <c r="E1159" s="5">
        <v>25.87</v>
      </c>
      <c r="F1159" s="6">
        <v>26819530</v>
      </c>
    </row>
    <row r="1160" spans="1:6" x14ac:dyDescent="0.2">
      <c r="A1160" s="4">
        <v>46155</v>
      </c>
      <c r="B1160" s="5">
        <v>25.8</v>
      </c>
      <c r="C1160" s="5">
        <v>26.09</v>
      </c>
      <c r="D1160" s="5">
        <v>25.64</v>
      </c>
      <c r="E1160" s="5">
        <v>25.96</v>
      </c>
      <c r="F1160" s="6">
        <v>39419960</v>
      </c>
    </row>
    <row r="1161" spans="1:6" x14ac:dyDescent="0.2">
      <c r="A1161" s="4">
        <v>46156</v>
      </c>
      <c r="B1161" s="5">
        <v>26.07</v>
      </c>
      <c r="C1161" s="5">
        <v>26.1</v>
      </c>
      <c r="D1161" s="5">
        <v>25.72</v>
      </c>
      <c r="E1161" s="5">
        <v>25.75</v>
      </c>
      <c r="F1161" s="6">
        <v>24102660</v>
      </c>
    </row>
    <row r="1162" spans="1:6" x14ac:dyDescent="0.2">
      <c r="A1162" s="4">
        <v>46157</v>
      </c>
      <c r="B1162" s="5">
        <v>25.75</v>
      </c>
      <c r="C1162" s="5">
        <v>25.83</v>
      </c>
      <c r="D1162" s="5">
        <v>25.24</v>
      </c>
      <c r="E1162" s="5">
        <v>25.33</v>
      </c>
      <c r="F1162" s="6">
        <v>37110080</v>
      </c>
    </row>
    <row r="1163" spans="1:6" x14ac:dyDescent="0.2">
      <c r="A1163" s="4">
        <v>46160</v>
      </c>
      <c r="B1163" s="5">
        <v>25.32</v>
      </c>
      <c r="C1163" s="5">
        <v>25.388500000000001</v>
      </c>
      <c r="D1163" s="5">
        <v>25.19</v>
      </c>
      <c r="E1163" s="5">
        <v>25.33</v>
      </c>
      <c r="F1163" s="6">
        <v>34111290</v>
      </c>
    </row>
    <row r="1164" spans="1:6" x14ac:dyDescent="0.2">
      <c r="A1164" s="4">
        <v>46161</v>
      </c>
      <c r="B1164" s="5">
        <v>25.3</v>
      </c>
      <c r="C1164" s="5">
        <v>25.96</v>
      </c>
      <c r="D1164" s="5">
        <v>25.24</v>
      </c>
      <c r="E1164" s="5">
        <v>25.66</v>
      </c>
      <c r="F1164" s="6">
        <v>41036720</v>
      </c>
    </row>
    <row r="1165" spans="1:6" x14ac:dyDescent="0.2">
      <c r="A1165" s="4">
        <v>46162</v>
      </c>
      <c r="B1165" s="5">
        <v>25.76</v>
      </c>
      <c r="C1165" s="5">
        <v>26.024999999999999</v>
      </c>
      <c r="D1165" s="5">
        <v>25.67</v>
      </c>
      <c r="E1165" s="5">
        <v>25.79</v>
      </c>
      <c r="F1165" s="6">
        <v>35574180</v>
      </c>
    </row>
    <row r="1166" spans="1:6" x14ac:dyDescent="0.2">
      <c r="A1166" s="4">
        <v>46163</v>
      </c>
      <c r="B1166" s="5">
        <v>25.765000000000001</v>
      </c>
      <c r="C1166" s="5">
        <v>25.96</v>
      </c>
      <c r="D1166" s="5">
        <v>25.57</v>
      </c>
      <c r="E1166" s="5">
        <v>25.95</v>
      </c>
      <c r="F1166" s="6">
        <v>20181540</v>
      </c>
    </row>
    <row r="1167" spans="1:6" x14ac:dyDescent="0.2">
      <c r="A1167" s="4">
        <v>46164</v>
      </c>
      <c r="B1167" s="5">
        <v>26</v>
      </c>
      <c r="C1167" s="5">
        <v>26.15</v>
      </c>
      <c r="D1167" s="5">
        <v>25.76</v>
      </c>
      <c r="E1167" s="5">
        <v>25.9</v>
      </c>
      <c r="F1167" s="6">
        <v>22320030</v>
      </c>
    </row>
    <row r="1168" spans="1:6" x14ac:dyDescent="0.2">
      <c r="A1168" s="4">
        <v>46168</v>
      </c>
      <c r="B1168" s="5">
        <v>25.87</v>
      </c>
      <c r="C1168" s="5">
        <v>25.9</v>
      </c>
      <c r="D1168" s="5">
        <v>25.66</v>
      </c>
      <c r="E1168" s="5">
        <v>25.85</v>
      </c>
      <c r="F1168" s="6">
        <v>29084740</v>
      </c>
    </row>
    <row r="1169" spans="1:6" x14ac:dyDescent="0.2">
      <c r="A1169" s="4">
        <v>46169</v>
      </c>
      <c r="B1169" s="5">
        <v>25.85</v>
      </c>
      <c r="C1169" s="5">
        <v>26.535</v>
      </c>
      <c r="D1169" s="5">
        <v>25.85</v>
      </c>
      <c r="E1169" s="5">
        <v>26.21</v>
      </c>
      <c r="F1169" s="6">
        <v>39024690</v>
      </c>
    </row>
    <row r="1170" spans="1:6" x14ac:dyDescent="0.2">
      <c r="A1170" s="4">
        <v>46170</v>
      </c>
      <c r="B1170" s="5">
        <v>26.164999999999999</v>
      </c>
      <c r="C1170" s="5">
        <v>26.28</v>
      </c>
      <c r="D1170" s="5">
        <v>26.01</v>
      </c>
      <c r="E1170" s="5">
        <v>26.14</v>
      </c>
      <c r="F1170" s="6">
        <v>25651800</v>
      </c>
    </row>
    <row r="1171" spans="1:6" x14ac:dyDescent="0.2">
      <c r="A1171" s="4">
        <v>46171</v>
      </c>
      <c r="B1171" s="5">
        <v>26.19</v>
      </c>
      <c r="C1171" s="5">
        <v>26.24</v>
      </c>
      <c r="D1171" s="5">
        <v>25.93</v>
      </c>
      <c r="E1171" s="5">
        <v>26.18</v>
      </c>
      <c r="F1171" s="6">
        <v>48284180</v>
      </c>
    </row>
    <row r="1172" spans="1:6" x14ac:dyDescent="0.2">
      <c r="A1172" s="4">
        <v>46174</v>
      </c>
      <c r="B1172" s="5">
        <v>25.9</v>
      </c>
      <c r="C1172" s="5">
        <v>25.91</v>
      </c>
      <c r="D1172" s="5">
        <v>25.48</v>
      </c>
      <c r="E1172" s="5">
        <v>25.63</v>
      </c>
      <c r="F1172" s="6">
        <v>35553600</v>
      </c>
    </row>
    <row r="1173" spans="1:6" x14ac:dyDescent="0.2">
      <c r="A1173" s="4">
        <v>46175</v>
      </c>
      <c r="B1173" s="5">
        <v>25.6</v>
      </c>
      <c r="C1173" s="5">
        <v>25.7</v>
      </c>
      <c r="D1173" s="5">
        <v>25.27</v>
      </c>
      <c r="E1173" s="5">
        <v>25.55</v>
      </c>
      <c r="F1173" s="6">
        <v>31295720</v>
      </c>
    </row>
    <row r="1174" spans="1:6" x14ac:dyDescent="0.2">
      <c r="A1174" s="4">
        <v>46176</v>
      </c>
      <c r="B1174" s="5">
        <v>25.425000000000001</v>
      </c>
      <c r="C1174" s="5">
        <v>25.62</v>
      </c>
      <c r="D1174" s="5">
        <v>25.29</v>
      </c>
      <c r="E1174" s="5">
        <v>25.34</v>
      </c>
      <c r="F1174" s="6">
        <v>30957070</v>
      </c>
    </row>
    <row r="1175" spans="1:6" x14ac:dyDescent="0.2">
      <c r="A1175" s="4">
        <v>46177</v>
      </c>
      <c r="B1175" s="5">
        <v>25.67</v>
      </c>
      <c r="C1175" s="5">
        <v>26.01</v>
      </c>
      <c r="D1175" s="5">
        <v>25.61</v>
      </c>
      <c r="E1175" s="5">
        <v>25.69</v>
      </c>
      <c r="F1175" s="6">
        <v>31272000</v>
      </c>
    </row>
    <row r="1176" spans="1:6" x14ac:dyDescent="0.2">
      <c r="A1176" s="4">
        <v>46178</v>
      </c>
      <c r="B1176" s="5">
        <v>25.85</v>
      </c>
      <c r="C1176" s="5">
        <v>26.21</v>
      </c>
      <c r="D1176" s="5">
        <v>25.79</v>
      </c>
      <c r="E1176" s="5">
        <v>26.04</v>
      </c>
      <c r="F1176" s="6">
        <v>32218530</v>
      </c>
    </row>
    <row r="1177" spans="1:6" x14ac:dyDescent="0.2">
      <c r="A1177" s="4">
        <v>46181</v>
      </c>
      <c r="B1177" s="5">
        <v>25.97</v>
      </c>
      <c r="C1177" s="5">
        <v>26.215</v>
      </c>
      <c r="D1177" s="5">
        <v>25.6</v>
      </c>
      <c r="E1177" s="5">
        <v>25.62</v>
      </c>
      <c r="F1177" s="6">
        <v>42028800</v>
      </c>
    </row>
    <row r="1178" spans="1:6" x14ac:dyDescent="0.2">
      <c r="A1178" s="4">
        <v>46182</v>
      </c>
      <c r="B1178" s="5">
        <v>25.725000000000001</v>
      </c>
      <c r="C1178" s="5">
        <v>25.88</v>
      </c>
      <c r="D1178" s="5">
        <v>25.470099999999999</v>
      </c>
      <c r="E1178" s="5">
        <v>25.7</v>
      </c>
      <c r="F1178" s="6">
        <v>35273220</v>
      </c>
    </row>
    <row r="1179" spans="1:6" x14ac:dyDescent="0.2">
      <c r="A1179" s="4">
        <v>46183</v>
      </c>
      <c r="B1179" s="5">
        <v>25.795000000000002</v>
      </c>
      <c r="C1179" s="5">
        <v>25.850100000000001</v>
      </c>
      <c r="D1179" s="5">
        <v>25.58</v>
      </c>
      <c r="E1179" s="5">
        <v>25.6</v>
      </c>
      <c r="F1179" s="6">
        <v>30376260</v>
      </c>
    </row>
    <row r="1180" spans="1:6" x14ac:dyDescent="0.2">
      <c r="A1180" s="4">
        <v>46184</v>
      </c>
      <c r="B1180" s="5">
        <v>25.79</v>
      </c>
      <c r="C1180" s="5">
        <v>26.48</v>
      </c>
      <c r="D1180" s="5">
        <v>25.79</v>
      </c>
      <c r="E1180" s="5">
        <v>26.17</v>
      </c>
      <c r="F1180" s="6">
        <v>45268710</v>
      </c>
    </row>
    <row r="1181" spans="1:6" x14ac:dyDescent="0.2">
      <c r="A1181" s="4">
        <v>46185</v>
      </c>
      <c r="B1181" s="5">
        <v>26.29</v>
      </c>
      <c r="C1181" s="5">
        <v>26.49</v>
      </c>
      <c r="D1181" s="5">
        <v>26.11</v>
      </c>
      <c r="E1181" s="5">
        <v>26.21</v>
      </c>
      <c r="F1181" s="6">
        <v>38772990</v>
      </c>
    </row>
    <row r="1182" spans="1:6" x14ac:dyDescent="0.2">
      <c r="A1182" s="4">
        <v>46188</v>
      </c>
      <c r="B1182" s="5">
        <v>26.25</v>
      </c>
      <c r="C1182" s="5">
        <v>26.42</v>
      </c>
      <c r="D1182" s="5">
        <v>25.975000000000001</v>
      </c>
      <c r="E1182" s="5">
        <v>26</v>
      </c>
      <c r="F1182" s="6">
        <v>34194150</v>
      </c>
    </row>
    <row r="1183" spans="1:6" x14ac:dyDescent="0.2">
      <c r="A1183" s="4">
        <v>46189</v>
      </c>
      <c r="B1183" s="5">
        <v>26.05</v>
      </c>
      <c r="C1183" s="5">
        <v>26.13</v>
      </c>
      <c r="D1183" s="5">
        <v>25.7</v>
      </c>
      <c r="E1183" s="5">
        <v>26.04</v>
      </c>
      <c r="F1183" s="6">
        <v>32829570</v>
      </c>
    </row>
    <row r="1184" spans="1:6" x14ac:dyDescent="0.2">
      <c r="A1184" s="4">
        <v>46190</v>
      </c>
      <c r="B1184" s="5">
        <v>26.024999999999999</v>
      </c>
      <c r="C1184" s="5">
        <v>26.28</v>
      </c>
      <c r="D1184" s="5">
        <v>25.864999999999998</v>
      </c>
      <c r="E1184" s="5">
        <v>25.92</v>
      </c>
      <c r="F1184" s="6">
        <v>31117480</v>
      </c>
    </row>
    <row r="1185" spans="1:6" x14ac:dyDescent="0.2">
      <c r="A1185" s="4">
        <v>46191</v>
      </c>
      <c r="B1185" s="5">
        <v>25.581</v>
      </c>
      <c r="C1185" s="5">
        <v>25.66</v>
      </c>
      <c r="D1185" s="5">
        <v>24.94</v>
      </c>
      <c r="E1185" s="5">
        <v>25.21</v>
      </c>
      <c r="F1185" s="6">
        <v>119614300</v>
      </c>
    </row>
    <row r="1186" spans="1:6" x14ac:dyDescent="0.2">
      <c r="A1186" s="4">
        <v>46195</v>
      </c>
      <c r="B1186" s="5">
        <v>25.22</v>
      </c>
      <c r="C1186" s="5">
        <v>25.305</v>
      </c>
      <c r="D1186" s="5">
        <v>24.96</v>
      </c>
      <c r="E1186" s="5">
        <v>25.08</v>
      </c>
      <c r="F1186" s="6">
        <v>41119110</v>
      </c>
    </row>
    <row r="1187" spans="1:6" x14ac:dyDescent="0.2">
      <c r="A1187" s="4">
        <v>46196</v>
      </c>
      <c r="B1187" s="5">
        <v>24.99</v>
      </c>
      <c r="C1187" s="5">
        <v>25.234999999999999</v>
      </c>
      <c r="D1187" s="5">
        <v>24.69</v>
      </c>
      <c r="E1187" s="5">
        <v>24.72</v>
      </c>
      <c r="F1187" s="6">
        <v>82009210</v>
      </c>
    </row>
    <row r="1188" spans="1:6" x14ac:dyDescent="0.2">
      <c r="A1188" s="4">
        <v>46197</v>
      </c>
      <c r="B1188" s="5">
        <v>24.795000000000002</v>
      </c>
      <c r="C1188" s="5">
        <v>25.11</v>
      </c>
      <c r="D1188" s="5">
        <v>23.925000000000001</v>
      </c>
      <c r="E1188" s="5">
        <v>24.04</v>
      </c>
      <c r="F1188" s="6">
        <v>76962610</v>
      </c>
    </row>
    <row r="1189" spans="1:6" x14ac:dyDescent="0.2">
      <c r="A1189" s="4">
        <v>46198</v>
      </c>
      <c r="B1189" s="5">
        <v>24.19</v>
      </c>
      <c r="C1189" s="5">
        <v>24.34</v>
      </c>
      <c r="D1189" s="5">
        <v>23.62</v>
      </c>
      <c r="E1189" s="5">
        <v>23.67</v>
      </c>
      <c r="F1189" s="6">
        <v>57957600</v>
      </c>
    </row>
    <row r="1190" spans="1:6" x14ac:dyDescent="0.2">
      <c r="A1190" s="4">
        <v>46199</v>
      </c>
      <c r="B1190" s="5">
        <v>23.74</v>
      </c>
      <c r="C1190" s="5">
        <v>24.35</v>
      </c>
      <c r="D1190" s="5">
        <v>23.74</v>
      </c>
      <c r="E1190" s="5">
        <v>24.29</v>
      </c>
      <c r="F1190" s="6">
        <v>59958940</v>
      </c>
    </row>
    <row r="1191" spans="1:6" x14ac:dyDescent="0.2">
      <c r="A1191" s="4">
        <v>46202</v>
      </c>
      <c r="B1191" s="5">
        <v>24.29</v>
      </c>
      <c r="C1191" s="5">
        <v>24.5</v>
      </c>
      <c r="D1191" s="5">
        <v>24.1</v>
      </c>
      <c r="E1191" s="5">
        <v>24.37</v>
      </c>
      <c r="F1191" s="6">
        <v>47527950</v>
      </c>
    </row>
    <row r="1192" spans="1:6" x14ac:dyDescent="0.2">
      <c r="A1192" s="4">
        <v>46203</v>
      </c>
      <c r="B1192" s="5">
        <v>24.43</v>
      </c>
      <c r="C1192" s="5">
        <v>24.46</v>
      </c>
      <c r="D1192" s="5">
        <v>23.78</v>
      </c>
      <c r="E1192" s="5">
        <v>24.08</v>
      </c>
      <c r="F1192" s="6">
        <v>60046010</v>
      </c>
    </row>
    <row r="1193" spans="1:6" x14ac:dyDescent="0.2">
      <c r="A1193" s="4">
        <v>46204</v>
      </c>
      <c r="B1193" s="5">
        <v>24.15</v>
      </c>
      <c r="C1193" s="5">
        <v>24.24</v>
      </c>
      <c r="D1193" s="5">
        <v>23.74</v>
      </c>
      <c r="E1193" s="5">
        <v>23.88</v>
      </c>
      <c r="F1193" s="6">
        <v>49385240</v>
      </c>
    </row>
    <row r="1194" spans="1:6" x14ac:dyDescent="0.2">
      <c r="A1194" s="4">
        <v>46205</v>
      </c>
      <c r="B1194" s="5">
        <v>24.15</v>
      </c>
      <c r="C1194" s="5">
        <v>24.57</v>
      </c>
      <c r="D1194" s="5">
        <v>24.13</v>
      </c>
      <c r="E1194" s="5">
        <v>24.32</v>
      </c>
      <c r="F1194" s="6">
        <v>53138980</v>
      </c>
    </row>
    <row r="1195" spans="1:6" x14ac:dyDescent="0.2">
      <c r="A1195" s="4">
        <v>46209</v>
      </c>
      <c r="B1195" s="5">
        <v>24.155000000000001</v>
      </c>
      <c r="C1195" s="5">
        <v>24.2</v>
      </c>
      <c r="D1195" s="5">
        <v>23.62</v>
      </c>
      <c r="E1195" s="5">
        <v>23.72</v>
      </c>
      <c r="F1195" s="6">
        <v>58576090</v>
      </c>
    </row>
    <row r="1196" spans="1:6" x14ac:dyDescent="0.2">
      <c r="A1196" s="4">
        <v>46210</v>
      </c>
      <c r="B1196" s="5">
        <v>24.05</v>
      </c>
      <c r="C1196" s="5">
        <v>24.35</v>
      </c>
      <c r="D1196" s="5">
        <v>23.93</v>
      </c>
      <c r="E1196" s="5">
        <v>24.07</v>
      </c>
      <c r="F1196" s="6">
        <v>44101390</v>
      </c>
    </row>
    <row r="1197" spans="1:6" x14ac:dyDescent="0.2">
      <c r="A1197" s="4">
        <v>46211</v>
      </c>
      <c r="B1197" s="5">
        <v>24.05</v>
      </c>
      <c r="C1197" s="5">
        <v>24.37</v>
      </c>
      <c r="D1197" s="5">
        <v>23.89</v>
      </c>
      <c r="E1197" s="5">
        <v>24.05</v>
      </c>
      <c r="F1197" s="6">
        <v>38181250</v>
      </c>
    </row>
    <row r="1198" spans="1:6" x14ac:dyDescent="0.2">
      <c r="A1198" s="4">
        <v>46212</v>
      </c>
      <c r="B1198" s="5">
        <v>24.105</v>
      </c>
      <c r="C1198" s="5">
        <v>24.3</v>
      </c>
      <c r="D1198" s="5">
        <v>24.01</v>
      </c>
      <c r="E1198" s="5">
        <v>24.25</v>
      </c>
      <c r="F1198" s="6">
        <v>29190480</v>
      </c>
    </row>
    <row r="1199" spans="1:6" x14ac:dyDescent="0.2">
      <c r="A1199" s="4">
        <v>46213</v>
      </c>
      <c r="B1199" s="5">
        <v>24.344999999999999</v>
      </c>
      <c r="C1199" s="5">
        <v>24.41</v>
      </c>
      <c r="D1199" s="5">
        <v>24.094999999999999</v>
      </c>
      <c r="E1199" s="5">
        <v>24.17</v>
      </c>
      <c r="F1199" s="6">
        <v>27523180</v>
      </c>
    </row>
    <row r="1200" spans="1:6" x14ac:dyDescent="0.2">
      <c r="A1200" s="4">
        <v>46216</v>
      </c>
      <c r="B1200" s="5">
        <v>24.28</v>
      </c>
      <c r="C1200" s="5">
        <v>24.72</v>
      </c>
      <c r="D1200" s="5">
        <v>24.23</v>
      </c>
      <c r="E1200" s="5">
        <v>24.48</v>
      </c>
      <c r="F1200" s="6">
        <v>42953400</v>
      </c>
    </row>
    <row r="1201" spans="1:6" x14ac:dyDescent="0.2">
      <c r="A1201" s="4">
        <v>46217</v>
      </c>
      <c r="B1201" s="5">
        <v>24.37</v>
      </c>
      <c r="C1201" s="5">
        <v>24.43</v>
      </c>
      <c r="D1201" s="5">
        <v>24.135000000000002</v>
      </c>
      <c r="E1201" s="5">
        <v>24.25</v>
      </c>
      <c r="F1201" s="6">
        <v>40863320</v>
      </c>
    </row>
    <row r="1202" spans="1:6" x14ac:dyDescent="0.2">
      <c r="A1202" s="4">
        <v>46218</v>
      </c>
      <c r="B1202" s="5">
        <v>24.34</v>
      </c>
      <c r="C1202" s="5">
        <v>24.82</v>
      </c>
      <c r="D1202" s="5">
        <v>24.31</v>
      </c>
      <c r="E1202" s="5">
        <v>24.82</v>
      </c>
      <c r="F1202" s="6">
        <v>44162480</v>
      </c>
    </row>
    <row r="1203" spans="1:6" x14ac:dyDescent="0.2">
      <c r="A1203" s="4">
        <v>46219</v>
      </c>
      <c r="B1203" s="5">
        <v>24.94</v>
      </c>
      <c r="C1203" s="5">
        <v>25.364999999999998</v>
      </c>
      <c r="D1203" s="5">
        <v>24.855</v>
      </c>
      <c r="E1203" s="5">
        <v>25.14</v>
      </c>
      <c r="F1203" s="6">
        <v>49989990</v>
      </c>
    </row>
    <row r="1204" spans="1:6" x14ac:dyDescent="0.2">
      <c r="A1204" s="4">
        <v>46220</v>
      </c>
      <c r="B1204" s="5">
        <v>25.4</v>
      </c>
      <c r="C1204" s="5">
        <v>25.65</v>
      </c>
      <c r="D1204" s="5">
        <v>24.97</v>
      </c>
      <c r="E1204" s="5">
        <v>25.05</v>
      </c>
      <c r="F1204" s="6">
        <v>45629590</v>
      </c>
    </row>
    <row r="1205" spans="1:6" x14ac:dyDescent="0.2">
      <c r="A1205" s="4">
        <v>46223</v>
      </c>
      <c r="B1205" s="5">
        <v>25.09</v>
      </c>
      <c r="C1205" s="5">
        <v>25.155000000000001</v>
      </c>
      <c r="D1205" s="5">
        <v>24.72</v>
      </c>
      <c r="E1205" s="5">
        <v>24.75</v>
      </c>
      <c r="F1205" s="6">
        <v>38685890</v>
      </c>
    </row>
    <row r="1206" spans="1:6" x14ac:dyDescent="0.2">
      <c r="A1206" s="4">
        <v>46224</v>
      </c>
      <c r="B1206" s="5">
        <v>24.76</v>
      </c>
      <c r="C1206" s="5">
        <v>25.004999999999999</v>
      </c>
      <c r="D1206" s="5">
        <v>24.645</v>
      </c>
      <c r="E1206" s="5">
        <v>24.94</v>
      </c>
      <c r="F1206" s="6">
        <v>27328850</v>
      </c>
    </row>
    <row r="1207" spans="1:6" x14ac:dyDescent="0.2">
      <c r="A1207" s="4">
        <v>46225</v>
      </c>
      <c r="B1207" s="5">
        <v>25.18</v>
      </c>
      <c r="C1207" s="5">
        <v>25.19</v>
      </c>
      <c r="D1207" s="5">
        <v>24.78</v>
      </c>
      <c r="E1207" s="5">
        <v>24.82</v>
      </c>
      <c r="F1207" s="6">
        <v>32988260</v>
      </c>
    </row>
    <row r="1208" spans="1:6" x14ac:dyDescent="0.2">
      <c r="A1208" s="4">
        <v>46226</v>
      </c>
      <c r="B1208" s="5">
        <v>24.89</v>
      </c>
      <c r="C1208" s="5">
        <v>25.1</v>
      </c>
      <c r="D1208" s="5">
        <v>24.75</v>
      </c>
      <c r="E1208" s="5">
        <v>25.01</v>
      </c>
      <c r="F1208" s="6">
        <v>30876680</v>
      </c>
    </row>
    <row r="1209" spans="1:6" x14ac:dyDescent="0.2">
      <c r="A1209" s="4">
        <v>46227</v>
      </c>
      <c r="B1209" s="5">
        <v>24.62</v>
      </c>
      <c r="C1209" s="5">
        <v>24.75</v>
      </c>
      <c r="D1209" s="5">
        <v>24.51</v>
      </c>
      <c r="E1209" s="5">
        <v>24.54</v>
      </c>
      <c r="F1209" s="6">
        <v>28905660</v>
      </c>
    </row>
    <row r="1210" spans="1:6" x14ac:dyDescent="0.2">
      <c r="A1210" s="4">
        <v>46230</v>
      </c>
      <c r="B1210" s="5">
        <v>24.57</v>
      </c>
      <c r="C1210" s="5">
        <v>24.875</v>
      </c>
      <c r="D1210" s="5">
        <v>24.441700000000001</v>
      </c>
      <c r="E1210" s="5">
        <v>24.67</v>
      </c>
      <c r="F1210" s="6">
        <v>38355180</v>
      </c>
    </row>
    <row r="1211" spans="1:6" x14ac:dyDescent="0.2">
      <c r="A1211" s="4">
        <v>46231</v>
      </c>
      <c r="B1211" s="5">
        <v>24.97</v>
      </c>
      <c r="C1211" s="5">
        <v>25.5</v>
      </c>
      <c r="D1211" s="5">
        <v>24.94</v>
      </c>
      <c r="E1211" s="5">
        <v>25.25</v>
      </c>
      <c r="F1211" s="6">
        <v>49942740</v>
      </c>
    </row>
    <row r="1212" spans="1:6" x14ac:dyDescent="0.2">
      <c r="A1212" s="4">
        <v>46232</v>
      </c>
      <c r="B1212" s="5">
        <v>25.35</v>
      </c>
      <c r="C1212" s="5">
        <v>25.37</v>
      </c>
      <c r="D1212" s="5">
        <v>25.061</v>
      </c>
      <c r="E1212" s="5">
        <v>25.15</v>
      </c>
      <c r="F1212" s="6">
        <v>30394970</v>
      </c>
    </row>
    <row r="1213" spans="1:6" x14ac:dyDescent="0.2">
      <c r="A1213" s="4">
        <v>46233</v>
      </c>
      <c r="B1213" s="5">
        <v>24.835000000000001</v>
      </c>
      <c r="C1213" s="5">
        <v>24.975000000000001</v>
      </c>
      <c r="D1213" s="5">
        <v>24.55</v>
      </c>
      <c r="E1213" s="5">
        <v>24.91</v>
      </c>
      <c r="F1213" s="6">
        <v>44954470</v>
      </c>
    </row>
    <row r="1214" spans="1:6" x14ac:dyDescent="0.2">
      <c r="A1214" s="4">
        <v>46234</v>
      </c>
      <c r="B1214" s="5">
        <v>24.82</v>
      </c>
      <c r="C1214" s="5">
        <v>25.18</v>
      </c>
      <c r="D1214" s="5">
        <v>24.67</v>
      </c>
      <c r="E1214" s="5">
        <v>25.01</v>
      </c>
      <c r="F1214" s="6">
        <v>45080170</v>
      </c>
    </row>
    <row r="1215" spans="1:6" x14ac:dyDescent="0.2">
      <c r="A1215" s="4">
        <v>46237</v>
      </c>
      <c r="B1215" s="5">
        <v>25.15</v>
      </c>
      <c r="C1215" s="5">
        <v>25.39</v>
      </c>
      <c r="D1215" s="5">
        <v>24.864999999999998</v>
      </c>
      <c r="E1215" s="5">
        <v>25.03</v>
      </c>
      <c r="F1215" s="6">
        <v>40645810</v>
      </c>
    </row>
    <row r="1216" spans="1:6" x14ac:dyDescent="0.2">
      <c r="A1216" s="4">
        <v>46238</v>
      </c>
      <c r="B1216" s="5">
        <v>25.04</v>
      </c>
      <c r="C1216" s="5">
        <v>25.64</v>
      </c>
      <c r="D1216" s="5">
        <v>24.7</v>
      </c>
      <c r="E1216" s="5">
        <v>25.41</v>
      </c>
      <c r="F1216" s="6">
        <v>62189550</v>
      </c>
    </row>
    <row r="1217" spans="1:6" x14ac:dyDescent="0.2">
      <c r="A1217" s="4">
        <v>46239</v>
      </c>
      <c r="B1217" s="5">
        <v>25.5</v>
      </c>
      <c r="C1217" s="5">
        <v>25.81</v>
      </c>
      <c r="D1217" s="5">
        <v>25.3</v>
      </c>
      <c r="E1217" s="5">
        <v>25.81</v>
      </c>
      <c r="F1217" s="6">
        <v>47058340</v>
      </c>
    </row>
    <row r="1218" spans="1:6" x14ac:dyDescent="0.2">
      <c r="A1218" s="4">
        <v>46240</v>
      </c>
      <c r="B1218" s="5">
        <v>26.01</v>
      </c>
      <c r="C1218" s="5">
        <v>26.2</v>
      </c>
      <c r="D1218" s="5">
        <v>25.81</v>
      </c>
      <c r="E1218" s="5">
        <v>26.2</v>
      </c>
      <c r="F1218" s="6">
        <v>51074470</v>
      </c>
    </row>
    <row r="1219" spans="1:6" x14ac:dyDescent="0.2">
      <c r="A1219" s="4">
        <v>46241</v>
      </c>
      <c r="B1219" s="5">
        <v>26.22</v>
      </c>
      <c r="C1219" s="5">
        <v>26.76</v>
      </c>
      <c r="D1219" s="5">
        <v>26.0503</v>
      </c>
      <c r="E1219" s="5">
        <v>26.76</v>
      </c>
      <c r="F1219" s="6">
        <v>42744070</v>
      </c>
    </row>
    <row r="1220" spans="1:6" x14ac:dyDescent="0.2">
      <c r="A1220" s="4">
        <v>46244</v>
      </c>
      <c r="B1220" s="5">
        <v>26.585000000000001</v>
      </c>
      <c r="C1220" s="5">
        <v>27.19</v>
      </c>
      <c r="D1220" s="5">
        <v>26.52</v>
      </c>
      <c r="E1220" s="5">
        <v>27.05</v>
      </c>
      <c r="F1220" s="6">
        <v>49786760</v>
      </c>
    </row>
    <row r="1221" spans="1:6" x14ac:dyDescent="0.2">
      <c r="A1221" s="4">
        <v>46245</v>
      </c>
      <c r="B1221" s="5">
        <v>26.94</v>
      </c>
      <c r="C1221" s="5">
        <v>27.2</v>
      </c>
      <c r="D1221" s="5">
        <v>26.47</v>
      </c>
      <c r="E1221" s="5">
        <v>26.62</v>
      </c>
      <c r="F1221" s="6">
        <v>37943590</v>
      </c>
    </row>
    <row r="1222" spans="1:6" x14ac:dyDescent="0.2">
      <c r="A1222" s="4">
        <v>46246</v>
      </c>
      <c r="B1222" s="5">
        <v>26.385000000000002</v>
      </c>
      <c r="C1222" s="5">
        <v>26.434999999999999</v>
      </c>
      <c r="D1222" s="5">
        <v>26.18</v>
      </c>
      <c r="E1222" s="5">
        <v>26.31</v>
      </c>
      <c r="F1222" s="6">
        <v>32591430</v>
      </c>
    </row>
    <row r="1223" spans="1:6" x14ac:dyDescent="0.2">
      <c r="A1223" s="4">
        <v>46247</v>
      </c>
      <c r="B1223" s="5">
        <v>26.49</v>
      </c>
      <c r="C1223" s="5">
        <v>26.95</v>
      </c>
      <c r="D1223" s="5">
        <v>26.41</v>
      </c>
      <c r="E1223" s="5">
        <v>26.8</v>
      </c>
      <c r="F1223" s="6">
        <v>35355830</v>
      </c>
    </row>
    <row r="1224" spans="1:6" x14ac:dyDescent="0.2">
      <c r="A1224" s="4">
        <v>46248</v>
      </c>
      <c r="B1224" s="5">
        <v>26.66</v>
      </c>
      <c r="C1224" s="5">
        <v>26.914999999999999</v>
      </c>
      <c r="D1224" s="5">
        <v>26.42</v>
      </c>
      <c r="E1224" s="5">
        <v>26.79</v>
      </c>
      <c r="F1224" s="6">
        <v>23174150</v>
      </c>
    </row>
    <row r="1225" spans="1:6" x14ac:dyDescent="0.2">
      <c r="A1225" s="4">
        <v>46251</v>
      </c>
      <c r="B1225" s="5">
        <v>26.76</v>
      </c>
      <c r="C1225" s="5">
        <v>27.02</v>
      </c>
      <c r="D1225" s="5">
        <v>26.55</v>
      </c>
      <c r="E1225" s="5">
        <v>26.87</v>
      </c>
      <c r="F1225" s="6">
        <v>29261200</v>
      </c>
    </row>
    <row r="1226" spans="1:6" x14ac:dyDescent="0.2">
      <c r="A1226" s="4">
        <v>46252</v>
      </c>
      <c r="B1226" s="5">
        <v>27.15</v>
      </c>
      <c r="C1226" s="5">
        <v>27.395</v>
      </c>
      <c r="D1226" s="5">
        <v>27.1</v>
      </c>
      <c r="E1226" s="5">
        <v>27.25</v>
      </c>
      <c r="F1226" s="6">
        <v>34660090</v>
      </c>
    </row>
    <row r="1227" spans="1:6" x14ac:dyDescent="0.2">
      <c r="A1227" s="4">
        <v>46253</v>
      </c>
      <c r="B1227" s="5">
        <v>27.6</v>
      </c>
      <c r="C1227" s="5">
        <v>28.434999999999999</v>
      </c>
      <c r="D1227" s="5">
        <v>27.58</v>
      </c>
      <c r="E1227" s="5">
        <v>28.24</v>
      </c>
      <c r="F1227" s="6">
        <v>59804170</v>
      </c>
    </row>
    <row r="1228" spans="1:6" x14ac:dyDescent="0.2">
      <c r="A1228" s="4">
        <v>46254</v>
      </c>
      <c r="B1228" s="5">
        <v>28</v>
      </c>
      <c r="C1228" s="5">
        <v>28.16</v>
      </c>
      <c r="D1228" s="5">
        <v>27.645</v>
      </c>
      <c r="E1228" s="5">
        <v>27.79</v>
      </c>
      <c r="F1228" s="6">
        <v>29297030</v>
      </c>
    </row>
    <row r="1229" spans="1:6" x14ac:dyDescent="0.2">
      <c r="A1229" s="4">
        <v>46255</v>
      </c>
      <c r="B1229" s="5">
        <v>27.77</v>
      </c>
      <c r="C1229" s="5">
        <v>28.425000000000001</v>
      </c>
      <c r="D1229" s="5">
        <v>27.655000000000001</v>
      </c>
      <c r="E1229" s="5">
        <v>28.07</v>
      </c>
      <c r="F1229" s="6">
        <v>37109570</v>
      </c>
    </row>
    <row r="1230" spans="1:6" x14ac:dyDescent="0.2">
      <c r="A1230" s="4">
        <v>46258</v>
      </c>
      <c r="B1230" s="5">
        <v>28.1</v>
      </c>
      <c r="C1230" s="5">
        <v>28.156099999999999</v>
      </c>
      <c r="D1230" s="5">
        <v>27.81</v>
      </c>
      <c r="E1230" s="5">
        <v>27.97</v>
      </c>
      <c r="F1230" s="6">
        <v>23845600</v>
      </c>
    </row>
    <row r="1231" spans="1:6" x14ac:dyDescent="0.2">
      <c r="A1231" s="4">
        <v>46259</v>
      </c>
      <c r="B1231" s="5">
        <v>27.914999999999999</v>
      </c>
      <c r="C1231" s="5">
        <v>28.58</v>
      </c>
      <c r="D1231" s="5">
        <v>27.84</v>
      </c>
      <c r="E1231" s="5">
        <v>28.57</v>
      </c>
      <c r="F1231" s="6">
        <v>31915700</v>
      </c>
    </row>
    <row r="1232" spans="1:6" x14ac:dyDescent="0.2">
      <c r="A1232" s="4">
        <v>46260</v>
      </c>
      <c r="B1232" s="5">
        <v>28.44</v>
      </c>
      <c r="C1232" s="5">
        <v>28.5</v>
      </c>
      <c r="D1232" s="5">
        <v>28.145</v>
      </c>
      <c r="E1232" s="5">
        <v>28.3</v>
      </c>
      <c r="F1232" s="6">
        <v>35069970</v>
      </c>
    </row>
    <row r="1233" spans="1:6" x14ac:dyDescent="0.2">
      <c r="A1233" s="4">
        <v>46261</v>
      </c>
      <c r="B1233" s="5">
        <v>27.97</v>
      </c>
      <c r="C1233" s="5">
        <v>28.18</v>
      </c>
      <c r="D1233" s="5">
        <v>27.83</v>
      </c>
      <c r="E1233" s="5">
        <v>28.02</v>
      </c>
      <c r="F1233" s="6">
        <v>31174430</v>
      </c>
    </row>
    <row r="1234" spans="1:6" x14ac:dyDescent="0.2">
      <c r="A1234" s="4">
        <v>46262</v>
      </c>
      <c r="B1234" s="5">
        <v>28</v>
      </c>
      <c r="C1234" s="5">
        <v>28.02</v>
      </c>
      <c r="D1234" s="5">
        <v>27.77</v>
      </c>
      <c r="E1234" s="5">
        <v>27.96</v>
      </c>
      <c r="F1234" s="6">
        <v>27183850</v>
      </c>
    </row>
    <row r="1235" spans="1:6" x14ac:dyDescent="0.2">
      <c r="A1235" s="4">
        <v>46265</v>
      </c>
      <c r="B1235" s="5">
        <v>27.85</v>
      </c>
      <c r="C1235" s="5">
        <v>28.7</v>
      </c>
      <c r="D1235" s="5">
        <v>27.64</v>
      </c>
      <c r="E1235" s="5">
        <v>28.46</v>
      </c>
      <c r="F1235" s="6">
        <v>45930350</v>
      </c>
    </row>
    <row r="1236" spans="1:6" x14ac:dyDescent="0.2">
      <c r="A1236" s="4">
        <v>46266</v>
      </c>
      <c r="B1236" s="5">
        <v>28.818000000000001</v>
      </c>
      <c r="C1236" s="5">
        <v>29.09</v>
      </c>
      <c r="D1236" s="5">
        <v>28.465</v>
      </c>
      <c r="E1236" s="5">
        <v>28.55</v>
      </c>
      <c r="F1236" s="6">
        <v>42493400</v>
      </c>
    </row>
    <row r="1237" spans="1:6" x14ac:dyDescent="0.2">
      <c r="A1237" s="4">
        <v>46267</v>
      </c>
      <c r="B1237" s="5">
        <v>28.79</v>
      </c>
      <c r="C1237" s="5">
        <v>29.09</v>
      </c>
      <c r="D1237" s="5">
        <v>28.704999999999998</v>
      </c>
      <c r="E1237" s="5">
        <v>29.02</v>
      </c>
      <c r="F1237" s="6">
        <v>39277910</v>
      </c>
    </row>
    <row r="1238" spans="1:6" x14ac:dyDescent="0.2">
      <c r="A1238" s="4">
        <v>46268</v>
      </c>
      <c r="B1238" s="5">
        <v>29.09</v>
      </c>
      <c r="C1238" s="5">
        <v>29.21</v>
      </c>
      <c r="D1238" s="5">
        <v>28.44</v>
      </c>
      <c r="E1238" s="5">
        <v>28.81</v>
      </c>
      <c r="F1238" s="6">
        <v>26724290</v>
      </c>
    </row>
    <row r="1239" spans="1:6" x14ac:dyDescent="0.2">
      <c r="A1239" s="4">
        <v>46269</v>
      </c>
      <c r="B1239" s="5">
        <v>28.58</v>
      </c>
      <c r="C1239" s="5">
        <v>28.69</v>
      </c>
      <c r="D1239" s="5">
        <v>28.38</v>
      </c>
      <c r="E1239" s="5">
        <v>28.45</v>
      </c>
      <c r="F1239" s="6">
        <v>23791960</v>
      </c>
    </row>
    <row r="1240" spans="1:6" x14ac:dyDescent="0.2">
      <c r="A1240" s="4">
        <v>46273</v>
      </c>
      <c r="B1240" s="5">
        <v>28.015000000000001</v>
      </c>
      <c r="C1240" s="5">
        <v>28.145</v>
      </c>
      <c r="D1240" s="5">
        <v>27.715</v>
      </c>
      <c r="E1240" s="5">
        <v>27.79</v>
      </c>
      <c r="F1240" s="6">
        <v>31772940</v>
      </c>
    </row>
    <row r="1241" spans="1:6" x14ac:dyDescent="0.2">
      <c r="A1241" s="4">
        <v>46274</v>
      </c>
      <c r="B1241" s="5">
        <v>27.76</v>
      </c>
      <c r="C1241" s="5">
        <v>27.975000000000001</v>
      </c>
      <c r="D1241" s="5">
        <v>27.57</v>
      </c>
      <c r="E1241" s="5">
        <v>27.78</v>
      </c>
      <c r="F1241" s="6">
        <v>29135330</v>
      </c>
    </row>
    <row r="1242" spans="1:6" x14ac:dyDescent="0.2">
      <c r="A1242" s="4">
        <v>46275</v>
      </c>
      <c r="B1242" s="5">
        <v>27.69</v>
      </c>
      <c r="C1242" s="5">
        <v>27.75</v>
      </c>
      <c r="D1242" s="5">
        <v>27.4</v>
      </c>
      <c r="E1242" s="5">
        <v>27.65</v>
      </c>
      <c r="F1242" s="6">
        <v>28813570</v>
      </c>
    </row>
    <row r="1243" spans="1:6" x14ac:dyDescent="0.2">
      <c r="A1243" s="4">
        <v>46276</v>
      </c>
      <c r="B1243" s="5">
        <v>27.8</v>
      </c>
      <c r="C1243" s="5">
        <v>27.85</v>
      </c>
      <c r="D1243" s="5">
        <v>27.42</v>
      </c>
      <c r="E1243" s="5">
        <v>27.72</v>
      </c>
      <c r="F1243" s="6">
        <v>25557180</v>
      </c>
    </row>
    <row r="1244" spans="1:6" x14ac:dyDescent="0.2">
      <c r="A1244" s="4">
        <v>46279</v>
      </c>
      <c r="B1244" s="5">
        <v>28.08</v>
      </c>
      <c r="C1244" s="5">
        <v>28.19</v>
      </c>
      <c r="D1244" s="5">
        <v>27.684999999999999</v>
      </c>
      <c r="E1244" s="5">
        <v>27.72</v>
      </c>
      <c r="F1244" s="6">
        <v>28571580</v>
      </c>
    </row>
    <row r="1245" spans="1:6" x14ac:dyDescent="0.2">
      <c r="A1245" s="4">
        <v>46280</v>
      </c>
      <c r="B1245" s="5">
        <v>27.614999999999998</v>
      </c>
      <c r="C1245" s="5">
        <v>27.66</v>
      </c>
      <c r="D1245" s="5">
        <v>27.245000000000001</v>
      </c>
      <c r="E1245" s="5">
        <v>27.55</v>
      </c>
      <c r="F1245" s="6">
        <v>40435890</v>
      </c>
    </row>
    <row r="1246" spans="1:6" x14ac:dyDescent="0.2">
      <c r="A1246" s="4">
        <v>46281</v>
      </c>
      <c r="B1246" s="5">
        <v>27.64</v>
      </c>
      <c r="C1246" s="5">
        <v>27.69</v>
      </c>
      <c r="D1246" s="5">
        <v>27.36</v>
      </c>
      <c r="E1246" s="5">
        <v>27.46</v>
      </c>
      <c r="F1246" s="6">
        <v>26046160</v>
      </c>
    </row>
    <row r="1247" spans="1:6" x14ac:dyDescent="0.2">
      <c r="A1247" s="4">
        <v>46282</v>
      </c>
      <c r="B1247" s="5">
        <v>27.62</v>
      </c>
      <c r="C1247" s="5">
        <v>27.81</v>
      </c>
      <c r="D1247" s="5">
        <v>27.55</v>
      </c>
      <c r="E1247" s="5">
        <v>27.64</v>
      </c>
      <c r="F1247" s="6">
        <v>29013810</v>
      </c>
    </row>
    <row r="1248" spans="1:6" x14ac:dyDescent="0.2">
      <c r="A1248" s="4">
        <v>46283</v>
      </c>
      <c r="B1248" s="5">
        <v>27.64</v>
      </c>
      <c r="C1248" s="5">
        <v>27.66</v>
      </c>
      <c r="D1248" s="5">
        <v>27.34</v>
      </c>
      <c r="E1248" s="5">
        <v>27.66</v>
      </c>
      <c r="F1248" s="6">
        <v>75593390</v>
      </c>
    </row>
    <row r="1249" spans="1:6" x14ac:dyDescent="0.2">
      <c r="A1249" s="4">
        <v>46286</v>
      </c>
      <c r="B1249" s="5">
        <v>27.65</v>
      </c>
      <c r="C1249" s="5">
        <v>27.92</v>
      </c>
      <c r="D1249" s="5">
        <v>27.53</v>
      </c>
      <c r="E1249" s="5">
        <v>27.74</v>
      </c>
      <c r="F1249" s="6">
        <v>28776630</v>
      </c>
    </row>
    <row r="1250" spans="1:6" x14ac:dyDescent="0.2">
      <c r="A1250" s="4">
        <v>46287</v>
      </c>
      <c r="B1250" s="5">
        <v>27.74</v>
      </c>
      <c r="C1250" s="5">
        <v>28</v>
      </c>
      <c r="D1250" s="5">
        <v>27.49</v>
      </c>
      <c r="E1250" s="5">
        <v>27.93</v>
      </c>
      <c r="F1250" s="6">
        <v>26669290</v>
      </c>
    </row>
    <row r="1251" spans="1:6" x14ac:dyDescent="0.2">
      <c r="A1251" s="4">
        <v>46288</v>
      </c>
      <c r="B1251" s="5">
        <v>27.96</v>
      </c>
      <c r="C1251" s="5">
        <v>28.23</v>
      </c>
      <c r="D1251" s="5">
        <v>27.84</v>
      </c>
      <c r="E1251" s="5">
        <v>28.18</v>
      </c>
      <c r="F1251" s="6">
        <v>33812860</v>
      </c>
    </row>
    <row r="1252" spans="1:6" x14ac:dyDescent="0.2">
      <c r="A1252" s="4">
        <v>46289</v>
      </c>
      <c r="B1252" s="5">
        <v>28.2</v>
      </c>
      <c r="C1252" s="5">
        <v>28.85</v>
      </c>
      <c r="D1252" s="5">
        <v>28.2</v>
      </c>
      <c r="E1252" s="5">
        <v>28.41</v>
      </c>
      <c r="F1252" s="6">
        <v>34774740</v>
      </c>
    </row>
    <row r="1253" spans="1:6" x14ac:dyDescent="0.2">
      <c r="A1253" s="4">
        <v>46290</v>
      </c>
      <c r="B1253" s="5">
        <v>28.45</v>
      </c>
      <c r="C1253" s="5">
        <v>28.69</v>
      </c>
      <c r="D1253" s="5">
        <v>28.17</v>
      </c>
      <c r="E1253" s="5">
        <v>28.67</v>
      </c>
      <c r="F1253" s="6">
        <v>27763660</v>
      </c>
    </row>
    <row r="1254" spans="1:6" x14ac:dyDescent="0.2">
      <c r="A1254" s="4">
        <v>46293</v>
      </c>
      <c r="B1254" s="5">
        <v>28.62</v>
      </c>
      <c r="C1254" s="5">
        <v>28.87</v>
      </c>
      <c r="D1254" s="5">
        <v>28.39</v>
      </c>
      <c r="E1254" s="5">
        <v>28.72</v>
      </c>
      <c r="F1254" s="6">
        <v>24950460</v>
      </c>
    </row>
    <row r="1255" spans="1:6" x14ac:dyDescent="0.2">
      <c r="A1255" s="4">
        <v>46294</v>
      </c>
      <c r="B1255" s="5">
        <v>28.6</v>
      </c>
      <c r="C1255" s="5">
        <v>28.76</v>
      </c>
      <c r="D1255" s="5">
        <v>28.26</v>
      </c>
      <c r="E1255" s="5">
        <v>28.72</v>
      </c>
      <c r="F1255" s="6">
        <v>33309390</v>
      </c>
    </row>
    <row r="1256" spans="1:6" x14ac:dyDescent="0.2">
      <c r="A1256" s="4">
        <v>46295</v>
      </c>
      <c r="B1256" s="5">
        <v>28.79</v>
      </c>
      <c r="C1256" s="5">
        <v>28.945</v>
      </c>
      <c r="D1256" s="5">
        <v>28.52</v>
      </c>
      <c r="E1256" s="5">
        <v>28.52</v>
      </c>
      <c r="F1256" s="6">
        <v>33638990</v>
      </c>
    </row>
    <row r="1257" spans="1:6" x14ac:dyDescent="0.2">
      <c r="A1257" s="4">
        <v>46296</v>
      </c>
      <c r="B1257" s="5">
        <v>28.445</v>
      </c>
      <c r="C1257" s="5">
        <v>28.585000000000001</v>
      </c>
      <c r="D1257" s="5">
        <v>28.074999999999999</v>
      </c>
      <c r="E1257" s="5">
        <v>28.12</v>
      </c>
      <c r="F1257" s="6">
        <v>30494160</v>
      </c>
    </row>
    <row r="1258" spans="1:6" x14ac:dyDescent="0.2">
      <c r="A1258" s="4">
        <v>46297</v>
      </c>
      <c r="B1258" s="5">
        <v>28.145</v>
      </c>
      <c r="C1258" s="5">
        <v>28.16</v>
      </c>
      <c r="D1258" s="5">
        <v>27.44</v>
      </c>
      <c r="E1258" s="5">
        <v>27.8</v>
      </c>
      <c r="F1258" s="6">
        <v>35007890</v>
      </c>
    </row>
  </sheetData>
  <autoFilter ref="A4:F1258" xr:uid="{73A06084-FA91-4AEB-A58F-F895BCD1CA3F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FBBFBEE-D853-4E9D-8C64-9E0EDC75E154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04CE-4B9E-48BE-9FE8-6912EB4650EE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3" t="s">
        <v>50</v>
      </c>
      <c r="AC4" s="33" t="s">
        <v>22</v>
      </c>
      <c r="AD4" s="33" t="s">
        <v>65</v>
      </c>
      <c r="AE4" s="33" t="s">
        <v>66</v>
      </c>
      <c r="AF4" s="33" t="s">
        <v>67</v>
      </c>
      <c r="AG4" s="33" t="s">
        <v>68</v>
      </c>
      <c r="AH4" s="33" t="s">
        <v>69</v>
      </c>
      <c r="AI4" s="33" t="s">
        <v>70</v>
      </c>
      <c r="AJ4" s="33" t="s">
        <v>71</v>
      </c>
      <c r="AK4" s="33" t="s">
        <v>72</v>
      </c>
      <c r="AL4" s="33" t="s">
        <v>73</v>
      </c>
      <c r="AM4" s="33" t="s">
        <v>74</v>
      </c>
    </row>
    <row r="5" spans="1:39" x14ac:dyDescent="0.2">
      <c r="A5" s="16">
        <f>'Stock Price'!A5</f>
        <v>44474</v>
      </c>
      <c r="B5" s="17">
        <f>'Stock Price'!E5</f>
        <v>42.32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2" t="s">
        <v>52</v>
      </c>
      <c r="AC5" s="34">
        <f ca="1">'Stock Price'!V49</f>
        <v>-0.34310018903591677</v>
      </c>
      <c r="AD5" s="34">
        <f ca="1">IF(AC5="","",AC5-ROW()*0.000000001)</f>
        <v>-0.34310019403591679</v>
      </c>
      <c r="AE5" s="32">
        <f ca="1">IF(AD5="","",COUNTIF($AD$5:$AD$16,"&gt;"&amp;AD5)+1)</f>
        <v>12</v>
      </c>
      <c r="AF5" s="32" t="str">
        <f ca="1">IF(AC5="",AB5,AB5&amp;" "&amp;TEXT(AC5,"+0.0%;-0.0%;0.0%"))</f>
        <v>PFE -34.3%</v>
      </c>
      <c r="AG5" s="34">
        <f ca="1">IF(AE5="","",INDEX($AK$5:$AK$16,AE5))</f>
        <v>-0.59124878154446003</v>
      </c>
      <c r="AH5" s="32">
        <v>1</v>
      </c>
      <c r="AI5" s="34">
        <f ca="1">IF('Stock Price'!$I$11="OK",LARGE($AD$5:$AD$16,AH5),"")</f>
        <v>3.9489022517555528</v>
      </c>
      <c r="AJ5" s="34">
        <f ca="1">AI5</f>
        <v>3.9489022517555528</v>
      </c>
      <c r="AK5" s="34">
        <f ca="1">IF('Stock Price'!$I$11="OK",MAX(AJ5,AK6+$AL$5),"")</f>
        <v>3.9489022517555528</v>
      </c>
      <c r="AL5" s="34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4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42.02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-7.0888468809072736E-3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2" t="s">
        <v>53</v>
      </c>
      <c r="AC6" s="34">
        <f ca="1">'Stock Price'!V50</f>
        <v>0.78110587727043646</v>
      </c>
      <c r="AD6" s="34">
        <f ca="1">IF(AC6="","",AC6-ROW()*0.000000001)</f>
        <v>0.7811058712704364</v>
      </c>
      <c r="AE6" s="32">
        <f ca="1">IF(AD6="","",COUNTIF($AD$5:$AD$16,"&gt;"&amp;AD6)+1)</f>
        <v>3</v>
      </c>
      <c r="AF6" s="32" t="str">
        <f ca="1">IF(AC6="",AB6,AB6&amp;" "&amp;TEXT(AC6,"+0.0%;-0.0%;0.0%"))</f>
        <v>NVS +78.1%</v>
      </c>
      <c r="AG6" s="34">
        <f ca="1">IF(AE6="","",INDEX($AK$5:$AK$16,AE6))</f>
        <v>1.4886393570881782</v>
      </c>
      <c r="AH6" s="32">
        <v>2</v>
      </c>
      <c r="AI6" s="34">
        <f ca="1">IF('Stock Price'!$I$11="OK",LARGE($AD$5:$AD$16,AH6),"")</f>
        <v>1.3999634576553737</v>
      </c>
      <c r="AJ6" s="34">
        <f ca="1">IF('Stock Price'!$I$11="OK",MIN(AI6,AJ5-$AL$5),"")</f>
        <v>1.3999634576553737</v>
      </c>
      <c r="AK6" s="34">
        <f ca="1">IF('Stock Price'!$I$11="OK",MAX(AJ6,AK7+$AL$5),"")</f>
        <v>1.7197380391584713</v>
      </c>
      <c r="AL6" s="32"/>
      <c r="AM6" s="32"/>
    </row>
    <row r="7" spans="1:39" x14ac:dyDescent="0.2">
      <c r="A7" s="16">
        <f>'Stock Price'!A7</f>
        <v>44476</v>
      </c>
      <c r="B7" s="17">
        <f>'Stock Price'!E7</f>
        <v>42.74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9.9243856332704716E-3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2" t="s">
        <v>54</v>
      </c>
      <c r="AC7" s="34">
        <f ca="1">'Stock Price'!V51</f>
        <v>0.2966942148760332</v>
      </c>
      <c r="AD7" s="34">
        <f ca="1">IF(AC7="","",AC7-ROW()*0.000000001)</f>
        <v>0.29669420787603318</v>
      </c>
      <c r="AE7" s="32">
        <f ca="1">IF(AD7="","",COUNTIF($AD$5:$AD$16,"&gt;"&amp;AD7)+1)</f>
        <v>6</v>
      </c>
      <c r="AF7" s="32" t="str">
        <f ca="1">IF(AC7="",AB7,AB7&amp;" "&amp;TEXT(AC7,"+0.0%;-0.0%;0.0%"))</f>
        <v>AZN +29.7%</v>
      </c>
      <c r="AG7" s="34">
        <f ca="1">IF(AE7="","",INDEX($AK$5:$AK$16,AE7))</f>
        <v>0.7953433108772987</v>
      </c>
      <c r="AH7" s="32">
        <v>3</v>
      </c>
      <c r="AI7" s="34">
        <f ca="1">IF('Stock Price'!$I$11="OK",LARGE($AD$5:$AD$16,AH7),"")</f>
        <v>0.7811058712704364</v>
      </c>
      <c r="AJ7" s="34">
        <f ca="1">IF('Stock Price'!$I$11="OK",MIN(AI7,AJ6-$AL$5),"")</f>
        <v>0.7811058712704364</v>
      </c>
      <c r="AK7" s="34">
        <f ca="1">IF('Stock Price'!$I$11="OK",MAX(AJ7,AK8+$AL$5),"")</f>
        <v>1.4886393570881782</v>
      </c>
      <c r="AL7" s="32"/>
      <c r="AM7" s="32"/>
    </row>
    <row r="8" spans="1:39" x14ac:dyDescent="0.2">
      <c r="A8" s="16">
        <f>'Stock Price'!A8</f>
        <v>44477</v>
      </c>
      <c r="B8" s="17">
        <f>'Stock Price'!E8</f>
        <v>42.45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3.0718336483932518E-3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2" t="s">
        <v>55</v>
      </c>
      <c r="AC8" s="34">
        <f ca="1">'Stock Price'!V52</f>
        <v>-1.5593929879644142E-2</v>
      </c>
      <c r="AD8" s="34">
        <f ca="1">IF(AC8="","",AC8-ROW()*0.000000001)</f>
        <v>-1.5593937879644141E-2</v>
      </c>
      <c r="AE8" s="32">
        <f ca="1">IF(AD8="","",COUNTIF($AD$5:$AD$16,"&gt;"&amp;AD8)+1)</f>
        <v>9</v>
      </c>
      <c r="AF8" s="32" t="str">
        <f ca="1">IF(AC8="",AB8,AB8&amp;" "&amp;TEXT(AC8,"+0.0%;-0.0%;0.0%"))</f>
        <v>GSK -1.6%</v>
      </c>
      <c r="AG8" s="34">
        <f ca="1">IF(AE8="","",INDEX($AK$5:$AK$16,AE8))</f>
        <v>0.10204726466641928</v>
      </c>
      <c r="AH8" s="32">
        <v>4</v>
      </c>
      <c r="AI8" s="34">
        <f ca="1">IF('Stock Price'!$I$11="OK",LARGE($AD$5:$AD$16,AH8),"")</f>
        <v>0.76838234094117663</v>
      </c>
      <c r="AJ8" s="34">
        <f ca="1">IF('Stock Price'!$I$11="OK",MIN(AI8,AJ7-$AL$5),"")</f>
        <v>0.55000718920014324</v>
      </c>
      <c r="AK8" s="34">
        <f ca="1">IF('Stock Price'!$I$11="OK",MAX(AJ8,AK9+$AL$5),"")</f>
        <v>1.257540675017885</v>
      </c>
      <c r="AL8" s="32"/>
      <c r="AM8" s="32"/>
    </row>
    <row r="9" spans="1:39" x14ac:dyDescent="0.2">
      <c r="A9" s="16">
        <f>'Stock Price'!A9</f>
        <v>44480</v>
      </c>
      <c r="B9" s="17">
        <f>'Stock Price'!E9</f>
        <v>42.06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-6.1436672967863926E-3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2" t="s">
        <v>56</v>
      </c>
      <c r="AC9" s="34">
        <f ca="1">'Stock Price'!V53</f>
        <v>0.11884368308351179</v>
      </c>
      <c r="AD9" s="34">
        <f ca="1">IF(AC9="","",AC9-ROW()*0.000000001)</f>
        <v>0.11884367408351179</v>
      </c>
      <c r="AE9" s="32">
        <f ca="1">IF(AD9="","",COUNTIF($AD$5:$AD$16,"&gt;"&amp;AD9)+1)</f>
        <v>7</v>
      </c>
      <c r="AF9" s="32" t="str">
        <f ca="1">IF(AC9="",AB9,AB9&amp;" "&amp;TEXT(AC9,"+0.0%;-0.0%;0.0%"))</f>
        <v>ROG +11.9%</v>
      </c>
      <c r="AG9" s="34">
        <f ca="1">IF(AE9="","",INDEX($AK$5:$AK$16,AE9))</f>
        <v>0.56424462880700554</v>
      </c>
      <c r="AH9" s="32">
        <v>5</v>
      </c>
      <c r="AI9" s="34">
        <f ca="1">IF('Stock Price'!$I$11="OK",LARGE($AD$5:$AD$16,AH9),"")</f>
        <v>0.6043990324996863</v>
      </c>
      <c r="AJ9" s="34">
        <f ca="1">IF('Stock Price'!$I$11="OK",MIN(AI9,AJ8-$AL$5),"")</f>
        <v>0.31890850712985014</v>
      </c>
      <c r="AK9" s="34">
        <f ca="1">IF('Stock Price'!$I$11="OK",MAX(AJ9,AK10+$AL$5),"")</f>
        <v>1.0264419929475919</v>
      </c>
      <c r="AL9" s="32"/>
      <c r="AM9" s="32"/>
    </row>
    <row r="10" spans="1:39" x14ac:dyDescent="0.2">
      <c r="A10" s="16">
        <f>'Stock Price'!A10</f>
        <v>44481</v>
      </c>
      <c r="B10" s="17">
        <f>'Stock Price'!E10</f>
        <v>41.85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-1.1105860113421517E-2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2" t="s">
        <v>57</v>
      </c>
      <c r="AC10" s="34">
        <f ca="1">'Stock Price'!V54</f>
        <v>-0.17384105960264895</v>
      </c>
      <c r="AD10" s="34">
        <f ca="1">IF(AC10="","",AC10-ROW()*0.000000001)</f>
        <v>-0.17384106960264895</v>
      </c>
      <c r="AE10" s="32">
        <f ca="1">IF(AD10="","",COUNTIF($AD$5:$AD$16,"&gt;"&amp;AD10)+1)</f>
        <v>11</v>
      </c>
      <c r="AF10" s="32" t="str">
        <f ca="1">IF(AC10="",AB10,AB10&amp;" "&amp;TEXT(AC10,"+0.0%;-0.0%;0.0%"))</f>
        <v>SNY -17.4%</v>
      </c>
      <c r="AG10" s="34">
        <f ca="1">IF(AE10="","",INDEX($AK$5:$AK$16,AE10))</f>
        <v>-0.36015009947416693</v>
      </c>
      <c r="AH10" s="32">
        <v>6</v>
      </c>
      <c r="AI10" s="34">
        <f ca="1">IF('Stock Price'!$I$11="OK",LARGE($AD$5:$AD$16,AH10),"")</f>
        <v>0.29669420787603318</v>
      </c>
      <c r="AJ10" s="34">
        <f ca="1">IF('Stock Price'!$I$11="OK",MIN(AI10,AJ9-$AL$5),"")</f>
        <v>8.7809825059557034E-2</v>
      </c>
      <c r="AK10" s="34">
        <f ca="1">IF('Stock Price'!$I$11="OK",MAX(AJ10,AK11+$AL$5),"")</f>
        <v>0.7953433108772987</v>
      </c>
      <c r="AL10" s="32"/>
      <c r="AM10" s="32"/>
    </row>
    <row r="11" spans="1:39" x14ac:dyDescent="0.2">
      <c r="A11" s="16">
        <f>'Stock Price'!A11</f>
        <v>44482</v>
      </c>
      <c r="B11" s="17">
        <f>'Stock Price'!E11</f>
        <v>41.42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-2.1266540642722043E-2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2" t="s">
        <v>58</v>
      </c>
      <c r="AC11" s="34">
        <f ca="1">'Stock Price'!V55</f>
        <v>-2.6535253980288109E-2</v>
      </c>
      <c r="AD11" s="34">
        <f ca="1">IF(AC11="","",AC11-ROW()*0.000000001)</f>
        <v>-2.653526498028811E-2</v>
      </c>
      <c r="AE11" s="32">
        <f ca="1">IF(AD11="","",COUNTIF($AD$5:$AD$16,"&gt;"&amp;AD11)+1)</f>
        <v>10</v>
      </c>
      <c r="AF11" s="32" t="str">
        <f ca="1">IF(AC11="",AB11,AB11&amp;" "&amp;TEXT(AC11,"+0.0%;-0.0%;0.0%"))</f>
        <v>BAYNr -2.7%</v>
      </c>
      <c r="AG11" s="34">
        <f ca="1">IF(AE11="","",INDEX($AK$5:$AK$16,AE11))</f>
        <v>-0.12905141740387382</v>
      </c>
      <c r="AH11" s="32">
        <v>7</v>
      </c>
      <c r="AI11" s="34">
        <f ca="1">IF('Stock Price'!$I$11="OK",LARGE($AD$5:$AD$16,AH11),"")</f>
        <v>0.11884367408351179</v>
      </c>
      <c r="AJ11" s="34">
        <f ca="1">IF('Stock Price'!$I$11="OK",MIN(AI11,AJ10-$AL$5),"")</f>
        <v>-0.14328885701073607</v>
      </c>
      <c r="AK11" s="34">
        <f ca="1">IF('Stock Price'!$I$11="OK",MAX(AJ11,AK12+$AL$5),"")</f>
        <v>0.56424462880700554</v>
      </c>
      <c r="AL11" s="32"/>
      <c r="AM11" s="32"/>
    </row>
    <row r="12" spans="1:39" x14ac:dyDescent="0.2">
      <c r="A12" s="16">
        <f>'Stock Price'!A12</f>
        <v>44483</v>
      </c>
      <c r="B12" s="17">
        <f>'Stock Price'!E12</f>
        <v>41.67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-1.5359168241965926E-2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2" t="s">
        <v>59</v>
      </c>
      <c r="AC12" s="34">
        <f ca="1">'Stock Price'!V56</f>
        <v>0.76838235294117663</v>
      </c>
      <c r="AD12" s="34">
        <f ca="1">IF(AC12="","",AC12-ROW()*0.000000001)</f>
        <v>0.76838234094117663</v>
      </c>
      <c r="AE12" s="32">
        <f ca="1">IF(AD12="","",COUNTIF($AD$5:$AD$16,"&gt;"&amp;AD12)+1)</f>
        <v>4</v>
      </c>
      <c r="AF12" s="32" t="str">
        <f ca="1">IF(AC12="",AB12,AB12&amp;" "&amp;TEXT(AC12,"+0.0%;-0.0%;0.0%"))</f>
        <v>MRK +76.8%</v>
      </c>
      <c r="AG12" s="34">
        <f ca="1">IF(AE12="","",INDEX($AK$5:$AK$16,AE12))</f>
        <v>1.257540675017885</v>
      </c>
      <c r="AH12" s="32">
        <v>8</v>
      </c>
      <c r="AI12" s="34">
        <f ca="1">IF('Stock Price'!$I$11="OK",LARGE($AD$5:$AD$16,AH12),"")</f>
        <v>3.381232750464918E-2</v>
      </c>
      <c r="AJ12" s="34">
        <f ca="1">IF('Stock Price'!$I$11="OK",MIN(AI12,AJ11-$AL$5),"")</f>
        <v>-0.37438753908102917</v>
      </c>
      <c r="AK12" s="34">
        <f ca="1">IF('Stock Price'!$I$11="OK",MAX(AJ12,AK13+$AL$5),"")</f>
        <v>0.33314594673671238</v>
      </c>
      <c r="AL12" s="32"/>
      <c r="AM12" s="32"/>
    </row>
    <row r="13" spans="1:39" x14ac:dyDescent="0.2">
      <c r="A13" s="16">
        <f>'Stock Price'!A13</f>
        <v>44484</v>
      </c>
      <c r="B13" s="17">
        <f>'Stock Price'!E13</f>
        <v>41.49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-1.9612476370510334E-2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2" t="s">
        <v>60</v>
      </c>
      <c r="AC13" s="34">
        <f ca="1">'Stock Price'!V57</f>
        <v>3.9489022647555529</v>
      </c>
      <c r="AD13" s="34">
        <f ca="1">IF(AC13="","",AC13-ROW()*0.000000001)</f>
        <v>3.9489022517555528</v>
      </c>
      <c r="AE13" s="32">
        <f ca="1">IF(AD13="","",COUNTIF($AD$5:$AD$16,"&gt;"&amp;AD13)+1)</f>
        <v>1</v>
      </c>
      <c r="AF13" s="32" t="str">
        <f ca="1">IF(AC13="",AB13,AB13&amp;" "&amp;TEXT(AC13,"+0.0%;-0.0%;0.0%"))</f>
        <v>LLY +394.9%</v>
      </c>
      <c r="AG13" s="34">
        <f ca="1">IF(AE13="","",INDEX($AK$5:$AK$16,AE13))</f>
        <v>3.9489022517555528</v>
      </c>
      <c r="AH13" s="32">
        <v>9</v>
      </c>
      <c r="AI13" s="34">
        <f ca="1">IF('Stock Price'!$I$11="OK",LARGE($AD$5:$AD$16,AH13),"")</f>
        <v>-1.5593937879644141E-2</v>
      </c>
      <c r="AJ13" s="34">
        <f ca="1">IF('Stock Price'!$I$11="OK",MIN(AI13,AJ12-$AL$5),"")</f>
        <v>-0.60548622115132233</v>
      </c>
      <c r="AK13" s="34">
        <f ca="1">IF('Stock Price'!$I$11="OK",MAX(AJ13,AK14+$AL$5),"")</f>
        <v>0.10204726466641928</v>
      </c>
      <c r="AL13" s="32"/>
      <c r="AM13" s="32"/>
    </row>
    <row r="14" spans="1:39" x14ac:dyDescent="0.2">
      <c r="A14" s="16">
        <f>'Stock Price'!A14</f>
        <v>44487</v>
      </c>
      <c r="B14" s="17">
        <f>'Stock Price'!E14</f>
        <v>41.32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-2.3629489603024578E-2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2" t="s">
        <v>61</v>
      </c>
      <c r="AC14" s="34">
        <f ca="1">'Stock Price'!V58</f>
        <v>3.3812341504649179E-2</v>
      </c>
      <c r="AD14" s="34">
        <f ca="1">IF(AC14="","",AC14-ROW()*0.000000001)</f>
        <v>3.381232750464918E-2</v>
      </c>
      <c r="AE14" s="32">
        <f ca="1">IF(AD14="","",COUNTIF($AD$5:$AD$16,"&gt;"&amp;AD14)+1)</f>
        <v>8</v>
      </c>
      <c r="AF14" s="32" t="str">
        <f ca="1">IF(AC14="",AB14,AB14&amp;" "&amp;TEXT(AC14,"+0.0%;-0.0%;0.0%"))</f>
        <v>BMY +3.4%</v>
      </c>
      <c r="AG14" s="34">
        <f ca="1">IF(AE14="","",INDEX($AK$5:$AK$16,AE14))</f>
        <v>0.33314594673671238</v>
      </c>
      <c r="AH14" s="32">
        <v>10</v>
      </c>
      <c r="AI14" s="34">
        <f ca="1">IF('Stock Price'!$I$11="OK",LARGE($AD$5:$AD$16,AH14),"")</f>
        <v>-2.653526498028811E-2</v>
      </c>
      <c r="AJ14" s="34">
        <f ca="1">IF('Stock Price'!$I$11="OK",MIN(AI14,AJ13-$AL$5),"")</f>
        <v>-0.83658490322161549</v>
      </c>
      <c r="AK14" s="34">
        <f ca="1">IF('Stock Price'!$I$11="OK",MAX(AJ14,AK15+$AL$5),"")</f>
        <v>-0.12905141740387382</v>
      </c>
      <c r="AL14" s="32"/>
      <c r="AM14" s="32"/>
    </row>
    <row r="15" spans="1:39" x14ac:dyDescent="0.2">
      <c r="A15" s="16">
        <f>'Stock Price'!A15</f>
        <v>44488</v>
      </c>
      <c r="B15" s="17">
        <f>'Stock Price'!E15</f>
        <v>42.09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-5.4347826086955653E-3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2" t="s">
        <v>62</v>
      </c>
      <c r="AC15" s="34">
        <f ca="1">'Stock Price'!V59</f>
        <v>0.60439904749968631</v>
      </c>
      <c r="AD15" s="34">
        <f ca="1">IF(AC15="","",AC15-ROW()*0.000000001)</f>
        <v>0.6043990324996863</v>
      </c>
      <c r="AE15" s="32">
        <f ca="1">IF(AD15="","",COUNTIF($AD$5:$AD$16,"&gt;"&amp;AD15)+1)</f>
        <v>5</v>
      </c>
      <c r="AF15" s="32" t="str">
        <f ca="1">IF(AC15="",AB15,AB15&amp;" "&amp;TEXT(AC15,"+0.0%;-0.0%;0.0%"))</f>
        <v>JnJ +60.4%</v>
      </c>
      <c r="AG15" s="34">
        <f ca="1">IF(AE15="","",INDEX($AK$5:$AK$16,AE15))</f>
        <v>1.0264419929475919</v>
      </c>
      <c r="AH15" s="32">
        <v>11</v>
      </c>
      <c r="AI15" s="34">
        <f ca="1">IF('Stock Price'!$I$11="OK",LARGE($AD$5:$AD$16,AH15),"")</f>
        <v>-0.17384106960264895</v>
      </c>
      <c r="AJ15" s="34">
        <f ca="1">IF('Stock Price'!$I$11="OK",MIN(AI15,AJ14-$AL$5),"")</f>
        <v>-1.0676835852919087</v>
      </c>
      <c r="AK15" s="34">
        <f ca="1">IF('Stock Price'!$I$11="OK",MAX(AJ15,AK16+$AL$5),"")</f>
        <v>-0.36015009947416693</v>
      </c>
      <c r="AL15" s="32"/>
      <c r="AM15" s="32"/>
    </row>
    <row r="16" spans="1:39" x14ac:dyDescent="0.2">
      <c r="A16" s="16">
        <f>'Stock Price'!A16</f>
        <v>44489</v>
      </c>
      <c r="B16" s="17">
        <f>'Stock Price'!E16</f>
        <v>42.8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1.1342155009451682E-2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2" t="s">
        <v>63</v>
      </c>
      <c r="AC16" s="34">
        <f ca="1">'Stock Price'!V60</f>
        <v>1.3999634736553737</v>
      </c>
      <c r="AD16" s="34">
        <f ca="1">IF(AC16="","",AC16-ROW()*0.000000001)</f>
        <v>1.3999634576553737</v>
      </c>
      <c r="AE16" s="32">
        <f ca="1">IF(AD16="","",COUNTIF($AD$5:$AD$16,"&gt;"&amp;AD16)+1)</f>
        <v>2</v>
      </c>
      <c r="AF16" s="32" t="str">
        <f ca="1">IF(AC16="",AB16,AB16&amp;" "&amp;TEXT(AC16,"+0.0%;-0.0%;0.0%"))</f>
        <v>ABBV +140.0%</v>
      </c>
      <c r="AG16" s="34">
        <f ca="1">IF(AE16="","",INDEX($AK$5:$AK$16,AE16))</f>
        <v>1.7197380391584713</v>
      </c>
      <c r="AH16" s="32">
        <v>12</v>
      </c>
      <c r="AI16" s="34">
        <f ca="1">IF('Stock Price'!$I$11="OK",LARGE($AD$5:$AD$16,AH16),"")</f>
        <v>-0.34310019403591679</v>
      </c>
      <c r="AJ16" s="34">
        <f ca="1">IF('Stock Price'!$I$11="OK",MIN(AI16,AJ15-$AL$5),"")</f>
        <v>-1.2987822673622018</v>
      </c>
      <c r="AK16" s="34">
        <f ca="1">IF('Stock Price'!$I$11="OK",MAX(AJ16,$AM$5),"")</f>
        <v>-0.59124878154446003</v>
      </c>
      <c r="AL16" s="32"/>
      <c r="AM16" s="32"/>
    </row>
    <row r="17" spans="1:26" x14ac:dyDescent="0.2">
      <c r="A17" s="16">
        <f>'Stock Price'!A17</f>
        <v>44490</v>
      </c>
      <c r="B17" s="17">
        <f>'Stock Price'!E17</f>
        <v>42.86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1.2759924385633337E-2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43.16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1.9848771266540499E-2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43.15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1.9612476370510334E-2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43.56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2.9300567107750419E-2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42.97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1.5359168241966037E-2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43.18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2.0321361058601051E-2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43.74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3.3553875236294939E-2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43.64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3.1190926275992403E-2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45.45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7.3960302457466875E-2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44.82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5.907372400756139E-2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43.85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3.6153119092627639E-2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48.61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0.14862948960302447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48.33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0.14201323251417763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47.3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0.11767485822306223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49.02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0.15831758034026477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50.18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0.18572778827977321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49.73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0.17509451795841202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49.65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0.17320415879017004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49.6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0.17202268431001899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50.87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0.20203213610586013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51.41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0.21479206049149324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50.8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0.20037807183364831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51.2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0.20982986767485823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51.08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0.20699432892249514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50.89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0.20250472589792068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54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0.275992438563327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52.4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0.23818525519848777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53.73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0.26961247637051033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54.68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0.29206049149338376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53.04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0.25330812854442342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54.27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0.28237240075614367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51.48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0.21644612476370506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51.72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0.22211720226843101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51.4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0.21455576559546308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52.08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0.23062381852551983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52.78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0.24716446124763713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55.2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0.30434782608695654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55.54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0.31238185255198481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58.8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0.38941398865784493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61.25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0.44730623818525528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59.48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0.40548204158790169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61.02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0.44187145557655971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58.95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0.39295841209829874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59.55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0.40713610586011328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58.71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0.38728733459357279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59.2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0.39886578449905485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58.01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0.37074669187145548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57.58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0.36058601134215507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58.4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0.37996219281663501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59.05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0.39532136105860105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56.65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0.3386105860113422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54.53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0.28851606805293017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55.63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0.31450850661625718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54.84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0.29584120982986772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55.72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0.31663516068052933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56.24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0.32892249527410211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56.69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0.33955576559546308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56.65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0.3386105860113422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55.54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0.31238185255198481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54.95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0.29844045368620042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54.11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0.2785916824196597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53.54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0.26512287334593565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54.05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0.27717391304347827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52.79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0.2474007561436673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51.54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0.21786389413988649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52.54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0.24149338374291118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53.01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0.2525992438563327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53.37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0.26110586011342152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54.33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0.2837901701323251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52.69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0.24503780718336476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53.07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0.25401701323251413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53.86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0.27268431001890359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53.38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0.2613421550094519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53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0.25236294896030254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53.21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0.25732514177693755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51.7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0.22164461247637046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51.47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0.2162098298676749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50.6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0.19565217391304346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50.78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0.19990548204158798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49.8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0.17674858223062384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49.79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0.17651228733459345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49.68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0.17391304347826075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48.9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0.15548204158790169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48.53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0.14673913043478271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47.53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0.12310964083175802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46.87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0.10751417769376181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45.96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8.6011342155009496E-2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47.72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0.1275992438563327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46.94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0.10916824196597341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45.75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8.104914933837426E-2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47.7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0.12712665406427237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47.83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0.1301984877126654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48.65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0.14957466918714557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47.98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0.13374291115311898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47.44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0.12098298676748587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48.75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0.15193761814744811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49.2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0.16257088846880907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50.27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0.18785444234404536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52.25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0.23464083175803396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52.21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0.23369565217391308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52.92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0.25047258979206055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54.24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0.28166351606805295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54.51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0.2880434782608694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54.19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0.28048204158790169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53.04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0.25330812854442342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52.19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0.23322306238185253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52.59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0.24267485822306245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52.78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0.24716446124763713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53.28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0.25897920604914937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52.74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0.24621928166351603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52.44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0.23913043478260865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51.77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0.22329867674858228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51.57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0.21857277882797721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50.94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0.20368620037807172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51.24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0.21077504725897933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52.87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0.24929111531190928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55.16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0.30340264650283544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55.17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0.30363894139886582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53.93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0.27433837429111541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53.11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0.25496219281663524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53.1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0.25472589792060485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53.12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0.2551984877126654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51.84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0.2249527410207941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50.18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0.18572778827977321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49.75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0.17556710775047257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49.11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0.16044423440453692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48.13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0.13728733459357279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48.95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0.15666351606805295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49.03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0.15855387523629494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49.74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0.17533081285444241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50.51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0.19352551984877131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49.07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0.15949905482041582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48.34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0.14224952741020802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49.29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0.16469754253308122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49.66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0.1734404536862002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48.45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0.14484877126654072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49.04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0.1587901701323251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48.64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0.14933837429111541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49.49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0.16942344045368629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49.45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0.16847826086956519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50.39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0.19068998109640822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49.92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0.17958412098298671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50.67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0.19730623818525528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51.34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0.21313799621928164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50.4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0.19092627599243861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50.65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0.19683364839319473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52.47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0.23983931947069936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52.88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0.24952741020793967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53.41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0.2620510396975424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53.71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0.26913988657845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53.99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0.27575614366729684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53.91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0.27386578449905463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53.04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0.25330812854442342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52.37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0.23747637051039683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52.68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0.2448015122873346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53.2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0.25708884688090738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53.26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0.25850661625708882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53.96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0.27504725897920612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53.47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0.26346880907372405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51.78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0.22353497164461245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49.97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0.18076559546313797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47.91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0.13208884688090738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47.92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0.13232514177693755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48.51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0.14626654064272215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47.48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0.12192816635160675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46.53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9.9480151228733549E-2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48.11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0.13681474480151223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49.07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0.15949905482041582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50.09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0.18360113421550106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51.59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0.21904536862003798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51.88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0.22589792060491498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50.66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0.19706994328922489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50.94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0.20368620037807172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52.43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0.23889413988657848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52.31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0.23605860113421562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51.64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0.22022684310018903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52.75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0.2464555765595462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53.42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0.26228733459357279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53.17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0.25637996219281667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52.89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0.24976370510396984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52.04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0.22967863894139873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51.79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0.22377126654064261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51.39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0.21431947069943291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51.75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0.22282608695652173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50.75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0.19919659735349726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51.37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0.21384688090737236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50.82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0.20085066162570886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51.12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0.20793950850661624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51.23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0.21053875236294894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51.77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0.22329867674858228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52.3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0.23582230623818523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51.95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0.2275519848771268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50.72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0.19848771266540632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50.51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0.19352551984877131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50.61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0.19588846880907362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49.69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0.17414933837429114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49.86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0.17816635160680527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49.86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0.17816635160680527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49.27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0.16422495274102089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49.57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0.17131379962192828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49.78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0.17627599243856329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49.95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0.18029300567107764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48.29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0.14106805293005675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50.11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0.18407372400756139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49.75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0.17556710775047257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49.86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0.17816635160680527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49.27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0.16422495274102089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48.58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0.14792060491493375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49.15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0.1613894139886578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48.9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0.15548204158790169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48.01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0.1344517958412097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47.43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0.12074669187145548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47.9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0.131852551984877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46.82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0.10633270321361055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46.23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9.2391304347825942E-2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45.85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8.3412098298676796E-2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45.23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6.8761814744801475E-2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46.63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0.10184310018903586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45.7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7.9867674858223214E-2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45.76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8.1285444234404425E-2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46.13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9.0028355387523629E-2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47.08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0.11247637051039683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47.84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0.13043478260869579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47.76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0.12854442344045358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46.19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9.1446124763705061E-2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46.15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9.050094517958418E-2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45.94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8.5538752362948944E-2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46.03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8.7665406427221093E-2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45.44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7.3724007561436711E-2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44.77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5.7892249527410344E-2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43.92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3.7807183364839458E-2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44.57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5.3166351606805273E-2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44.08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4.1587901701323204E-2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43.83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3.5680529300567088E-2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44.09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4.1824196597353591E-2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44.43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4.9858223062381857E-2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44.16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4.3478260869565188E-2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43.76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3.4026465028355268E-2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44.14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4.3005671077504637E-2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44.46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5.0567107750472573E-2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44.12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4.2533081285444085E-2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43.09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1.8194706994328902E-2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42.32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41.75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-1.3468809073724053E-2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41.92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-9.4517958412098091E-3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42.03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-6.8525519848771088E-3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42.98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1.5595463137996202E-2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42.86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1.2759924385633337E-2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43.65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3.1427221172022568E-2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44.09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4.1824196597353591E-2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43.11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1.8667296786389453E-2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42.91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1.3941398865784382E-2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44.95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6.2145557655954642E-2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45.54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7.6086956521739024E-2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45.59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7.7268431001890514E-2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46.06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8.8374291115312031E-2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45.74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8.0812854442344095E-2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47.43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0.12074669187145548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46.55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9.9952741020793878E-2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48.01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0.1344517958412097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47.07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0.11224007561436666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46.57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0.10042533081285443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47.22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0.11578449905482047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47.09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0.11271266540642721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47.35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0.11885633270321372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46.72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0.10396975425330801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47.38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0.11956521739130443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47.6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0.12476370510396984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49.24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0.16351606805293017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48.57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0.14768431001890359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48.05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0.1353969754253308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48.33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0.14201323251417763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48.23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0.1396502835538751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48.18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0.13846880907372405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49.08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0.15973534971644598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48.85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0.15430056710775042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49.21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0.16280718336483924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49.57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0.17131379962192828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49.49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0.16942344045368629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50.13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0.18454631379962194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51.08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0.20699432892249514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50.91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0.20297731568998101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50.73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0.19872400756143649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49.71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0.17462192816635169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50.24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0.18714555765595464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51.78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0.22353497164461245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51.72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0.22211720226843101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52.16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0.23251417769376181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53.07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0.25401701323251413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54.48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0.28733459357277868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53.61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0.26677693761814747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51.4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0.21455576559546308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51.36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0.2136105860113422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51.32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0.21266540642722109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51.66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0.22069943289224936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51.64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0.22022684310018903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51.83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0.22471644612476371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51.13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0.20817580340264663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50.8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0.20037807183364831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51.33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0.21290170132325148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51.24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0.21077504725897933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51.26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0.21124763705103966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50.13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0.18454631379962194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49.66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0.1734404536862002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50.92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0.2032136105860114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48.39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0.14343100189035907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47.62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0.12523629489603016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47.45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0.12121928166351603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47.71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0.12736294896030254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47.85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0.13067107750472595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46.08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8.8846880907372361E-2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45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6.332703213610591E-2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44.96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6.2381852551984807E-2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45.11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6.592627599243861E-2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44.98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6.2854442344045358E-2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44.71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5.647448015122869E-2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45.07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6.4981096408317507E-2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44.25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4.5604914933837337E-2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43.79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3.4735349716446207E-2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43.55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2.9064272211720255E-2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44.16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4.3478260869565188E-2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43.97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3.8988657844990504E-2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44.34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4.7731568998109708E-2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44.06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4.1115311909262875E-2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43.76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3.4026465028355268E-2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43.59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3.0009451795841358E-2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43.98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3.9224952741020669E-2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43.34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2.4102079395085241E-2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43.88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3.6862003780718355E-2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43.99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3.9461247637051056E-2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43.72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3.3081285444234387E-2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43.32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2.3629489603024467E-2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42.95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1.4886578449905485E-2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43.21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2.1030245746691989E-2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42.7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8.9792060491493686E-3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42.38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1.4177693761814325E-3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42.3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-4.7258979206055152E-4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41.75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-1.3468809073724053E-2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40.78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-3.6389413988657804E-2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40.57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-4.135160680529304E-2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40.18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-5.0567107750472573E-2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40.619999999999997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-4.0170132325141883E-2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41.15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-2.7646502835538822E-2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41.11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-2.8591682419659703E-2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40.340000000000003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-4.6786389413988605E-2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40.119999999999997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-5.1984877126654117E-2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39.46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-6.7580340264650318E-2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39.39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-6.9234404536862026E-2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39.86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-5.8128544423440509E-2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39.9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-5.7183364839319517E-2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40.28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-4.8204158790170148E-2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40.369999999999997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-4.6077504725898E-2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40.1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-5.2457466918714557E-2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40.81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-3.5680529300567088E-2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40.659999999999997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-3.9224952741020891E-2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40.01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-5.4584120982986817E-2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40.18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-5.0567107750472573E-2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40.39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-4.5604914933837448E-2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40.22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-4.9621928166351692E-2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39.99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-5.5056710775047257E-2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40.25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-4.8913043478260865E-2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40.380000000000003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-4.5841209829867613E-2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40.799999999999997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-3.5916824196597474E-2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41.35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-2.2920604914933862E-2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40.9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-3.3553875236294939E-2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41.55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-1.8194706994329013E-2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41.5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-1.937618147448017E-2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41.73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-1.3941398865784604E-2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41.79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-1.2523629489603061E-2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41.37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-2.2448015122873421E-2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41.47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-2.0085066162570886E-2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41.19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-2.670132325141783E-2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41.18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-2.6937618147447995E-2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40.549999999999997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-4.1824196597353591E-2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40.24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-4.9149338374291029E-2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39.85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-5.8364839319470674E-2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40.21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-4.9858223062381857E-2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39.909999999999997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-5.6947069943289352E-2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39.33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-7.065217391304357E-2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38.630000000000003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-8.7192816635160653E-2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38.74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-8.4593572778827952E-2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38.89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-8.104914933837426E-2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39.21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-7.3487712665406435E-2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39.06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-7.7032136105860016E-2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38.450000000000003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-9.1446124763705061E-2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38.229999999999997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-9.6644612476370573E-2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38.49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-9.0500945179584069E-2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38.67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-8.6247637051039661E-2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38.479999999999997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-9.0737240075614456E-2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38.299999999999997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-9.4990548204158864E-2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37.58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-0.1120037807183365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37.35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-0.11743856332703206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37.159999999999997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-0.12192816635160686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37.01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-0.12547258979206055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36.75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-0.13161625708884683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36.479999999999997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-0.13799621928166361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36.770000000000003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-0.13114366729678628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38.75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-8.4357277882797788E-2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39.64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-6.3327032136105799E-2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38.630000000000003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-8.7192816635160653E-2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37.83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-0.10609640831758038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37.6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-0.11153119092627595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37.01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-0.12547258979206055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38.020000000000003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-0.10160680529300559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38.020000000000003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-0.10160680529300559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38.36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-9.3572778827977321E-2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38.65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-8.6720226843100212E-2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38.369999999999997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-9.3336483931947156E-2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38.89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-8.104914933837426E-2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39.090000000000003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-7.63232514177693E-2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38.97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-7.9158790170132387E-2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39.9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-5.7183364839319517E-2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40.28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-4.8204158790170148E-2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39.36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-6.9943289224952743E-2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39.75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-6.0727788279773209E-2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40.06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-5.3402646502835438E-2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39.340000000000003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-7.0415879017013183E-2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38.9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-8.0812854442344095E-2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38.729999999999997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-8.4829867674858339E-2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38.299999999999997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-9.4990548204158864E-2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36.89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-0.12830812854442342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36.42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-0.13941398865784493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36.29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-0.14248582230623819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36.119999999999997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-0.14650283553875243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36.68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-0.13327032136105865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36.65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-0.13397920604914937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36.46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-0.13846880907372394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35.630000000000003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-0.15808128544423439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35.53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-0.16044423440453681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35.68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-0.15689981096408323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36.020000000000003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-0.14886578449905474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35.99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-0.14957466918714557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36.06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-0.14792060491493375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36.32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-0.14177693761814747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35.86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-0.15264650283553882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36.24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-0.14366729678638934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36.44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-0.1389413988657846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36.770000000000003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-0.13114366729678628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37.4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-0.11625708884688091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37.51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-0.11365784499054821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37.06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-0.12429111531190917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37.21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-0.12074669187145559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36.200000000000003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-0.14461247637051033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36.07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-0.14768431001890359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36.06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-0.14792060491493375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35.61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-0.15855387523629494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35.35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-0.16469754253308122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35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-0.17296786389413987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35.020000000000003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-0.17249527410207932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35.68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-0.15689981096408323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35.64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-0.15784499054820411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35.840000000000003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-0.15311909262759915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35.72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-0.15595463137996224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36.04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-0.1483931947069943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36.07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-0.14768431001890359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35.39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-0.16375236294896034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35.479999999999997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-0.16162570888468819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36.51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-0.13728733459357279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36.659999999999997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-0.1337429111531192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37.01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-0.12547258979206055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36.840000000000003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-0.12948960302457457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36.659999999999997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-0.1337429111531192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36.159999999999997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-0.14555765595463144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36.380000000000003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-0.14035916824196593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36.21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-0.14437618147448017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36.15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-0.14579395085066171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35.9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-0.15170132325141783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35.380000000000003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-0.1639886578449905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35.78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-0.1545368620037807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35.380000000000003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-0.1639886578449905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34.369999999999997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-0.18785444234404547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34.28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-0.18998109640831751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34.25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-0.19068998109640833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33.94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-0.19801512287334599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34.15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-0.19305293005671076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34.08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-0.19470699432892258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34.15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-0.19305293005671076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34.07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-0.19494328922495274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33.64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-0.20510396975425327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33.99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-0.19683364839319462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33.619999999999997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-0.20557655954631382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32.85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-0.22377126654064272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32.69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-0.22755198487712669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32.979999999999997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-0.22069943289224958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32.4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-0.2344045368620038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32.1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-0.24149338374291107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32.090000000000003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-0.24172967863894135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33.17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-0.21620982986767479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33.94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-0.19801512287334599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33.9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-0.19896030245746699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33.31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-0.21290170132325137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33.47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-0.20912098298676751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33.130000000000003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-0.21715500945179578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33.200000000000003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-0.21550094517958407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33.17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-0.21620982986767479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33.11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-0.21762759924385633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32.92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-0.22211720226843101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32.11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-0.24125708884688091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33.270000000000003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-0.21384688090737236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32.75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-0.22613421550094515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31.41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-0.2577977315689981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31.19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-0.2629962192816635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30.65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-0.27575614366729684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30.84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-0.27126654064272215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30.43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-0.28095463137996224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30.73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-0.27386578449905485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31.16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-0.26370510396975422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30.11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-0.28851606805293006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30.55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-0.27811909262759926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30.56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-0.27788279773156899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30.51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-0.27906427221172014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30.5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-0.27930056710775053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31.26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-0.26134215500945179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31.18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-0.26323251417769378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31.25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-0.26157844990548207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30.82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-0.27173913043478259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29.68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-0.29867674858223059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29.48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-0.30340264650283555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28.98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-0.31521739130434778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29.26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-0.30860113421550095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30.19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-0.28662570888468808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29.77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-0.29655009451795844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29.92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-0.29300567107750464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29.98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-0.2915879017013232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30.3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-0.28402646502835538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30.32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-0.28355387523629494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30.5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-0.27930056710775053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30.14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-0.28780718336483935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29.69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-0.29844045368620031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30.08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-0.28922495274102089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30.47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-0.28000945179584125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28.91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-0.3168714555765596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29.28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-0.3081285444234404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29.09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-0.31261814744801508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28.79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-0.31970699432892247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28.63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-0.32348771266540643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28.78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-0.31994328922495274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28.64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-0.32325141776937616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28.58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-0.3246691871455577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26.66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-0.37003780718336488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26.13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-0.38256143667296794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26.63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-0.37074669187145559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27.06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-0.36058601134215507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28.16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-0.33459357277882795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27.63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-0.34711720226843101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28.31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-0.33104914933837437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28.4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-0.32892249527410211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28.41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-0.32868620037807184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28.61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-0.32396030245746699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28.79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-0.31970699432892247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28.79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-0.31970699432892247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29.73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-0.29749527410207943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29.73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-0.29749527410207943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29.09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-0.31261814744801508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29.47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-0.30363894139886582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29.58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-0.30103969754253312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29.4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-0.30529300567107753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28.99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-0.31498109640831762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28.4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-0.32892249527410211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28.7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-0.32183364839319473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28.32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-0.3308128544423441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28.15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-0.33482986767485823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28.09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-0.33624763705103966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28.28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-0.33175803402646498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28.31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-0.33104914933837437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28.43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-0.3282136105860114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28.33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-0.33057655954631382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27.47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-0.35089792060491498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27.47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-0.35089792060491498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27.48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-0.35066162570888471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27.02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-0.36153119092627606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27.08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-0.36011342155009451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27.29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-0.35515122873345939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26.93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-0.36365784499054821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26.57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-0.37216446124763702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27.5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-0.35018903591682415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27.56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-0.34877126654064272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27.57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-0.34853497164461245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27.56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-0.34877126654064272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27.66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-0.3464083175803403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26.97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-0.36271266540642721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27.11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-0.3594045368620038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27.51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-0.34995274102079388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27.62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-0.34735349716446118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27.59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-0.34806238185255201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27.67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-0.34617202268431002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27.55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-0.349007561436673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27.76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-0.34404536862003776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27.18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-0.35775047258979209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26.89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-0.3646030245746692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27.04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-0.36105860113421551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26.56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-0.3724007561436673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26.59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-0.37169187145557658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25.89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-0.38823251417769378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26.08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-0.38374291115311909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27.19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-0.35751417769376181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26.79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-0.36696597353497162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27.22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-0.3568052930056711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28.37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-0.32963137996219283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28.01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-0.33813799621928164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28.22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-0.33317580340264652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28.13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-0.33530245746691878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27.94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-0.33979206049149335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27.72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-0.34499054820415886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27.63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-0.34711720226843101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27.7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-0.3454631379962193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27.66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-0.3464083175803403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27.36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-0.35349716446124768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27.43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-0.35184310018903597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27.59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-0.34806238185255201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27.78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-0.34357277882797732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27.75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-0.34428166351606804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27.72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-0.34499054820415886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27.55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-0.349007561436673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27.22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-0.3568052930056711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26.65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-0.37027410207939515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26.66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-0.37003780718336488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26.58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-0.37192816635160686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26.78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-0.3672022684310019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26.32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-0.37807183364839314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26.34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-0.3775992438563327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25.86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-0.38894139886578449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25.91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-0.38775992438563323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25.69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-0.39295841209829863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25.42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-0.39933837429111529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25.39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-0.40004725897920601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26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-0.38563327032136108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26.26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-0.37948960302457468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26.32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-0.37807183364839314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26.27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-0.37925330812854441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25.26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-0.40311909262759926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25.4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-0.39981096408317585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25.64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-0.39413988657844989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25.62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-0.39461247637051033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27.18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-0.35775047258979209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27.7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-0.3454631379962193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27.81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-0.3428638941398866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28.16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-0.33459357277882795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27.77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-0.3438090737240076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28.27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-0.33199432892249525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28.18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-0.33412098298676751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28.01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-0.33813799621928164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28.44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-0.32797731568998112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28.38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-0.32939508506616255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28.82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-0.31899810964083175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28.92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-0.31663516068052922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28.64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-0.32325141776937616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28.53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-0.32585066162570886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28.56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-0.32514177693761814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29.6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-0.30056710775047257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28.69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-0.32206994328922489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28.88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-0.31758034026465032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28.3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-0.33128544423440454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27.82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-0.34262759924385633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28.2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-0.33364839319470696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28.66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-0.32277882797731572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29.31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-0.30741965973534979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29.49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-0.30316635160680538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29.55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-0.30174858223062384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28.8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-0.31947069943289219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28.58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-0.3246691871455577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28.07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-0.33672022684310021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28.03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-0.3376654064272212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27.66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-0.3464083175803403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27.65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-0.34664461247637057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27.53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-0.34948015122873344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26.98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-0.36247637051039694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27.41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-0.35231568998109641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27.74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-0.34451795841209831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27.74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-0.34451795841209831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28.36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-0.3298676748582231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27.99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-0.3386105860113422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27.42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-0.35207939508506614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27.8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-0.34310018903591677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27.98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-0.33884688090737236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28.22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-0.33317580340264652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27.83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-0.34239130434782616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27.7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-0.3454631379962193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28.05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-0.33719281663516065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27.93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-0.34002835538752363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27.72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-0.34499054820415886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28.35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-0.33010396975425327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28.66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-0.32277882797731572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28.92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-0.31663516068052922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29.1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-0.31238185255198481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29.5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-0.302930056710775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30.03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-0.29040642722117205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29.71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-0.29796786389413987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29.97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-0.29182419659735348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29.6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-0.30056710775047257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29.5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-0.302930056710775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29.98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-0.2915879017013232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30.18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-0.28686200378071836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30.77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-0.27292060491493386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30.72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-0.27410207939508513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31.39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-0.25827032136105854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30.54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-0.27835538752362954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30.65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-0.27575614366729684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30.43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-0.28095463137996224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29.74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-0.29725897920604916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29.32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-0.30718336483931952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28.85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-0.31828922495274103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28.76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-0.32041587901701318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28.55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-0.32537807183364842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28.45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-0.32774102079395084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28.85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-0.31828922495274103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28.88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-0.31758034026465032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28.71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-0.32159735349716445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28.3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-0.33128544423440454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28.8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-0.31947069943289219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28.9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-0.31710775047258988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29.03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-0.31403591682419663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28.78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-0.31994328922495274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28.9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-0.31710775047258988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28.92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-0.31663516068052922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28.82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-0.31899810964083175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28.75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-0.32065217391304346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28.72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-0.32136105860113429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29.01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-0.31450850661625707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28.3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-0.33128544423440454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28.39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-0.32915879017013228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28.51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-0.3263232514177693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28.56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-0.32514177693761814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29.41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-0.30505671077504726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29.74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-0.29725897920604916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29.66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-0.29914933837429114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29.16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-0.31096408317580337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29.27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-0.30836483931947067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30.07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-0.28946124763705106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29.83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-0.29513232514177701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29.75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-0.29702268431001888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29.66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-0.29914933837429114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29.42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-0.30482041587901698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29.31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-0.30741965973534979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29.5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-0.302930056710775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28.93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-0.31639886578449905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28.97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-0.31545368620037806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29.09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-0.31261814744801508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28.94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-0.31616257088846877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28.67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-0.32254253308128544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28.61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-0.32396030245746699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28.34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-0.33034026465028354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28.58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-0.3246691871455577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29.2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-0.31001890359168249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29.18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-0.31049149338374293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30.19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-0.28662570888468808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29.34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-0.30671077504725897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29.16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-0.31096408317580337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29.08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-0.31285444234404536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29.44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-0.30434782608695654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29.67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-0.29891304347826086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29.27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-0.30836483931947067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29.22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-0.30954631379962194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28.93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-0.31639886578449905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28.84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-0.31852551984877131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28.86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-0.31805293005671076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28.64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-0.32325141776937616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28.45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-0.32774102079395084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28.86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-0.31805293005671076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28.46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-0.32750472589792057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28.52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-0.32608695652173914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28.3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-0.33128544423440454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28.09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-0.33624763705103966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27.76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-0.34404536862003776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27.99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-0.3386105860113422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27.36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-0.35349716446124768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27.46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-0.35113421550094515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26.72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-0.36862003780718344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26.24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-0.37996219281663524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26.19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-0.38114366729678639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26.72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-0.36862003780718344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26.02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-0.38516068052930064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24.8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-0.4139886578449905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24.86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-0.41257088846880907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25.1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-0.40689981096408312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24.94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-0.41068052930056709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25.13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-0.40619092627599251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25.65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-0.39390359168241973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26.17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-0.38161625708884683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25.77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-0.39106805293005675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25.83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-0.38965028355387532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26.21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-0.38067107750472584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25.82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-0.38988657844990549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25.56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-0.39603024574669188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25.23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-0.40382797731568998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25.7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-0.39272211720226846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25.73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-0.39201323251417763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26.1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-0.38327032136105854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25.57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-0.3957939508506616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25.23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-0.40382797731568998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25.37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-0.40051984877126656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25.58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-0.39555765595463144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25.25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-0.40335538752362954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26.43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-0.37547258979206055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25.89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-0.38823251417769378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25.77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-0.39106805293005675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26.36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-0.37712665406427226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26.71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-0.36885633270321361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26.74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-0.36814744801512289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26.56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-0.3724007561436673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26.62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-0.37098298676748576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26.42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-0.37570888468809072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26.53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-0.37310964083175802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26.61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-0.37121928166351603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26.59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-0.37169187145557658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26.89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-0.3646030245746692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27.13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-0.35893194706994336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26.86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-0.36531190926275992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26.72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-0.36862003780718344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26.8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-0.36672967863894135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26.41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-0.37594517958412099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26.22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-0.38043478260869568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26.49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-0.37405482041587901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26.3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-0.37854442344045369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26.64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-0.37051039697542532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26.01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-0.3853969754253308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26.44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-0.37523629489603016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26.09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-0.38350661625708882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26.86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-0.36531190926275992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26.75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-0.36791115311909262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26.62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-0.37098298676748576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26.91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-0.36413043478260865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26.52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-0.37334593572778829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26.2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-0.38090737240075612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25.87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-0.38870510396975422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26.44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-0.37523629489603016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25.83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-0.38965028355387532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25.74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-0.39177693761814747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25.87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-0.38870510396975422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25.53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-0.39673913043478259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25.47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-0.39815689981096414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25.64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-0.39413988657844989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25.53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-0.39673913043478259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25.56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-0.39603024574669188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25.89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-0.38823251417769378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25.9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-0.3879962192816635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26.3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-0.37854442344045369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26.65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-0.37027410207939515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26.74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-0.36814744801512289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26.42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-0.37570888468809072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26.1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-0.38327032136105854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26.43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-0.37547258979206055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26.25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-0.37972589792060496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25.75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-0.39154064272211719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25.94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-0.38705103969754251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26.24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-0.37996219281663524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26.73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-0.36838374291115317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26.64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-0.37051039697542532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25.99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-0.38586956521739135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25.71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-0.39248582230623819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25.6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-0.39508506616257089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25.72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-0.39224952741020802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26.05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-0.38445179584120981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26.31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-0.37830812854442353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26.21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-0.38067107750472584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26.19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-0.38114366729678639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26.28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-0.37901701323251413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26.14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-0.38232514177693766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25.55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-0.39626654064272215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25.21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-0.40430056710775042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25.01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-0.40902646502835538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25.21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-0.40430056710775042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25.34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-0.40122873345935728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24.54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-0.42013232514177701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24.7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-0.41635160680529304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24.29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-0.42603969754253312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22.97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-0.45723062381852553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22.63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-0.4652646502835539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21.84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-0.48393194706994325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22.49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-0.46857277882797732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21.59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-0.48983931947069947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21.91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-0.48227788279773154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22.12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-0.47731568998109641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22.44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-0.46975425330812848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22.04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-0.4792060491493384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22.14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-0.47684310018903586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22.04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-0.4792060491493384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22.53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-0.46762759924385633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22.39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-0.47093572778827975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22.78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-0.46172022684310021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22.92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-0.45841209829867668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23.05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-0.45534026465028354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23.79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-0.43785444234404536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24.41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-0.42320415879017015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23.93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-0.43454631379962194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24.2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-0.42816635160680527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23.87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-0.43596408317580337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22.88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-0.45935727788279779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22.79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-0.46148393194706994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22.97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-0.45723062381852553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22.28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-0.47353497164461245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23.09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-0.45439508506616255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22.87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-0.45959357277882795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22.02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-0.47967863894139884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22.6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-0.46597353497164462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22.83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-0.46053875236294906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-0.45652173913043481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23.52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-0.44423440453686203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23.04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-0.45557655954631382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23.04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-0.45557655954631382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23.32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-0.44896030245746688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23.61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-0.44210775047258977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23.18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-0.4522684310018904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23.45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-0.44588846880907373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23.49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-0.44494328922495274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23.46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-0.44565217391304346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23.35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-0.44825141776937616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23.39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-0.44730623818525517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23.12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-0.45368620037807184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23.35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-0.44825141776937616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23.97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-0.43360113421550095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24.3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-0.42580340264650285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24.48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-0.42155009451795844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24.84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-0.41304347826086962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24.54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-0.42013232514177701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24.4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-0.42344045368620042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24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-0.43289224952741023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23.88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-0.43572778827977321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23.97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-0.43360113421550095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24.03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-0.43218336483931941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24.31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-0.42556710775047257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24.26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-0.42674858223062384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24.24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-0.42722117202268439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24.19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-0.42840264650283555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24.24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-0.42722117202268439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25.04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-0.40831758034026466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25.32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-0.40170132325141772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25.38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-0.40028355387523629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25.24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-0.40359168241965981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25.62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-0.39461247637051033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25.56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-0.39603024574669188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25.78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-0.39083175803402648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25.65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-0.39390359168241973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25.35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-0.400992438563327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24.61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-0.41847826086956519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24.61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-0.41847826086956519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24.58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-0.41918714555765602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24.47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-0.42178638941398872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24.26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-0.42674858223062384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25.14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-0.40595463137996224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25.36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-0.40075614366729684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25.35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-0.400992438563327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24.79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-0.41422495274102078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24.31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-0.42556710775047257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24.3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-0.42580340264650285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23.81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-0.43738185255198492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23.29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-0.4496691871455577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23.49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-0.44494328922495274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23.53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-0.44399810964083175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24.75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-0.41517013232514177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23.93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-0.43454631379962194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24.23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-0.42745746691871456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24.58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-0.41918714555765602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24.58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-0.41918714555765602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24.65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-0.41753308128544431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25.16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-0.40548204158790169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25.11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-0.40666351606805295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25.14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-0.40595463137996224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25.07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-0.40760869565217395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25.32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-0.40170132325141772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25.38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-0.40028355387523629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25.74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-0.39177693761814747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25.88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-0.38846880907372405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25.14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-0.40595463137996224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24.92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-0.41115311909262753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25.07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-0.40760869565217395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24.6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-0.41871455576559546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24.76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-0.4149338374291115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24.98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-0.4097353497164461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24.79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-0.41422495274102078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24.54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-0.42013232514177701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24.88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-0.41209829867674863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24.55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-0.41989603024574673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24.71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-0.41611531190926276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24.57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-0.41942344045368618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24.86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-0.41257088846880907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23.87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-0.43596408317580337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23.97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-0.43360113421550095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23.9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-0.43525519848771266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24.05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-0.43171077504725897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24.15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-0.42934782608695654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24.03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-0.43218336483931941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24.04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-0.43194706994328924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24.13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-0.42982041587901709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24.09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-0.43076559546313797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23.6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-0.44234404536862004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23.76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-0.43856332703213607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23.85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-0.43643667296786381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25.48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-0.39792060491493386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27.21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-0.35704158790170126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27.08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-0.36011342155009451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27.37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-0.35326086956521741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26.43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-0.37547258979206055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26.27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-0.37925330812854441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25.68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-0.3931947069943289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25.24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-0.40359168241965981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24.78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-0.41446124763705106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24.73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-0.41564272211720221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24.52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-0.42060491493383745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24.39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-0.42367674858223059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24.23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-0.42745746691871456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24.51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-0.42084120982986761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24.69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-0.4165879017013232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24.85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-0.41280718336483924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24.72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-0.4158790170132326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24.67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-0.41706049149338376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24.76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-0.4149338374291115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24.77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-0.41469754253308133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24.5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-0.42107750472589789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24.29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-0.42603969754253312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24.29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-0.42603969754253312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24.65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-0.41753308128544431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24.66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-0.41729678638941403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24.3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-0.42580340264650285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24.61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-0.41847826086956519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24.85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-0.41280718336483924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24.43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-0.4227315689981096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24.39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-0.42367674858223059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25.51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-0.39721172022684303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25.87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-0.38870510396975422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25.79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-0.3905954631379962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25.06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-0.40784499054820422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25.08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-0.40737240075614367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25.45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-0.39862948960302458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24.88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-0.41209829867674863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24.4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-0.42344045368620042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25.04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-0.40831758034026466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25.22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-0.40406427221172025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25.72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-0.39224952741020802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25.71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-0.39248582230623819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25.74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-0.39177693761814747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25.27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-0.40288279773156899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25.15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-0.40571833648393196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25.57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-0.3957939508506616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25.7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-0.39272211720226846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26.03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-0.38492438563327025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25.77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-0.39106805293005675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25.33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-0.40146502835538755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25.78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-0.39083175803402648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25.8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-0.39035916824196593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25.85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-0.38917769376181477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26.43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-0.37547258979206055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25.53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-0.39673913043478259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25.04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-0.40831758034026466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25.04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-0.40831758034026466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25.19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-0.40477315689981097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25.21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-0.40430056710775042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24.88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-0.41209829867674863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25.03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-0.40855387523629483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25.09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-0.4071361058601134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25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-0.40926275992438566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24.99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-0.40949905482041593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24.9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-0.41162570888468808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25.18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-0.40500945179584125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25.17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-0.40524574669187141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25.43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-0.39910207939508513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25.28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-0.40264650283553871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25.29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-0.40241020793950855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25.48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-0.39792060491493386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25.27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-0.40288279773156899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25.15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-0.40571833648393196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25.58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-0.39555765595463144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25.89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-0.38823251417769378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25.65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-0.39390359168241973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25.52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-0.39697542533081287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25.89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-0.38823251417769378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26.1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-0.38327032136105854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25.65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-0.39390359168241973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25.88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-0.38846880907372405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26.5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-0.37381852551984873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25.86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-0.38894139886578449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26.1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-0.38327032136105854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26.44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-0.37523629489603016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26.66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-0.37003780718336488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25.77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-0.39106805293005675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26.78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-0.3672022684310019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26.49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-0.37405482041587901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27.22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-0.3568052930056711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27.05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-0.36082230623818523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27.61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-0.34758979206049156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27.73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-0.34475425330812859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27.47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-0.35089792060491498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27.58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-0.34829867674858228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27.37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-0.35326086956521741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27.37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-0.35326086956521741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26.86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-0.36531190926275992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26.65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-0.37027410207939515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27.06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-0.36058601134215507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27.14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-0.35869565217391308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27.09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-0.35987712665406424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27.1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-0.35964083175803396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27.65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-0.34664461247637057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27.26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-0.35586011342155011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26.58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-0.37192816635160686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26.62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-0.37098298676748576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26.61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-0.37121928166351603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27.05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-0.36082230623818523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26.81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-0.36649338374291118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27.16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-0.35822306238185253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27.3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-0.35491493383742911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26.86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-0.36531190926275992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26.58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-0.37192816635160686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26.61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-0.37121928166351603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27.45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-0.35137051039697542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27.32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-0.35444234404536856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27.41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-0.35231568998109641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26.97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-0.36271266540642721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26.77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-0.36743856332703217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26.96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-0.36294896030245749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27.28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-0.35538752362948955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27.57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-0.34853497164461245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27.04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-0.36105860113421551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27.77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-0.3438090737240076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28.08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-0.33648393194706994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28.55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-0.32537807183364842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28.32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-0.3308128544423441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27.83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-0.34239130434782616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27.1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-0.35964083175803396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27.47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-0.35089792060491498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27.22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-0.3568052930056711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26.92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-0.36389413988657837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27.34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-0.35396975425330812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27.11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-0.3594045368620038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27.19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-0.35751417769376181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27.22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-0.3568052930056711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27.56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-0.34877126654064272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27.52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-0.34971644612476371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27.31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-0.35467863894139895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26.8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-0.36672967863894135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26.67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-0.3698015122873346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27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-0.3620037807183365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26.79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-0.36696597353497162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26.48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-0.37429111531190928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26.26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-0.37948960302457468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26.7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-0.36909262759924388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26.33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-0.37783553875236298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26.3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-0.37854442344045369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26.45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-0.375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26.53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-0.37310964083175802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26.48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-0.37429111531190928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25.68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-0.3931947069943289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25.81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-0.39012287334593576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25.87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-0.38870510396975422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25.96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-0.38657844990548207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25.75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-0.39154064272211719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25.33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-0.40146502835538755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25.33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-0.40146502835538755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25.66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-0.39366729678638945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25.79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-0.3905954631379962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25.95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-0.38681474480151234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25.9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-0.3879962192816635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25.85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-0.38917769376181477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26.21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-0.38067107750472584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26.14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-0.38232514177693766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26.18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-0.38137996219281667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25.63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-0.39437618147448017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25.55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-0.39626654064272215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25.34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-0.40122873345935728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25.69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-0.39295841209829863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26.04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-0.38468809073724008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25.62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-0.39461247637051033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25.7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-0.39272211720226846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25.6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-0.39508506616257089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26.17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-0.38161625708884683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26.21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-0.38067107750472584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26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-0.38563327032136108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26.04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-0.38468809073724008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25.92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-0.38752362948960295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25.21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-0.40430056710775042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25.08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-0.40737240075614367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24.72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-0.4158790170132326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24.04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-0.43194706994328924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23.67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-0.44068998109640833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24.29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-0.42603969754253312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24.37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-0.42414933837429114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24.08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-0.43100189035916825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23.88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-0.43572778827977321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24.32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-0.4253308128544423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23.72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-0.43950850661625707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24.07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-0.43123818525519853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24.05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-0.43171077504725897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24.25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-0.42698487712665412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24.17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-0.42887523629489599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24.48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-0.42155009451795844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24.25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-0.42698487712665412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24.82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-0.41351606805293006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25.14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-0.40595463137996224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25.05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-0.40808128544423439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24.75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-0.41517013232514177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24.94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-0.41068052930056709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24.82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-0.41351606805293006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25.01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-0.40902646502835538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24.54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-0.42013232514177701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24.67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-0.41706049149338376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25.25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-0.40335538752362954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25.15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-0.40571833648393196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24.91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-0.4113894139886578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25.01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-0.40902646502835538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25.03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-0.40855387523629483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25.41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-0.39957466918714557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25.81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-0.39012287334593576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26.2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-0.38090737240075612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26.76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-0.36767485822306234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27.05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-0.36082230623818523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26.62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-0.37098298676748576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26.31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-0.37830812854442353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26.8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-0.36672967863894135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26.79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-0.36696597353497162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26.87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-0.36507561436672964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27.25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-0.35609640831758038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28.24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-0.33270321361058608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27.79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-0.34333648393194705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28.07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-0.33672022684310021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27.97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-0.33908317580340264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28.57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-0.32490548204158787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28.3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-0.33128544423440454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28.02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-0.33790170132325148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27.96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-0.33931947069943291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28.46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-0.32750472589792057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28.55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-0.32537807183364842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29.02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-0.3142722117202269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28.81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-0.31923440453686203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28.45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-0.32774102079395084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27.79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-0.34333648393194705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27.78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-0.34357277882797732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27.65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-0.34664461247637057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27.72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-0.34499054820415886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27.72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-0.34499054820415886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27.55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-0.349007561436673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27.46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-0.35113421550094515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27.64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-0.34688090737240074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27.66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-0.3464083175803403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27.74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-0.34451795841209831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27.93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-0.34002835538752363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28.18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-0.33412098298676751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28.41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-0.32868620037807184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28.67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-0.32254253308128544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28.72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-0.32136105860113429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28.72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-0.32136105860113429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28.52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-0.32608695652173914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28.12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-0.33553875236294894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27.8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-0.34310018903591677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2026-10-05T16:26:23Z</dcterms:created>
  <dcterms:modified xsi:type="dcterms:W3CDTF">2026-10-05T18:21:37Z</dcterms:modified>
</cp:coreProperties>
</file>