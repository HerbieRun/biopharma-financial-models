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0D19459-2DDB-4C9E-B167-41D044FBC602}" xr6:coauthVersionLast="47" xr6:coauthVersionMax="47" xr10:uidLastSave="{00000000-0000-0000-0000-000000000000}"/>
  <bookViews>
    <workbookView xWindow="37395" yWindow="435" windowWidth="27555" windowHeight="14520" xr2:uid="{BE49160B-E83F-4CF8-99C5-62AE9D87D1B4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Data'!$O$5:$O$1258,MIN('Stock Price'!$I$9,1254)):INDEX('Peer Data'!$O$5:$O$1258,MAX('Stock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Data'!$R$5:$R$1258,MIN('Stock Price'!$I$9,1254)):INDEX('Peer Data'!$R$5:$R$1258,MAX('Stock Price'!$I$10,1))</definedName>
    <definedName name="PeerPct_SNY">INDEX('Peer Data'!$S$5:$S$1258,MIN('Stock Price'!$I$9,1254)):INDEX('Peer Data'!$S$5:$S$1258,MAX('Stock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10" i="2"/>
  <c r="Z42" i="2"/>
  <c r="Z74" i="2"/>
  <c r="Z106" i="2"/>
  <c r="Z138" i="2"/>
  <c r="Z170" i="2"/>
  <c r="Z202" i="2"/>
  <c r="Z234" i="2"/>
  <c r="Z266" i="2"/>
  <c r="Z298" i="2"/>
  <c r="Z330" i="2"/>
  <c r="Z362" i="2"/>
  <c r="Z394" i="2"/>
  <c r="Z426" i="2"/>
  <c r="Z458" i="2"/>
  <c r="Z490" i="2"/>
  <c r="Z522" i="2"/>
  <c r="Z554" i="2"/>
  <c r="Z586" i="2"/>
  <c r="Z618" i="2"/>
  <c r="Z642" i="2"/>
  <c r="Z660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11" i="2"/>
  <c r="Z43" i="2"/>
  <c r="Z75" i="2"/>
  <c r="Z107" i="2"/>
  <c r="Z139" i="2"/>
  <c r="Z171" i="2"/>
  <c r="Z203" i="2"/>
  <c r="Z235" i="2"/>
  <c r="Z267" i="2"/>
  <c r="Z299" i="2"/>
  <c r="Z331" i="2"/>
  <c r="Z363" i="2"/>
  <c r="Z395" i="2"/>
  <c r="Z427" i="2"/>
  <c r="Z459" i="2"/>
  <c r="Z491" i="2"/>
  <c r="Z523" i="2"/>
  <c r="Z555" i="2"/>
  <c r="Z587" i="2"/>
  <c r="Z619" i="2"/>
  <c r="Z643" i="2"/>
  <c r="Z666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18" i="2"/>
  <c r="Z50" i="2"/>
  <c r="Z82" i="2"/>
  <c r="Z114" i="2"/>
  <c r="Z146" i="2"/>
  <c r="Z178" i="2"/>
  <c r="Z210" i="2"/>
  <c r="Z242" i="2"/>
  <c r="Z274" i="2"/>
  <c r="Z306" i="2"/>
  <c r="Z338" i="2"/>
  <c r="Z370" i="2"/>
  <c r="Z402" i="2"/>
  <c r="Z434" i="2"/>
  <c r="Z466" i="2"/>
  <c r="Z498" i="2"/>
  <c r="Z530" i="2"/>
  <c r="Z562" i="2"/>
  <c r="Z594" i="2"/>
  <c r="Z626" i="2"/>
  <c r="Z644" i="2"/>
  <c r="Z667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9" i="2"/>
  <c r="Z51" i="2"/>
  <c r="Z83" i="2"/>
  <c r="Z115" i="2"/>
  <c r="Z147" i="2"/>
  <c r="Z179" i="2"/>
  <c r="Z211" i="2"/>
  <c r="Z243" i="2"/>
  <c r="Z275" i="2"/>
  <c r="Z307" i="2"/>
  <c r="Z339" i="2"/>
  <c r="Z371" i="2"/>
  <c r="Z403" i="2"/>
  <c r="Z435" i="2"/>
  <c r="Z467" i="2"/>
  <c r="Z499" i="2"/>
  <c r="Z531" i="2"/>
  <c r="Z563" i="2"/>
  <c r="Z595" i="2"/>
  <c r="Z627" i="2"/>
  <c r="Z650" i="2"/>
  <c r="Z668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26" i="2"/>
  <c r="Z58" i="2"/>
  <c r="Z90" i="2"/>
  <c r="Z122" i="2"/>
  <c r="Z154" i="2"/>
  <c r="Z186" i="2"/>
  <c r="Z218" i="2"/>
  <c r="Z250" i="2"/>
  <c r="Z282" i="2"/>
  <c r="Z314" i="2"/>
  <c r="Z346" i="2"/>
  <c r="Z378" i="2"/>
  <c r="Z410" i="2"/>
  <c r="Z442" i="2"/>
  <c r="Z474" i="2"/>
  <c r="Z506" i="2"/>
  <c r="Z538" i="2"/>
  <c r="Z570" i="2"/>
  <c r="Z602" i="2"/>
  <c r="Z628" i="2"/>
  <c r="Z651" i="2"/>
  <c r="Z674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35" i="2"/>
  <c r="Z67" i="2"/>
  <c r="Z99" i="2"/>
  <c r="Z131" i="2"/>
  <c r="Z163" i="2"/>
  <c r="Z195" i="2"/>
  <c r="Z227" i="2"/>
  <c r="Z259" i="2"/>
  <c r="Z291" i="2"/>
  <c r="Z323" i="2"/>
  <c r="Z355" i="2"/>
  <c r="Z387" i="2"/>
  <c r="Z419" i="2"/>
  <c r="Z451" i="2"/>
  <c r="Z483" i="2"/>
  <c r="Z515" i="2"/>
  <c r="Z547" i="2"/>
  <c r="Z579" i="2"/>
  <c r="Z611" i="2"/>
  <c r="Z636" i="2"/>
  <c r="Z659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1106" i="2"/>
  <c r="Z1114" i="2"/>
  <c r="Z1122" i="2"/>
  <c r="Z1130" i="2"/>
  <c r="Z1138" i="2"/>
  <c r="Z1146" i="2"/>
  <c r="Z1154" i="2"/>
  <c r="Z1162" i="2"/>
  <c r="Z1170" i="2"/>
  <c r="Z1178" i="2"/>
  <c r="Z1186" i="2"/>
  <c r="Z27" i="2"/>
  <c r="Z155" i="2"/>
  <c r="Z283" i="2"/>
  <c r="Z411" i="2"/>
  <c r="Z539" i="2"/>
  <c r="Z652" i="2"/>
  <c r="Z704" i="2"/>
  <c r="Z736" i="2"/>
  <c r="Z768" i="2"/>
  <c r="Z800" i="2"/>
  <c r="Z832" i="2"/>
  <c r="Z864" i="2"/>
  <c r="Z896" i="2"/>
  <c r="Z928" i="2"/>
  <c r="Z960" i="2"/>
  <c r="Z992" i="2"/>
  <c r="Z1024" i="2"/>
  <c r="Z1056" i="2"/>
  <c r="Z1088" i="2"/>
  <c r="Z1120" i="2"/>
  <c r="Z1152" i="2"/>
  <c r="Z1184" i="2"/>
  <c r="Z1208" i="2"/>
  <c r="Z1226" i="2"/>
  <c r="Z1248" i="2"/>
  <c r="Z1112" i="2"/>
  <c r="Z34" i="2"/>
  <c r="Z162" i="2"/>
  <c r="Z290" i="2"/>
  <c r="Z418" i="2"/>
  <c r="Z546" i="2"/>
  <c r="Z658" i="2"/>
  <c r="Z705" i="2"/>
  <c r="Z737" i="2"/>
  <c r="Z769" i="2"/>
  <c r="Z801" i="2"/>
  <c r="Z833" i="2"/>
  <c r="Z865" i="2"/>
  <c r="Z897" i="2"/>
  <c r="Z929" i="2"/>
  <c r="Z961" i="2"/>
  <c r="Z993" i="2"/>
  <c r="Z1025" i="2"/>
  <c r="Z1057" i="2"/>
  <c r="Z1089" i="2"/>
  <c r="Z1121" i="2"/>
  <c r="Z1153" i="2"/>
  <c r="Z1185" i="2"/>
  <c r="Z1209" i="2"/>
  <c r="Z1232" i="2"/>
  <c r="Z1249" i="2"/>
  <c r="Z354" i="2"/>
  <c r="Z482" i="2"/>
  <c r="Z689" i="2"/>
  <c r="Z817" i="2"/>
  <c r="Z881" i="2"/>
  <c r="Z977" i="2"/>
  <c r="Z1041" i="2"/>
  <c r="Z1105" i="2"/>
  <c r="Z1200" i="2"/>
  <c r="Z1257" i="2"/>
  <c r="Z123" i="2"/>
  <c r="Z634" i="2"/>
  <c r="Z696" i="2"/>
  <c r="Z728" i="2"/>
  <c r="Z760" i="2"/>
  <c r="Z792" i="2"/>
  <c r="Z824" i="2"/>
  <c r="Z856" i="2"/>
  <c r="Z888" i="2"/>
  <c r="Z920" i="2"/>
  <c r="Z952" i="2"/>
  <c r="Z984" i="2"/>
  <c r="Z1016" i="2"/>
  <c r="Z1080" i="2"/>
  <c r="Z1144" i="2"/>
  <c r="Z1176" i="2"/>
  <c r="Z1201" i="2"/>
  <c r="Z1242" i="2"/>
  <c r="Z1258" i="2"/>
  <c r="V60" i="1" s="1"/>
  <c r="AC16" i="2" s="1"/>
  <c r="Z59" i="2"/>
  <c r="Z187" i="2"/>
  <c r="Z315" i="2"/>
  <c r="Z443" i="2"/>
  <c r="Z571" i="2"/>
  <c r="Z675" i="2"/>
  <c r="Z712" i="2"/>
  <c r="Z744" i="2"/>
  <c r="Z776" i="2"/>
  <c r="Z808" i="2"/>
  <c r="Z840" i="2"/>
  <c r="Z872" i="2"/>
  <c r="Z904" i="2"/>
  <c r="Z936" i="2"/>
  <c r="Z968" i="2"/>
  <c r="Z1000" i="2"/>
  <c r="Z1032" i="2"/>
  <c r="Z1064" i="2"/>
  <c r="Z1096" i="2"/>
  <c r="Z1128" i="2"/>
  <c r="Z1160" i="2"/>
  <c r="Z1192" i="2"/>
  <c r="Z1210" i="2"/>
  <c r="Z1233" i="2"/>
  <c r="Z1250" i="2"/>
  <c r="Z226" i="2"/>
  <c r="Z610" i="2"/>
  <c r="Z721" i="2"/>
  <c r="Z753" i="2"/>
  <c r="Z785" i="2"/>
  <c r="Z849" i="2"/>
  <c r="Z913" i="2"/>
  <c r="Z1009" i="2"/>
  <c r="Z1073" i="2"/>
  <c r="Z1169" i="2"/>
  <c r="Z1241" i="2"/>
  <c r="Z251" i="2"/>
  <c r="Z66" i="2"/>
  <c r="Z194" i="2"/>
  <c r="Z322" i="2"/>
  <c r="Z450" i="2"/>
  <c r="Z578" i="2"/>
  <c r="Z676" i="2"/>
  <c r="Z713" i="2"/>
  <c r="Z745" i="2"/>
  <c r="Z777" i="2"/>
  <c r="Z809" i="2"/>
  <c r="Z841" i="2"/>
  <c r="Z873" i="2"/>
  <c r="Z905" i="2"/>
  <c r="Z937" i="2"/>
  <c r="Z969" i="2"/>
  <c r="Z1001" i="2"/>
  <c r="Z1033" i="2"/>
  <c r="Z1065" i="2"/>
  <c r="Z1097" i="2"/>
  <c r="Z1129" i="2"/>
  <c r="Z1161" i="2"/>
  <c r="Z1193" i="2"/>
  <c r="Z1216" i="2"/>
  <c r="Z1234" i="2"/>
  <c r="Z1255" i="2"/>
  <c r="Z98" i="2"/>
  <c r="Z945" i="2"/>
  <c r="Z1218" i="2"/>
  <c r="Z379" i="2"/>
  <c r="Z1048" i="2"/>
  <c r="Z1224" i="2"/>
  <c r="Z91" i="2"/>
  <c r="Z219" i="2"/>
  <c r="Z347" i="2"/>
  <c r="Z475" i="2"/>
  <c r="Z603" i="2"/>
  <c r="Z688" i="2"/>
  <c r="Z720" i="2"/>
  <c r="Z752" i="2"/>
  <c r="Z784" i="2"/>
  <c r="Z816" i="2"/>
  <c r="Z848" i="2"/>
  <c r="Z880" i="2"/>
  <c r="Z912" i="2"/>
  <c r="Z944" i="2"/>
  <c r="Z976" i="2"/>
  <c r="Z1008" i="2"/>
  <c r="Z1040" i="2"/>
  <c r="Z1072" i="2"/>
  <c r="Z1104" i="2"/>
  <c r="Z1136" i="2"/>
  <c r="Z1168" i="2"/>
  <c r="Z1194" i="2"/>
  <c r="Z1217" i="2"/>
  <c r="Z1240" i="2"/>
  <c r="Z1256" i="2"/>
  <c r="Z130" i="2"/>
  <c r="Z258" i="2"/>
  <c r="Z386" i="2"/>
  <c r="Z514" i="2"/>
  <c r="Z635" i="2"/>
  <c r="Z697" i="2"/>
  <c r="Z729" i="2"/>
  <c r="Z761" i="2"/>
  <c r="Z793" i="2"/>
  <c r="Z825" i="2"/>
  <c r="Z857" i="2"/>
  <c r="Z889" i="2"/>
  <c r="Z921" i="2"/>
  <c r="Z953" i="2"/>
  <c r="Z985" i="2"/>
  <c r="Z1017" i="2"/>
  <c r="Z1049" i="2"/>
  <c r="Z1081" i="2"/>
  <c r="Z1113" i="2"/>
  <c r="Z1145" i="2"/>
  <c r="Z1177" i="2"/>
  <c r="Z1202" i="2"/>
  <c r="Z1225" i="2"/>
  <c r="Z1247" i="2"/>
  <c r="Z1137" i="2"/>
  <c r="Z507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9" i="2"/>
  <c r="Y41" i="2"/>
  <c r="Y73" i="2"/>
  <c r="Y105" i="2"/>
  <c r="Y137" i="2"/>
  <c r="Y169" i="2"/>
  <c r="Y201" i="2"/>
  <c r="Y233" i="2"/>
  <c r="Y265" i="2"/>
  <c r="Y297" i="2"/>
  <c r="Y329" i="2"/>
  <c r="Y361" i="2"/>
  <c r="Y393" i="2"/>
  <c r="Y425" i="2"/>
  <c r="Y457" i="2"/>
  <c r="Y484" i="2"/>
  <c r="Y507" i="2"/>
  <c r="Y529" i="2"/>
  <c r="Y548" i="2"/>
  <c r="Y570" i="2"/>
  <c r="Y586" i="2"/>
  <c r="Y602" i="2"/>
  <c r="Y618" i="2"/>
  <c r="Y634" i="2"/>
  <c r="Y650" i="2"/>
  <c r="Y666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2" i="2"/>
  <c r="Y44" i="2"/>
  <c r="Y76" i="2"/>
  <c r="Y108" i="2"/>
  <c r="Y140" i="2"/>
  <c r="Y172" i="2"/>
  <c r="Y204" i="2"/>
  <c r="Y236" i="2"/>
  <c r="Y268" i="2"/>
  <c r="Y300" i="2"/>
  <c r="Y332" i="2"/>
  <c r="Y364" i="2"/>
  <c r="Y396" i="2"/>
  <c r="Y428" i="2"/>
  <c r="Y460" i="2"/>
  <c r="Y489" i="2"/>
  <c r="Y508" i="2"/>
  <c r="Y531" i="2"/>
  <c r="Y553" i="2"/>
  <c r="Y571" i="2"/>
  <c r="Y587" i="2"/>
  <c r="Y603" i="2"/>
  <c r="Y619" i="2"/>
  <c r="Y635" i="2"/>
  <c r="Y651" i="2"/>
  <c r="Y667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7" i="2"/>
  <c r="Y49" i="2"/>
  <c r="Y81" i="2"/>
  <c r="Y113" i="2"/>
  <c r="Y145" i="2"/>
  <c r="Y177" i="2"/>
  <c r="Y209" i="2"/>
  <c r="Y241" i="2"/>
  <c r="Y273" i="2"/>
  <c r="Y305" i="2"/>
  <c r="Y337" i="2"/>
  <c r="Y369" i="2"/>
  <c r="Y401" i="2"/>
  <c r="Y433" i="2"/>
  <c r="Y465" i="2"/>
  <c r="Y491" i="2"/>
  <c r="Y513" i="2"/>
  <c r="Y532" i="2"/>
  <c r="Y555" i="2"/>
  <c r="Y572" i="2"/>
  <c r="Y588" i="2"/>
  <c r="Y604" i="2"/>
  <c r="Y620" i="2"/>
  <c r="Y636" i="2"/>
  <c r="Y652" i="2"/>
  <c r="Y668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20" i="2"/>
  <c r="Y52" i="2"/>
  <c r="Y84" i="2"/>
  <c r="Y116" i="2"/>
  <c r="Y148" i="2"/>
  <c r="Y180" i="2"/>
  <c r="Y212" i="2"/>
  <c r="Y244" i="2"/>
  <c r="Y276" i="2"/>
  <c r="Y308" i="2"/>
  <c r="Y340" i="2"/>
  <c r="Y372" i="2"/>
  <c r="Y404" i="2"/>
  <c r="Y436" i="2"/>
  <c r="Y468" i="2"/>
  <c r="Y492" i="2"/>
  <c r="Y515" i="2"/>
  <c r="Y537" i="2"/>
  <c r="Y556" i="2"/>
  <c r="Y577" i="2"/>
  <c r="Y593" i="2"/>
  <c r="Y609" i="2"/>
  <c r="Y625" i="2"/>
  <c r="Y641" i="2"/>
  <c r="Y657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25" i="2"/>
  <c r="Y57" i="2"/>
  <c r="Y89" i="2"/>
  <c r="Y121" i="2"/>
  <c r="Y153" i="2"/>
  <c r="Y185" i="2"/>
  <c r="Y217" i="2"/>
  <c r="Y249" i="2"/>
  <c r="Y281" i="2"/>
  <c r="Y313" i="2"/>
  <c r="Y345" i="2"/>
  <c r="Y377" i="2"/>
  <c r="Y409" i="2"/>
  <c r="Y441" i="2"/>
  <c r="Y473" i="2"/>
  <c r="Y497" i="2"/>
  <c r="Y516" i="2"/>
  <c r="Y539" i="2"/>
  <c r="Y561" i="2"/>
  <c r="Y578" i="2"/>
  <c r="Y594" i="2"/>
  <c r="Y610" i="2"/>
  <c r="Y626" i="2"/>
  <c r="Y642" i="2"/>
  <c r="Y658" i="2"/>
  <c r="Y674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28" i="2"/>
  <c r="Y60" i="2"/>
  <c r="Y92" i="2"/>
  <c r="Y124" i="2"/>
  <c r="Y156" i="2"/>
  <c r="Y188" i="2"/>
  <c r="Y220" i="2"/>
  <c r="Y252" i="2"/>
  <c r="Y284" i="2"/>
  <c r="Y316" i="2"/>
  <c r="Y348" i="2"/>
  <c r="Y380" i="2"/>
  <c r="Y412" i="2"/>
  <c r="Y444" i="2"/>
  <c r="Y476" i="2"/>
  <c r="Y499" i="2"/>
  <c r="Y521" i="2"/>
  <c r="Y540" i="2"/>
  <c r="Y563" i="2"/>
  <c r="Y579" i="2"/>
  <c r="Y595" i="2"/>
  <c r="Y611" i="2"/>
  <c r="Y627" i="2"/>
  <c r="Y643" i="2"/>
  <c r="Y659" i="2"/>
  <c r="Y675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33" i="2"/>
  <c r="Y161" i="2"/>
  <c r="Y289" i="2"/>
  <c r="Y417" i="2"/>
  <c r="Y523" i="2"/>
  <c r="Y596" i="2"/>
  <c r="Y660" i="2"/>
  <c r="Y704" i="2"/>
  <c r="Y736" i="2"/>
  <c r="Y768" i="2"/>
  <c r="Y800" i="2"/>
  <c r="Y832" i="2"/>
  <c r="Y864" i="2"/>
  <c r="Y896" i="2"/>
  <c r="Y928" i="2"/>
  <c r="Y960" i="2"/>
  <c r="Y985" i="2"/>
  <c r="Y1008" i="2"/>
  <c r="Y1030" i="2"/>
  <c r="Y1049" i="2"/>
  <c r="Y1065" i="2"/>
  <c r="Y1081" i="2"/>
  <c r="Y1097" i="2"/>
  <c r="Y1113" i="2"/>
  <c r="Y1129" i="2"/>
  <c r="Y1145" i="2"/>
  <c r="Y1160" i="2"/>
  <c r="Y1171" i="2"/>
  <c r="Y1182" i="2"/>
  <c r="Y1192" i="2"/>
  <c r="Y1203" i="2"/>
  <c r="Y1214" i="2"/>
  <c r="Y1224" i="2"/>
  <c r="Y1235" i="2"/>
  <c r="Y1246" i="2"/>
  <c r="Y1256" i="2"/>
  <c r="Y644" i="2"/>
  <c r="Y649" i="2"/>
  <c r="Y36" i="2"/>
  <c r="Y164" i="2"/>
  <c r="Y292" i="2"/>
  <c r="Y420" i="2"/>
  <c r="Y524" i="2"/>
  <c r="Y601" i="2"/>
  <c r="Y665" i="2"/>
  <c r="Y705" i="2"/>
  <c r="Y737" i="2"/>
  <c r="Y769" i="2"/>
  <c r="Y801" i="2"/>
  <c r="Y833" i="2"/>
  <c r="Y865" i="2"/>
  <c r="Y897" i="2"/>
  <c r="Y929" i="2"/>
  <c r="Y961" i="2"/>
  <c r="Y990" i="2"/>
  <c r="Y1009" i="2"/>
  <c r="Y1032" i="2"/>
  <c r="Y1054" i="2"/>
  <c r="Y1070" i="2"/>
  <c r="Y1086" i="2"/>
  <c r="Y1102" i="2"/>
  <c r="Y1118" i="2"/>
  <c r="Y1134" i="2"/>
  <c r="Y1150" i="2"/>
  <c r="Y1161" i="2"/>
  <c r="Y1173" i="2"/>
  <c r="Y1183" i="2"/>
  <c r="Y1193" i="2"/>
  <c r="Y1205" i="2"/>
  <c r="Y1215" i="2"/>
  <c r="Y1225" i="2"/>
  <c r="Y1237" i="2"/>
  <c r="Y1247" i="2"/>
  <c r="Y1257" i="2"/>
  <c r="Y580" i="2"/>
  <c r="Y920" i="2"/>
  <c r="Y1095" i="2"/>
  <c r="Y1179" i="2"/>
  <c r="Y1232" i="2"/>
  <c r="Y260" i="2"/>
  <c r="Y761" i="2"/>
  <c r="Y889" i="2"/>
  <c r="Y1006" i="2"/>
  <c r="Y1080" i="2"/>
  <c r="Y1128" i="2"/>
  <c r="Y1181" i="2"/>
  <c r="Y1213" i="2"/>
  <c r="Y1255" i="2"/>
  <c r="Y65" i="2"/>
  <c r="Y193" i="2"/>
  <c r="Y321" i="2"/>
  <c r="Y449" i="2"/>
  <c r="Y545" i="2"/>
  <c r="Y612" i="2"/>
  <c r="Y676" i="2"/>
  <c r="Y712" i="2"/>
  <c r="Y744" i="2"/>
  <c r="Y776" i="2"/>
  <c r="Y808" i="2"/>
  <c r="Y840" i="2"/>
  <c r="Y872" i="2"/>
  <c r="Y904" i="2"/>
  <c r="Y936" i="2"/>
  <c r="Y968" i="2"/>
  <c r="Y992" i="2"/>
  <c r="Y1014" i="2"/>
  <c r="Y1033" i="2"/>
  <c r="Y1055" i="2"/>
  <c r="Y1071" i="2"/>
  <c r="Y1087" i="2"/>
  <c r="Y1103" i="2"/>
  <c r="Y1119" i="2"/>
  <c r="Y1135" i="2"/>
  <c r="Y1151" i="2"/>
  <c r="Y1163" i="2"/>
  <c r="Y1174" i="2"/>
  <c r="Y1184" i="2"/>
  <c r="Y1195" i="2"/>
  <c r="Y1206" i="2"/>
  <c r="Y1216" i="2"/>
  <c r="Y1227" i="2"/>
  <c r="Y1238" i="2"/>
  <c r="Y1248" i="2"/>
  <c r="Y500" i="2"/>
  <c r="Y585" i="2"/>
  <c r="Y68" i="2"/>
  <c r="Y196" i="2"/>
  <c r="Y324" i="2"/>
  <c r="Y452" i="2"/>
  <c r="Y547" i="2"/>
  <c r="Y617" i="2"/>
  <c r="Y681" i="2"/>
  <c r="Y713" i="2"/>
  <c r="Y745" i="2"/>
  <c r="Y777" i="2"/>
  <c r="Y809" i="2"/>
  <c r="Y841" i="2"/>
  <c r="Y873" i="2"/>
  <c r="Y905" i="2"/>
  <c r="Y937" i="2"/>
  <c r="Y969" i="2"/>
  <c r="Y993" i="2"/>
  <c r="Y1016" i="2"/>
  <c r="Y1038" i="2"/>
  <c r="Y1056" i="2"/>
  <c r="Y1072" i="2"/>
  <c r="Y1088" i="2"/>
  <c r="Y1104" i="2"/>
  <c r="Y1120" i="2"/>
  <c r="Y1136" i="2"/>
  <c r="Y1152" i="2"/>
  <c r="Y1165" i="2"/>
  <c r="Y1175" i="2"/>
  <c r="Y1185" i="2"/>
  <c r="Y1197" i="2"/>
  <c r="Y1207" i="2"/>
  <c r="Y1217" i="2"/>
  <c r="Y1229" i="2"/>
  <c r="Y1239" i="2"/>
  <c r="Y1249" i="2"/>
  <c r="Y257" i="2"/>
  <c r="Y696" i="2"/>
  <c r="Y760" i="2"/>
  <c r="Y824" i="2"/>
  <c r="Y888" i="2"/>
  <c r="Y982" i="2"/>
  <c r="Y1046" i="2"/>
  <c r="Y1079" i="2"/>
  <c r="Y1143" i="2"/>
  <c r="Y1168" i="2"/>
  <c r="Y1211" i="2"/>
  <c r="Y1243" i="2"/>
  <c r="Y388" i="2"/>
  <c r="Y697" i="2"/>
  <c r="Y857" i="2"/>
  <c r="Y984" i="2"/>
  <c r="Y1064" i="2"/>
  <c r="Y1144" i="2"/>
  <c r="Y1191" i="2"/>
  <c r="Y1245" i="2"/>
  <c r="Y97" i="2"/>
  <c r="Y225" i="2"/>
  <c r="Y353" i="2"/>
  <c r="Y481" i="2"/>
  <c r="Y564" i="2"/>
  <c r="Y628" i="2"/>
  <c r="Y688" i="2"/>
  <c r="Y720" i="2"/>
  <c r="Y752" i="2"/>
  <c r="Y784" i="2"/>
  <c r="Y816" i="2"/>
  <c r="Y848" i="2"/>
  <c r="Y880" i="2"/>
  <c r="Y912" i="2"/>
  <c r="Y944" i="2"/>
  <c r="Y976" i="2"/>
  <c r="Y998" i="2"/>
  <c r="Y1017" i="2"/>
  <c r="Y1040" i="2"/>
  <c r="Y1057" i="2"/>
  <c r="Y1073" i="2"/>
  <c r="Y1089" i="2"/>
  <c r="Y1105" i="2"/>
  <c r="Y1121" i="2"/>
  <c r="Y1137" i="2"/>
  <c r="Y1153" i="2"/>
  <c r="Y1166" i="2"/>
  <c r="Y1176" i="2"/>
  <c r="Y1187" i="2"/>
  <c r="Y1198" i="2"/>
  <c r="Y1208" i="2"/>
  <c r="Y1219" i="2"/>
  <c r="Y1230" i="2"/>
  <c r="Y1240" i="2"/>
  <c r="Y1251" i="2"/>
  <c r="Y129" i="2"/>
  <c r="Y728" i="2"/>
  <c r="Y792" i="2"/>
  <c r="Y856" i="2"/>
  <c r="Y952" i="2"/>
  <c r="Y1024" i="2"/>
  <c r="Y1063" i="2"/>
  <c r="Y1111" i="2"/>
  <c r="Y1158" i="2"/>
  <c r="Y1190" i="2"/>
  <c r="Y1222" i="2"/>
  <c r="Y132" i="2"/>
  <c r="Y793" i="2"/>
  <c r="Y921" i="2"/>
  <c r="Y1048" i="2"/>
  <c r="Y1112" i="2"/>
  <c r="Y1169" i="2"/>
  <c r="Y1223" i="2"/>
  <c r="Y100" i="2"/>
  <c r="Y228" i="2"/>
  <c r="Y356" i="2"/>
  <c r="Y483" i="2"/>
  <c r="Y569" i="2"/>
  <c r="Y633" i="2"/>
  <c r="Y689" i="2"/>
  <c r="Y721" i="2"/>
  <c r="Y753" i="2"/>
  <c r="Y785" i="2"/>
  <c r="Y817" i="2"/>
  <c r="Y849" i="2"/>
  <c r="Y881" i="2"/>
  <c r="Y913" i="2"/>
  <c r="Y945" i="2"/>
  <c r="Y977" i="2"/>
  <c r="Y1000" i="2"/>
  <c r="Y1022" i="2"/>
  <c r="Y1041" i="2"/>
  <c r="Y1062" i="2"/>
  <c r="Y1078" i="2"/>
  <c r="Y1094" i="2"/>
  <c r="Y1110" i="2"/>
  <c r="Y1126" i="2"/>
  <c r="Y1142" i="2"/>
  <c r="Y1157" i="2"/>
  <c r="Y1167" i="2"/>
  <c r="Y1177" i="2"/>
  <c r="Y1189" i="2"/>
  <c r="Y1199" i="2"/>
  <c r="Y1209" i="2"/>
  <c r="Y1221" i="2"/>
  <c r="Y1231" i="2"/>
  <c r="Y1241" i="2"/>
  <c r="Y1253" i="2"/>
  <c r="Y385" i="2"/>
  <c r="Y1001" i="2"/>
  <c r="Y1127" i="2"/>
  <c r="Y1200" i="2"/>
  <c r="Y1254" i="2"/>
  <c r="Y505" i="2"/>
  <c r="Y729" i="2"/>
  <c r="Y825" i="2"/>
  <c r="Y953" i="2"/>
  <c r="Y1025" i="2"/>
  <c r="Y1096" i="2"/>
  <c r="Y1159" i="2"/>
  <c r="Y1201" i="2"/>
  <c r="Y1233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11" i="2"/>
  <c r="X43" i="2"/>
  <c r="X75" i="2"/>
  <c r="X107" i="2"/>
  <c r="X139" i="2"/>
  <c r="X171" i="2"/>
  <c r="X203" i="2"/>
  <c r="X235" i="2"/>
  <c r="X267" i="2"/>
  <c r="X299" i="2"/>
  <c r="X331" i="2"/>
  <c r="X363" i="2"/>
  <c r="X395" i="2"/>
  <c r="X427" i="2"/>
  <c r="X459" i="2"/>
  <c r="X484" i="2"/>
  <c r="X507" i="2"/>
  <c r="X530" i="2"/>
  <c r="X548" i="2"/>
  <c r="X571" i="2"/>
  <c r="X594" i="2"/>
  <c r="X612" i="2"/>
  <c r="X627" i="2"/>
  <c r="X638" i="2"/>
  <c r="X647" i="2"/>
  <c r="X656" i="2"/>
  <c r="X665" i="2"/>
  <c r="X674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2" i="2"/>
  <c r="X44" i="2"/>
  <c r="X76" i="2"/>
  <c r="X108" i="2"/>
  <c r="X140" i="2"/>
  <c r="X172" i="2"/>
  <c r="X204" i="2"/>
  <c r="X236" i="2"/>
  <c r="X268" i="2"/>
  <c r="X300" i="2"/>
  <c r="X332" i="2"/>
  <c r="X364" i="2"/>
  <c r="X396" i="2"/>
  <c r="X428" i="2"/>
  <c r="X460" i="2"/>
  <c r="X490" i="2"/>
  <c r="X508" i="2"/>
  <c r="X531" i="2"/>
  <c r="X554" i="2"/>
  <c r="X572" i="2"/>
  <c r="X595" i="2"/>
  <c r="X617" i="2"/>
  <c r="X628" i="2"/>
  <c r="X639" i="2"/>
  <c r="X648" i="2"/>
  <c r="X657" i="2"/>
  <c r="X666" i="2"/>
  <c r="X675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9" i="2"/>
  <c r="X51" i="2"/>
  <c r="X83" i="2"/>
  <c r="X115" i="2"/>
  <c r="X147" i="2"/>
  <c r="X179" i="2"/>
  <c r="X211" i="2"/>
  <c r="X243" i="2"/>
  <c r="X275" i="2"/>
  <c r="X307" i="2"/>
  <c r="X339" i="2"/>
  <c r="X371" i="2"/>
  <c r="X403" i="2"/>
  <c r="X435" i="2"/>
  <c r="X467" i="2"/>
  <c r="X491" i="2"/>
  <c r="X514" i="2"/>
  <c r="X532" i="2"/>
  <c r="X555" i="2"/>
  <c r="X578" i="2"/>
  <c r="X596" i="2"/>
  <c r="X618" i="2"/>
  <c r="X631" i="2"/>
  <c r="X640" i="2"/>
  <c r="X649" i="2"/>
  <c r="X658" i="2"/>
  <c r="X667" i="2"/>
  <c r="X676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20" i="2"/>
  <c r="X52" i="2"/>
  <c r="X84" i="2"/>
  <c r="X116" i="2"/>
  <c r="X148" i="2"/>
  <c r="X180" i="2"/>
  <c r="X212" i="2"/>
  <c r="X244" i="2"/>
  <c r="X276" i="2"/>
  <c r="X308" i="2"/>
  <c r="X340" i="2"/>
  <c r="X372" i="2"/>
  <c r="X404" i="2"/>
  <c r="X436" i="2"/>
  <c r="X468" i="2"/>
  <c r="X492" i="2"/>
  <c r="X515" i="2"/>
  <c r="X538" i="2"/>
  <c r="X556" i="2"/>
  <c r="X579" i="2"/>
  <c r="X602" i="2"/>
  <c r="X619" i="2"/>
  <c r="X632" i="2"/>
  <c r="X641" i="2"/>
  <c r="X650" i="2"/>
  <c r="X659" i="2"/>
  <c r="X668" i="2"/>
  <c r="X67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27" i="2"/>
  <c r="X59" i="2"/>
  <c r="X91" i="2"/>
  <c r="X123" i="2"/>
  <c r="X155" i="2"/>
  <c r="X187" i="2"/>
  <c r="X219" i="2"/>
  <c r="X251" i="2"/>
  <c r="X283" i="2"/>
  <c r="X315" i="2"/>
  <c r="X347" i="2"/>
  <c r="X379" i="2"/>
  <c r="X411" i="2"/>
  <c r="X443" i="2"/>
  <c r="X475" i="2"/>
  <c r="X498" i="2"/>
  <c r="X516" i="2"/>
  <c r="X539" i="2"/>
  <c r="X562" i="2"/>
  <c r="X580" i="2"/>
  <c r="X603" i="2"/>
  <c r="X620" i="2"/>
  <c r="X633" i="2"/>
  <c r="X642" i="2"/>
  <c r="X651" i="2"/>
  <c r="X660" i="2"/>
  <c r="X670" i="2"/>
  <c r="X679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28" i="2"/>
  <c r="X60" i="2"/>
  <c r="X92" i="2"/>
  <c r="X124" i="2"/>
  <c r="X156" i="2"/>
  <c r="X188" i="2"/>
  <c r="X220" i="2"/>
  <c r="X252" i="2"/>
  <c r="X284" i="2"/>
  <c r="X316" i="2"/>
  <c r="X348" i="2"/>
  <c r="X380" i="2"/>
  <c r="X412" i="2"/>
  <c r="X444" i="2"/>
  <c r="X476" i="2"/>
  <c r="X499" i="2"/>
  <c r="X522" i="2"/>
  <c r="X540" i="2"/>
  <c r="X563" i="2"/>
  <c r="X586" i="2"/>
  <c r="X604" i="2"/>
  <c r="X624" i="2"/>
  <c r="X634" i="2"/>
  <c r="X643" i="2"/>
  <c r="X652" i="2"/>
  <c r="X662" i="2"/>
  <c r="X671" i="2"/>
  <c r="X680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35" i="2"/>
  <c r="X163" i="2"/>
  <c r="X291" i="2"/>
  <c r="X419" i="2"/>
  <c r="X523" i="2"/>
  <c r="X610" i="2"/>
  <c r="X654" i="2"/>
  <c r="X689" i="2"/>
  <c r="X721" i="2"/>
  <c r="X753" i="2"/>
  <c r="X785" i="2"/>
  <c r="X817" i="2"/>
  <c r="X849" i="2"/>
  <c r="X881" i="2"/>
  <c r="X913" i="2"/>
  <c r="X945" i="2"/>
  <c r="X968" i="2"/>
  <c r="X986" i="2"/>
  <c r="X1007" i="2"/>
  <c r="X1023" i="2"/>
  <c r="X1039" i="2"/>
  <c r="X1055" i="2"/>
  <c r="X1071" i="2"/>
  <c r="X1087" i="2"/>
  <c r="X1098" i="2"/>
  <c r="X1112" i="2"/>
  <c r="X1126" i="2"/>
  <c r="X1137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644" i="2"/>
  <c r="X1192" i="2"/>
  <c r="X506" i="2"/>
  <c r="X1257" i="2"/>
  <c r="X36" i="2"/>
  <c r="X164" i="2"/>
  <c r="X292" i="2"/>
  <c r="X420" i="2"/>
  <c r="X524" i="2"/>
  <c r="X611" i="2"/>
  <c r="X655" i="2"/>
  <c r="X690" i="2"/>
  <c r="X722" i="2"/>
  <c r="X754" i="2"/>
  <c r="X786" i="2"/>
  <c r="X818" i="2"/>
  <c r="X850" i="2"/>
  <c r="X882" i="2"/>
  <c r="X914" i="2"/>
  <c r="X946" i="2"/>
  <c r="X969" i="2"/>
  <c r="X992" i="2"/>
  <c r="X1008" i="2"/>
  <c r="X1024" i="2"/>
  <c r="X1040" i="2"/>
  <c r="X1056" i="2"/>
  <c r="X1072" i="2"/>
  <c r="X1088" i="2"/>
  <c r="X1102" i="2"/>
  <c r="X1113" i="2"/>
  <c r="X1127" i="2"/>
  <c r="X1138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87" i="2"/>
  <c r="X984" i="2"/>
  <c r="X1096" i="2"/>
  <c r="X1160" i="2"/>
  <c r="X1200" i="2"/>
  <c r="X1232" i="2"/>
  <c r="X132" i="2"/>
  <c r="X1066" i="2"/>
  <c r="X1169" i="2"/>
  <c r="X1209" i="2"/>
  <c r="X1241" i="2"/>
  <c r="X67" i="2"/>
  <c r="X195" i="2"/>
  <c r="X323" i="2"/>
  <c r="X451" i="2"/>
  <c r="X546" i="2"/>
  <c r="X625" i="2"/>
  <c r="X663" i="2"/>
  <c r="X697" i="2"/>
  <c r="X729" i="2"/>
  <c r="X761" i="2"/>
  <c r="X793" i="2"/>
  <c r="X825" i="2"/>
  <c r="X857" i="2"/>
  <c r="X889" i="2"/>
  <c r="X921" i="2"/>
  <c r="X952" i="2"/>
  <c r="X970" i="2"/>
  <c r="X993" i="2"/>
  <c r="X1009" i="2"/>
  <c r="X1025" i="2"/>
  <c r="X1041" i="2"/>
  <c r="X1057" i="2"/>
  <c r="X1073" i="2"/>
  <c r="X1089" i="2"/>
  <c r="X1103" i="2"/>
  <c r="X1114" i="2"/>
  <c r="X1128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500" i="2"/>
  <c r="X1017" i="2"/>
  <c r="X1110" i="2"/>
  <c r="X1168" i="2"/>
  <c r="X1208" i="2"/>
  <c r="X1240" i="2"/>
  <c r="X68" i="2"/>
  <c r="X196" i="2"/>
  <c r="X324" i="2"/>
  <c r="X452" i="2"/>
  <c r="X547" i="2"/>
  <c r="X626" i="2"/>
  <c r="X664" i="2"/>
  <c r="X698" i="2"/>
  <c r="X730" i="2"/>
  <c r="X762" i="2"/>
  <c r="X794" i="2"/>
  <c r="X826" i="2"/>
  <c r="X858" i="2"/>
  <c r="X890" i="2"/>
  <c r="X922" i="2"/>
  <c r="X953" i="2"/>
  <c r="X976" i="2"/>
  <c r="X994" i="2"/>
  <c r="X1010" i="2"/>
  <c r="X1026" i="2"/>
  <c r="X1042" i="2"/>
  <c r="X1058" i="2"/>
  <c r="X1074" i="2"/>
  <c r="X1090" i="2"/>
  <c r="X1104" i="2"/>
  <c r="X1118" i="2"/>
  <c r="X1129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387" i="2"/>
  <c r="X1248" i="2"/>
  <c r="X588" i="2"/>
  <c r="X99" i="2"/>
  <c r="X227" i="2"/>
  <c r="X355" i="2"/>
  <c r="X482" i="2"/>
  <c r="X564" i="2"/>
  <c r="X635" i="2"/>
  <c r="X672" i="2"/>
  <c r="X705" i="2"/>
  <c r="X737" i="2"/>
  <c r="X769" i="2"/>
  <c r="X801" i="2"/>
  <c r="X833" i="2"/>
  <c r="X865" i="2"/>
  <c r="X897" i="2"/>
  <c r="X929" i="2"/>
  <c r="X954" i="2"/>
  <c r="X977" i="2"/>
  <c r="X999" i="2"/>
  <c r="X1015" i="2"/>
  <c r="X1031" i="2"/>
  <c r="X1047" i="2"/>
  <c r="X1063" i="2"/>
  <c r="X1079" i="2"/>
  <c r="X1094" i="2"/>
  <c r="X1105" i="2"/>
  <c r="X1119" i="2"/>
  <c r="X1130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259" i="2"/>
  <c r="X713" i="2"/>
  <c r="X777" i="2"/>
  <c r="X841" i="2"/>
  <c r="X905" i="2"/>
  <c r="X961" i="2"/>
  <c r="X1033" i="2"/>
  <c r="X1065" i="2"/>
  <c r="X1121" i="2"/>
  <c r="X1152" i="2"/>
  <c r="X1184" i="2"/>
  <c r="X1224" i="2"/>
  <c r="X260" i="2"/>
  <c r="X682" i="2"/>
  <c r="X746" i="2"/>
  <c r="X810" i="2"/>
  <c r="X874" i="2"/>
  <c r="X938" i="2"/>
  <c r="X985" i="2"/>
  <c r="X1018" i="2"/>
  <c r="X1050" i="2"/>
  <c r="X1097" i="2"/>
  <c r="X1122" i="2"/>
  <c r="X1145" i="2"/>
  <c r="X1153" i="2"/>
  <c r="X1185" i="2"/>
  <c r="X1201" i="2"/>
  <c r="X1225" i="2"/>
  <c r="X1249" i="2"/>
  <c r="X100" i="2"/>
  <c r="X228" i="2"/>
  <c r="X356" i="2"/>
  <c r="X483" i="2"/>
  <c r="X570" i="2"/>
  <c r="X636" i="2"/>
  <c r="X673" i="2"/>
  <c r="X706" i="2"/>
  <c r="X738" i="2"/>
  <c r="X770" i="2"/>
  <c r="X802" i="2"/>
  <c r="X834" i="2"/>
  <c r="X866" i="2"/>
  <c r="X898" i="2"/>
  <c r="X930" i="2"/>
  <c r="X960" i="2"/>
  <c r="X978" i="2"/>
  <c r="X1000" i="2"/>
  <c r="X1016" i="2"/>
  <c r="X1032" i="2"/>
  <c r="X1048" i="2"/>
  <c r="X1064" i="2"/>
  <c r="X1080" i="2"/>
  <c r="X1095" i="2"/>
  <c r="X1106" i="2"/>
  <c r="X1120" i="2"/>
  <c r="X1134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31" i="2"/>
  <c r="X681" i="2"/>
  <c r="X745" i="2"/>
  <c r="X809" i="2"/>
  <c r="X873" i="2"/>
  <c r="X937" i="2"/>
  <c r="X1001" i="2"/>
  <c r="X1049" i="2"/>
  <c r="X1081" i="2"/>
  <c r="X1135" i="2"/>
  <c r="X1144" i="2"/>
  <c r="X1176" i="2"/>
  <c r="X1216" i="2"/>
  <c r="X1256" i="2"/>
  <c r="X388" i="2"/>
  <c r="X646" i="2"/>
  <c r="X714" i="2"/>
  <c r="X778" i="2"/>
  <c r="X842" i="2"/>
  <c r="X906" i="2"/>
  <c r="X962" i="2"/>
  <c r="X1002" i="2"/>
  <c r="X1034" i="2"/>
  <c r="X1082" i="2"/>
  <c r="X1111" i="2"/>
  <c r="X1136" i="2"/>
  <c r="X1161" i="2"/>
  <c r="X1177" i="2"/>
  <c r="X1193" i="2"/>
  <c r="X1217" i="2"/>
  <c r="X1233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9" i="2"/>
  <c r="W28" i="2"/>
  <c r="W51" i="2"/>
  <c r="W73" i="2"/>
  <c r="W92" i="2"/>
  <c r="W115" i="2"/>
  <c r="W137" i="2"/>
  <c r="W156" i="2"/>
  <c r="W179" i="2"/>
  <c r="W201" i="2"/>
  <c r="W220" i="2"/>
  <c r="W243" i="2"/>
  <c r="W265" i="2"/>
  <c r="W284" i="2"/>
  <c r="W307" i="2"/>
  <c r="W329" i="2"/>
  <c r="W348" i="2"/>
  <c r="W371" i="2"/>
  <c r="W393" i="2"/>
  <c r="W412" i="2"/>
  <c r="W435" i="2"/>
  <c r="W457" i="2"/>
  <c r="W476" i="2"/>
  <c r="W499" i="2"/>
  <c r="W521" i="2"/>
  <c r="W540" i="2"/>
  <c r="W563" i="2"/>
  <c r="W585" i="2"/>
  <c r="W604" i="2"/>
  <c r="W627" i="2"/>
  <c r="W649" i="2"/>
  <c r="W66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41" i="2"/>
  <c r="W595" i="2"/>
  <c r="W714" i="2"/>
  <c r="W770" i="2"/>
  <c r="W794" i="2"/>
  <c r="W810" i="2"/>
  <c r="W818" i="2"/>
  <c r="W842" i="2"/>
  <c r="W866" i="2"/>
  <c r="W898" i="2"/>
  <c r="W938" i="2"/>
  <c r="W986" i="2"/>
  <c r="W1002" i="2"/>
  <c r="W1018" i="2"/>
  <c r="W1034" i="2"/>
  <c r="W1050" i="2"/>
  <c r="W1058" i="2"/>
  <c r="W1066" i="2"/>
  <c r="W1074" i="2"/>
  <c r="W1090" i="2"/>
  <c r="W1106" i="2"/>
  <c r="W1122" i="2"/>
  <c r="W1130" i="2"/>
  <c r="W1138" i="2"/>
  <c r="W1162" i="2"/>
  <c r="W1178" i="2"/>
  <c r="W1194" i="2"/>
  <c r="W1202" i="2"/>
  <c r="W1218" i="2"/>
  <c r="W1234" i="2"/>
  <c r="W1258" i="2"/>
  <c r="V57" i="1" s="1"/>
  <c r="AC13" i="2" s="1"/>
  <c r="W43" i="2"/>
  <c r="W107" i="2"/>
  <c r="W129" i="2"/>
  <c r="W171" i="2"/>
  <c r="W235" i="2"/>
  <c r="W257" i="2"/>
  <c r="W299" i="2"/>
  <c r="W340" i="2"/>
  <c r="W404" i="2"/>
  <c r="W449" i="2"/>
  <c r="W513" i="2"/>
  <c r="W577" i="2"/>
  <c r="W596" i="2"/>
  <c r="W660" i="2"/>
  <c r="W691" i="2"/>
  <c r="W707" i="2"/>
  <c r="W731" i="2"/>
  <c r="W747" i="2"/>
  <c r="W771" i="2"/>
  <c r="W795" i="2"/>
  <c r="W11" i="2"/>
  <c r="W33" i="2"/>
  <c r="W52" i="2"/>
  <c r="W75" i="2"/>
  <c r="W97" i="2"/>
  <c r="W116" i="2"/>
  <c r="W139" i="2"/>
  <c r="W161" i="2"/>
  <c r="W180" i="2"/>
  <c r="W203" i="2"/>
  <c r="W225" i="2"/>
  <c r="W244" i="2"/>
  <c r="W267" i="2"/>
  <c r="W289" i="2"/>
  <c r="W308" i="2"/>
  <c r="W331" i="2"/>
  <c r="W353" i="2"/>
  <c r="W372" i="2"/>
  <c r="W395" i="2"/>
  <c r="W417" i="2"/>
  <c r="W436" i="2"/>
  <c r="W459" i="2"/>
  <c r="W481" i="2"/>
  <c r="W500" i="2"/>
  <c r="W523" i="2"/>
  <c r="W545" i="2"/>
  <c r="W564" i="2"/>
  <c r="W587" i="2"/>
  <c r="W609" i="2"/>
  <c r="W628" i="2"/>
  <c r="W651" i="2"/>
  <c r="W673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60" i="2"/>
  <c r="W403" i="2"/>
  <c r="W531" i="2"/>
  <c r="W636" i="2"/>
  <c r="W681" i="2"/>
  <c r="W698" i="2"/>
  <c r="W722" i="2"/>
  <c r="W738" i="2"/>
  <c r="W762" i="2"/>
  <c r="W786" i="2"/>
  <c r="W826" i="2"/>
  <c r="W850" i="2"/>
  <c r="W882" i="2"/>
  <c r="W946" i="2"/>
  <c r="W994" i="2"/>
  <c r="W1026" i="2"/>
  <c r="W1082" i="2"/>
  <c r="W1114" i="2"/>
  <c r="W1170" i="2"/>
  <c r="W1210" i="2"/>
  <c r="W1242" i="2"/>
  <c r="W65" i="2"/>
  <c r="W276" i="2"/>
  <c r="W385" i="2"/>
  <c r="W468" i="2"/>
  <c r="W532" i="2"/>
  <c r="W641" i="2"/>
  <c r="W699" i="2"/>
  <c r="W723" i="2"/>
  <c r="W755" i="2"/>
  <c r="W779" i="2"/>
  <c r="W811" i="2"/>
  <c r="W12" i="2"/>
  <c r="W35" i="2"/>
  <c r="W57" i="2"/>
  <c r="W76" i="2"/>
  <c r="W99" i="2"/>
  <c r="W121" i="2"/>
  <c r="W140" i="2"/>
  <c r="W163" i="2"/>
  <c r="W185" i="2"/>
  <c r="W204" i="2"/>
  <c r="W227" i="2"/>
  <c r="W249" i="2"/>
  <c r="W268" i="2"/>
  <c r="W291" i="2"/>
  <c r="W313" i="2"/>
  <c r="W332" i="2"/>
  <c r="W355" i="2"/>
  <c r="W377" i="2"/>
  <c r="W396" i="2"/>
  <c r="W419" i="2"/>
  <c r="W441" i="2"/>
  <c r="W460" i="2"/>
  <c r="W483" i="2"/>
  <c r="W505" i="2"/>
  <c r="W524" i="2"/>
  <c r="W547" i="2"/>
  <c r="W569" i="2"/>
  <c r="W588" i="2"/>
  <c r="W611" i="2"/>
  <c r="W633" i="2"/>
  <c r="W652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17" i="2"/>
  <c r="W36" i="2"/>
  <c r="W59" i="2"/>
  <c r="W81" i="2"/>
  <c r="W100" i="2"/>
  <c r="W123" i="2"/>
  <c r="W145" i="2"/>
  <c r="W164" i="2"/>
  <c r="W187" i="2"/>
  <c r="W209" i="2"/>
  <c r="W228" i="2"/>
  <c r="W251" i="2"/>
  <c r="W273" i="2"/>
  <c r="W292" i="2"/>
  <c r="W315" i="2"/>
  <c r="W337" i="2"/>
  <c r="W356" i="2"/>
  <c r="W379" i="2"/>
  <c r="W401" i="2"/>
  <c r="W420" i="2"/>
  <c r="W443" i="2"/>
  <c r="W465" i="2"/>
  <c r="W484" i="2"/>
  <c r="W507" i="2"/>
  <c r="W529" i="2"/>
  <c r="W548" i="2"/>
  <c r="W571" i="2"/>
  <c r="W593" i="2"/>
  <c r="W612" i="2"/>
  <c r="W635" i="2"/>
  <c r="W657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19" i="2"/>
  <c r="W83" i="2"/>
  <c r="W105" i="2"/>
  <c r="W124" i="2"/>
  <c r="W147" i="2"/>
  <c r="W169" i="2"/>
  <c r="W188" i="2"/>
  <c r="W211" i="2"/>
  <c r="W233" i="2"/>
  <c r="W252" i="2"/>
  <c r="W275" i="2"/>
  <c r="W297" i="2"/>
  <c r="W316" i="2"/>
  <c r="W339" i="2"/>
  <c r="W361" i="2"/>
  <c r="W380" i="2"/>
  <c r="W425" i="2"/>
  <c r="W444" i="2"/>
  <c r="W467" i="2"/>
  <c r="W489" i="2"/>
  <c r="W508" i="2"/>
  <c r="W553" i="2"/>
  <c r="W572" i="2"/>
  <c r="W617" i="2"/>
  <c r="W659" i="2"/>
  <c r="W690" i="2"/>
  <c r="W706" i="2"/>
  <c r="W730" i="2"/>
  <c r="W746" i="2"/>
  <c r="W754" i="2"/>
  <c r="W778" i="2"/>
  <c r="W802" i="2"/>
  <c r="W834" i="2"/>
  <c r="W858" i="2"/>
  <c r="W874" i="2"/>
  <c r="W890" i="2"/>
  <c r="W906" i="2"/>
  <c r="W914" i="2"/>
  <c r="W922" i="2"/>
  <c r="W930" i="2"/>
  <c r="W954" i="2"/>
  <c r="W962" i="2"/>
  <c r="W970" i="2"/>
  <c r="W978" i="2"/>
  <c r="W1010" i="2"/>
  <c r="W1042" i="2"/>
  <c r="W1098" i="2"/>
  <c r="W1154" i="2"/>
  <c r="W1186" i="2"/>
  <c r="W1226" i="2"/>
  <c r="W1250" i="2"/>
  <c r="W20" i="2"/>
  <c r="W148" i="2"/>
  <c r="W193" i="2"/>
  <c r="W212" i="2"/>
  <c r="W321" i="2"/>
  <c r="W363" i="2"/>
  <c r="W427" i="2"/>
  <c r="W491" i="2"/>
  <c r="W555" i="2"/>
  <c r="W619" i="2"/>
  <c r="W683" i="2"/>
  <c r="W715" i="2"/>
  <c r="W739" i="2"/>
  <c r="W763" i="2"/>
  <c r="W787" i="2"/>
  <c r="W1146" i="2"/>
  <c r="W25" i="2"/>
  <c r="W91" i="2"/>
  <c r="W177" i="2"/>
  <c r="W260" i="2"/>
  <c r="W347" i="2"/>
  <c r="W433" i="2"/>
  <c r="W516" i="2"/>
  <c r="W603" i="2"/>
  <c r="W685" i="2"/>
  <c r="W717" i="2"/>
  <c r="W749" i="2"/>
  <c r="W781" i="2"/>
  <c r="W812" i="2"/>
  <c r="W835" i="2"/>
  <c r="W853" i="2"/>
  <c r="W876" i="2"/>
  <c r="W899" i="2"/>
  <c r="W917" i="2"/>
  <c r="W940" i="2"/>
  <c r="W963" i="2"/>
  <c r="W981" i="2"/>
  <c r="W1004" i="2"/>
  <c r="W1027" i="2"/>
  <c r="W1045" i="2"/>
  <c r="W1068" i="2"/>
  <c r="W1091" i="2"/>
  <c r="W1109" i="2"/>
  <c r="W1132" i="2"/>
  <c r="W1155" i="2"/>
  <c r="W1173" i="2"/>
  <c r="W1196" i="2"/>
  <c r="W1219" i="2"/>
  <c r="W1237" i="2"/>
  <c r="W219" i="2"/>
  <c r="W475" i="2"/>
  <c r="W644" i="2"/>
  <c r="W733" i="2"/>
  <c r="W821" i="2"/>
  <c r="W867" i="2"/>
  <c r="W908" i="2"/>
  <c r="W949" i="2"/>
  <c r="W1013" i="2"/>
  <c r="W1059" i="2"/>
  <c r="W1100" i="2"/>
  <c r="W1187" i="2"/>
  <c r="W1228" i="2"/>
  <c r="W68" i="2"/>
  <c r="W492" i="2"/>
  <c r="W665" i="2"/>
  <c r="W740" i="2"/>
  <c r="W803" i="2"/>
  <c r="W845" i="2"/>
  <c r="W868" i="2"/>
  <c r="W909" i="2"/>
  <c r="W955" i="2"/>
  <c r="W996" i="2"/>
  <c r="W1037" i="2"/>
  <c r="W1083" i="2"/>
  <c r="W1147" i="2"/>
  <c r="W1211" i="2"/>
  <c r="W1252" i="2"/>
  <c r="W155" i="2"/>
  <c r="W411" i="2"/>
  <c r="W580" i="2"/>
  <c r="W709" i="2"/>
  <c r="W741" i="2"/>
  <c r="W804" i="2"/>
  <c r="W828" i="2"/>
  <c r="W851" i="2"/>
  <c r="W892" i="2"/>
  <c r="W933" i="2"/>
  <c r="W979" i="2"/>
  <c r="W1043" i="2"/>
  <c r="W1061" i="2"/>
  <c r="W1125" i="2"/>
  <c r="W1189" i="2"/>
  <c r="W172" i="2"/>
  <c r="W428" i="2"/>
  <c r="W601" i="2"/>
  <c r="W716" i="2"/>
  <c r="W780" i="2"/>
  <c r="W829" i="2"/>
  <c r="W875" i="2"/>
  <c r="W916" i="2"/>
  <c r="W957" i="2"/>
  <c r="W1003" i="2"/>
  <c r="W1044" i="2"/>
  <c r="W1085" i="2"/>
  <c r="W1108" i="2"/>
  <c r="W1195" i="2"/>
  <c r="W27" i="2"/>
  <c r="W108" i="2"/>
  <c r="W195" i="2"/>
  <c r="W281" i="2"/>
  <c r="W364" i="2"/>
  <c r="W451" i="2"/>
  <c r="W537" i="2"/>
  <c r="W620" i="2"/>
  <c r="W692" i="2"/>
  <c r="W724" i="2"/>
  <c r="W756" i="2"/>
  <c r="W788" i="2"/>
  <c r="W813" i="2"/>
  <c r="W836" i="2"/>
  <c r="W859" i="2"/>
  <c r="W877" i="2"/>
  <c r="W900" i="2"/>
  <c r="W923" i="2"/>
  <c r="W941" i="2"/>
  <c r="W964" i="2"/>
  <c r="W987" i="2"/>
  <c r="W1005" i="2"/>
  <c r="W1028" i="2"/>
  <c r="W1051" i="2"/>
  <c r="W1069" i="2"/>
  <c r="W1092" i="2"/>
  <c r="W1115" i="2"/>
  <c r="W1133" i="2"/>
  <c r="W1156" i="2"/>
  <c r="W1179" i="2"/>
  <c r="W1197" i="2"/>
  <c r="W1220" i="2"/>
  <c r="W1243" i="2"/>
  <c r="W305" i="2"/>
  <c r="W995" i="2"/>
  <c r="W1164" i="2"/>
  <c r="W236" i="2"/>
  <c r="W1188" i="2"/>
  <c r="W324" i="2"/>
  <c r="W345" i="2"/>
  <c r="W1236" i="2"/>
  <c r="W44" i="2"/>
  <c r="W113" i="2"/>
  <c r="W196" i="2"/>
  <c r="W283" i="2"/>
  <c r="W369" i="2"/>
  <c r="W452" i="2"/>
  <c r="W539" i="2"/>
  <c r="W625" i="2"/>
  <c r="W693" i="2"/>
  <c r="W725" i="2"/>
  <c r="W757" i="2"/>
  <c r="W789" i="2"/>
  <c r="W819" i="2"/>
  <c r="W837" i="2"/>
  <c r="W860" i="2"/>
  <c r="W883" i="2"/>
  <c r="W901" i="2"/>
  <c r="W924" i="2"/>
  <c r="W947" i="2"/>
  <c r="W965" i="2"/>
  <c r="W988" i="2"/>
  <c r="W1011" i="2"/>
  <c r="W1029" i="2"/>
  <c r="W1052" i="2"/>
  <c r="W1075" i="2"/>
  <c r="W1093" i="2"/>
  <c r="W1116" i="2"/>
  <c r="W1139" i="2"/>
  <c r="W1157" i="2"/>
  <c r="W1180" i="2"/>
  <c r="W1203" i="2"/>
  <c r="W1221" i="2"/>
  <c r="W1244" i="2"/>
  <c r="W132" i="2"/>
  <c r="W388" i="2"/>
  <c r="W561" i="2"/>
  <c r="W701" i="2"/>
  <c r="W765" i="2"/>
  <c r="W797" i="2"/>
  <c r="W844" i="2"/>
  <c r="W885" i="2"/>
  <c r="W931" i="2"/>
  <c r="W1036" i="2"/>
  <c r="W1077" i="2"/>
  <c r="W1141" i="2"/>
  <c r="W1205" i="2"/>
  <c r="W1251" i="2"/>
  <c r="W153" i="2"/>
  <c r="W409" i="2"/>
  <c r="W579" i="2"/>
  <c r="W708" i="2"/>
  <c r="W772" i="2"/>
  <c r="W827" i="2"/>
  <c r="W891" i="2"/>
  <c r="W932" i="2"/>
  <c r="W973" i="2"/>
  <c r="W1019" i="2"/>
  <c r="W1060" i="2"/>
  <c r="W1101" i="2"/>
  <c r="W1165" i="2"/>
  <c r="W1229" i="2"/>
  <c r="W84" i="2"/>
  <c r="W497" i="2"/>
  <c r="W667" i="2"/>
  <c r="W773" i="2"/>
  <c r="W869" i="2"/>
  <c r="W915" i="2"/>
  <c r="W956" i="2"/>
  <c r="W997" i="2"/>
  <c r="W1020" i="2"/>
  <c r="W1107" i="2"/>
  <c r="W1148" i="2"/>
  <c r="W1171" i="2"/>
  <c r="W1212" i="2"/>
  <c r="W1235" i="2"/>
  <c r="W1253" i="2"/>
  <c r="W89" i="2"/>
  <c r="W515" i="2"/>
  <c r="W684" i="2"/>
  <c r="W748" i="2"/>
  <c r="W805" i="2"/>
  <c r="W852" i="2"/>
  <c r="W893" i="2"/>
  <c r="W939" i="2"/>
  <c r="W980" i="2"/>
  <c r="W1021" i="2"/>
  <c r="W1067" i="2"/>
  <c r="W1131" i="2"/>
  <c r="W1172" i="2"/>
  <c r="W1213" i="2"/>
  <c r="W49" i="2"/>
  <c r="W131" i="2"/>
  <c r="W217" i="2"/>
  <c r="W300" i="2"/>
  <c r="W387" i="2"/>
  <c r="W473" i="2"/>
  <c r="W556" i="2"/>
  <c r="W643" i="2"/>
  <c r="W700" i="2"/>
  <c r="W732" i="2"/>
  <c r="W764" i="2"/>
  <c r="W796" i="2"/>
  <c r="W820" i="2"/>
  <c r="W843" i="2"/>
  <c r="W861" i="2"/>
  <c r="W884" i="2"/>
  <c r="W907" i="2"/>
  <c r="W925" i="2"/>
  <c r="W948" i="2"/>
  <c r="W971" i="2"/>
  <c r="W989" i="2"/>
  <c r="W1012" i="2"/>
  <c r="W1035" i="2"/>
  <c r="W1053" i="2"/>
  <c r="W1076" i="2"/>
  <c r="W1099" i="2"/>
  <c r="W1117" i="2"/>
  <c r="W1140" i="2"/>
  <c r="W1163" i="2"/>
  <c r="W1181" i="2"/>
  <c r="W1204" i="2"/>
  <c r="W1227" i="2"/>
  <c r="W1245" i="2"/>
  <c r="W67" i="2"/>
  <c r="W972" i="2"/>
  <c r="W1123" i="2"/>
  <c r="W323" i="2"/>
  <c r="W1124" i="2"/>
  <c r="W241" i="2"/>
  <c r="W1084" i="2"/>
  <c r="W259" i="2"/>
  <c r="W1149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10" i="2"/>
  <c r="V42" i="2"/>
  <c r="V74" i="2"/>
  <c r="V106" i="2"/>
  <c r="V138" i="2"/>
  <c r="V170" i="2"/>
  <c r="V202" i="2"/>
  <c r="V234" i="2"/>
  <c r="V266" i="2"/>
  <c r="V298" i="2"/>
  <c r="V330" i="2"/>
  <c r="V362" i="2"/>
  <c r="V394" i="2"/>
  <c r="V426" i="2"/>
  <c r="V458" i="2"/>
  <c r="V490" i="2"/>
  <c r="V522" i="2"/>
  <c r="V554" i="2"/>
  <c r="V586" i="2"/>
  <c r="V611" i="2"/>
  <c r="V634" i="2"/>
  <c r="V652" i="2"/>
  <c r="V675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" i="2"/>
  <c r="V43" i="2"/>
  <c r="V75" i="2"/>
  <c r="V107" i="2"/>
  <c r="V139" i="2"/>
  <c r="V171" i="2"/>
  <c r="V203" i="2"/>
  <c r="V235" i="2"/>
  <c r="V267" i="2"/>
  <c r="V299" i="2"/>
  <c r="V331" i="2"/>
  <c r="V363" i="2"/>
  <c r="V395" i="2"/>
  <c r="V427" i="2"/>
  <c r="V459" i="2"/>
  <c r="V491" i="2"/>
  <c r="V523" i="2"/>
  <c r="V555" i="2"/>
  <c r="V587" i="2"/>
  <c r="V612" i="2"/>
  <c r="V635" i="2"/>
  <c r="V658" i="2"/>
  <c r="V676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8" i="2"/>
  <c r="V50" i="2"/>
  <c r="V82" i="2"/>
  <c r="V114" i="2"/>
  <c r="V146" i="2"/>
  <c r="V178" i="2"/>
  <c r="V210" i="2"/>
  <c r="V242" i="2"/>
  <c r="V274" i="2"/>
  <c r="V306" i="2"/>
  <c r="V338" i="2"/>
  <c r="V370" i="2"/>
  <c r="V402" i="2"/>
  <c r="V434" i="2"/>
  <c r="V466" i="2"/>
  <c r="V498" i="2"/>
  <c r="V530" i="2"/>
  <c r="V562" i="2"/>
  <c r="V594" i="2"/>
  <c r="V618" i="2"/>
  <c r="V636" i="2"/>
  <c r="V659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9" i="2"/>
  <c r="V51" i="2"/>
  <c r="V83" i="2"/>
  <c r="V115" i="2"/>
  <c r="V147" i="2"/>
  <c r="V179" i="2"/>
  <c r="V211" i="2"/>
  <c r="V243" i="2"/>
  <c r="V275" i="2"/>
  <c r="V307" i="2"/>
  <c r="V339" i="2"/>
  <c r="V371" i="2"/>
  <c r="V403" i="2"/>
  <c r="V435" i="2"/>
  <c r="V467" i="2"/>
  <c r="V499" i="2"/>
  <c r="V531" i="2"/>
  <c r="V563" i="2"/>
  <c r="V595" i="2"/>
  <c r="V619" i="2"/>
  <c r="V642" i="2"/>
  <c r="V660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26" i="2"/>
  <c r="V58" i="2"/>
  <c r="V90" i="2"/>
  <c r="V122" i="2"/>
  <c r="V154" i="2"/>
  <c r="V186" i="2"/>
  <c r="V218" i="2"/>
  <c r="V250" i="2"/>
  <c r="V282" i="2"/>
  <c r="V314" i="2"/>
  <c r="V346" i="2"/>
  <c r="V378" i="2"/>
  <c r="V410" i="2"/>
  <c r="V442" i="2"/>
  <c r="V474" i="2"/>
  <c r="V506" i="2"/>
  <c r="V538" i="2"/>
  <c r="V570" i="2"/>
  <c r="V602" i="2"/>
  <c r="V620" i="2"/>
  <c r="V643" i="2"/>
  <c r="V666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27" i="2"/>
  <c r="V59" i="2"/>
  <c r="V91" i="2"/>
  <c r="V123" i="2"/>
  <c r="V155" i="2"/>
  <c r="V187" i="2"/>
  <c r="V219" i="2"/>
  <c r="V251" i="2"/>
  <c r="V283" i="2"/>
  <c r="V315" i="2"/>
  <c r="V347" i="2"/>
  <c r="V379" i="2"/>
  <c r="V411" i="2"/>
  <c r="V443" i="2"/>
  <c r="V475" i="2"/>
  <c r="V507" i="2"/>
  <c r="V539" i="2"/>
  <c r="V571" i="2"/>
  <c r="V603" i="2"/>
  <c r="V626" i="2"/>
  <c r="V644" i="2"/>
  <c r="V667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34" i="2"/>
  <c r="V162" i="2"/>
  <c r="V290" i="2"/>
  <c r="V418" i="2"/>
  <c r="V546" i="2"/>
  <c r="V650" i="2"/>
  <c r="V702" i="2"/>
  <c r="V734" i="2"/>
  <c r="V766" i="2"/>
  <c r="V798" i="2"/>
  <c r="V822" i="2"/>
  <c r="V845" i="2"/>
  <c r="V863" i="2"/>
  <c r="V886" i="2"/>
  <c r="V909" i="2"/>
  <c r="V926" i="2"/>
  <c r="V942" i="2"/>
  <c r="V958" i="2"/>
  <c r="V974" i="2"/>
  <c r="V990" i="2"/>
  <c r="V1006" i="2"/>
  <c r="V1022" i="2"/>
  <c r="V1038" i="2"/>
  <c r="V1054" i="2"/>
  <c r="V1070" i="2"/>
  <c r="V1086" i="2"/>
  <c r="V1102" i="2"/>
  <c r="V1114" i="2"/>
  <c r="V1124" i="2"/>
  <c r="V1134" i="2"/>
  <c r="V1146" i="2"/>
  <c r="V1156" i="2"/>
  <c r="V1166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627" i="2"/>
  <c r="V988" i="2"/>
  <c r="V1122" i="2"/>
  <c r="V1200" i="2"/>
  <c r="V515" i="2"/>
  <c r="V791" i="2"/>
  <c r="V885" i="2"/>
  <c r="V925" i="2"/>
  <c r="V989" i="2"/>
  <c r="V1053" i="2"/>
  <c r="V1085" i="2"/>
  <c r="V1123" i="2"/>
  <c r="V1165" i="2"/>
  <c r="V1201" i="2"/>
  <c r="V1249" i="2"/>
  <c r="V35" i="2"/>
  <c r="V163" i="2"/>
  <c r="V291" i="2"/>
  <c r="V419" i="2"/>
  <c r="V547" i="2"/>
  <c r="V651" i="2"/>
  <c r="V703" i="2"/>
  <c r="V735" i="2"/>
  <c r="V767" i="2"/>
  <c r="V799" i="2"/>
  <c r="V823" i="2"/>
  <c r="V846" i="2"/>
  <c r="V869" i="2"/>
  <c r="V887" i="2"/>
  <c r="V910" i="2"/>
  <c r="V927" i="2"/>
  <c r="V943" i="2"/>
  <c r="V959" i="2"/>
  <c r="V975" i="2"/>
  <c r="V991" i="2"/>
  <c r="V1007" i="2"/>
  <c r="V1023" i="2"/>
  <c r="V1039" i="2"/>
  <c r="V1055" i="2"/>
  <c r="V1071" i="2"/>
  <c r="V1087" i="2"/>
  <c r="V1103" i="2"/>
  <c r="V1115" i="2"/>
  <c r="V1125" i="2"/>
  <c r="V1135" i="2"/>
  <c r="V1147" i="2"/>
  <c r="V1157" i="2"/>
  <c r="V1167" i="2"/>
  <c r="V1179" i="2"/>
  <c r="V1187" i="2"/>
  <c r="V1195" i="2"/>
  <c r="V1203" i="2"/>
  <c r="V1211" i="2"/>
  <c r="V1219" i="2"/>
  <c r="V1227" i="2"/>
  <c r="V1235" i="2"/>
  <c r="V1243" i="2"/>
  <c r="V1251" i="2"/>
  <c r="V694" i="2"/>
  <c r="V956" i="2"/>
  <c r="V1110" i="2"/>
  <c r="V1192" i="2"/>
  <c r="V1256" i="2"/>
  <c r="V628" i="2"/>
  <c r="V759" i="2"/>
  <c r="V821" i="2"/>
  <c r="V903" i="2"/>
  <c r="V973" i="2"/>
  <c r="V1005" i="2"/>
  <c r="V1069" i="2"/>
  <c r="V1101" i="2"/>
  <c r="V1143" i="2"/>
  <c r="V1175" i="2"/>
  <c r="V1209" i="2"/>
  <c r="V1257" i="2"/>
  <c r="V66" i="2"/>
  <c r="V194" i="2"/>
  <c r="V322" i="2"/>
  <c r="V450" i="2"/>
  <c r="V578" i="2"/>
  <c r="V668" i="2"/>
  <c r="V710" i="2"/>
  <c r="V742" i="2"/>
  <c r="V774" i="2"/>
  <c r="V806" i="2"/>
  <c r="V829" i="2"/>
  <c r="V847" i="2"/>
  <c r="V870" i="2"/>
  <c r="V893" i="2"/>
  <c r="V911" i="2"/>
  <c r="V932" i="2"/>
  <c r="V948" i="2"/>
  <c r="V964" i="2"/>
  <c r="V980" i="2"/>
  <c r="V996" i="2"/>
  <c r="V1012" i="2"/>
  <c r="V1028" i="2"/>
  <c r="V1044" i="2"/>
  <c r="V1060" i="2"/>
  <c r="V1076" i="2"/>
  <c r="V1092" i="2"/>
  <c r="V1106" i="2"/>
  <c r="V1116" i="2"/>
  <c r="V1126" i="2"/>
  <c r="V1138" i="2"/>
  <c r="V1148" i="2"/>
  <c r="V1158" i="2"/>
  <c r="V1170" i="2"/>
  <c r="V1180" i="2"/>
  <c r="V1188" i="2"/>
  <c r="V1196" i="2"/>
  <c r="V1204" i="2"/>
  <c r="V1212" i="2"/>
  <c r="V1220" i="2"/>
  <c r="V1228" i="2"/>
  <c r="V1236" i="2"/>
  <c r="V1244" i="2"/>
  <c r="V1252" i="2"/>
  <c r="V514" i="2"/>
  <c r="V1020" i="2"/>
  <c r="V1154" i="2"/>
  <c r="V1224" i="2"/>
  <c r="V131" i="2"/>
  <c r="V727" i="2"/>
  <c r="V862" i="2"/>
  <c r="V957" i="2"/>
  <c r="V1037" i="2"/>
  <c r="V1133" i="2"/>
  <c r="V1193" i="2"/>
  <c r="V1225" i="2"/>
  <c r="V1241" i="2"/>
  <c r="V67" i="2"/>
  <c r="V195" i="2"/>
  <c r="V323" i="2"/>
  <c r="V451" i="2"/>
  <c r="V579" i="2"/>
  <c r="V674" i="2"/>
  <c r="V711" i="2"/>
  <c r="V743" i="2"/>
  <c r="V775" i="2"/>
  <c r="V807" i="2"/>
  <c r="V830" i="2"/>
  <c r="V853" i="2"/>
  <c r="V871" i="2"/>
  <c r="V894" i="2"/>
  <c r="V917" i="2"/>
  <c r="V933" i="2"/>
  <c r="V949" i="2"/>
  <c r="V965" i="2"/>
  <c r="V981" i="2"/>
  <c r="V997" i="2"/>
  <c r="V1013" i="2"/>
  <c r="V1029" i="2"/>
  <c r="V1045" i="2"/>
  <c r="V1061" i="2"/>
  <c r="V1077" i="2"/>
  <c r="V1093" i="2"/>
  <c r="V1107" i="2"/>
  <c r="V1117" i="2"/>
  <c r="V1127" i="2"/>
  <c r="V1139" i="2"/>
  <c r="V1149" i="2"/>
  <c r="V1159" i="2"/>
  <c r="V1171" i="2"/>
  <c r="V1181" i="2"/>
  <c r="V1189" i="2"/>
  <c r="V1197" i="2"/>
  <c r="V1205" i="2"/>
  <c r="V1213" i="2"/>
  <c r="V1221" i="2"/>
  <c r="V1229" i="2"/>
  <c r="V1237" i="2"/>
  <c r="V1245" i="2"/>
  <c r="V1253" i="2"/>
  <c r="V386" i="2"/>
  <c r="V1036" i="2"/>
  <c r="V1164" i="2"/>
  <c r="V1232" i="2"/>
  <c r="V259" i="2"/>
  <c r="V695" i="2"/>
  <c r="V839" i="2"/>
  <c r="V941" i="2"/>
  <c r="V1021" i="2"/>
  <c r="V1111" i="2"/>
  <c r="V1185" i="2"/>
  <c r="V1217" i="2"/>
  <c r="V1233" i="2"/>
  <c r="V98" i="2"/>
  <c r="V226" i="2"/>
  <c r="V354" i="2"/>
  <c r="V482" i="2"/>
  <c r="V604" i="2"/>
  <c r="V686" i="2"/>
  <c r="V718" i="2"/>
  <c r="V750" i="2"/>
  <c r="V782" i="2"/>
  <c r="V813" i="2"/>
  <c r="V831" i="2"/>
  <c r="V854" i="2"/>
  <c r="V877" i="2"/>
  <c r="V895" i="2"/>
  <c r="V918" i="2"/>
  <c r="V934" i="2"/>
  <c r="V950" i="2"/>
  <c r="V966" i="2"/>
  <c r="V982" i="2"/>
  <c r="V998" i="2"/>
  <c r="V1014" i="2"/>
  <c r="V1030" i="2"/>
  <c r="V1046" i="2"/>
  <c r="V1062" i="2"/>
  <c r="V1078" i="2"/>
  <c r="V1094" i="2"/>
  <c r="V1108" i="2"/>
  <c r="V1118" i="2"/>
  <c r="V1130" i="2"/>
  <c r="V1140" i="2"/>
  <c r="V1150" i="2"/>
  <c r="V1162" i="2"/>
  <c r="V1172" i="2"/>
  <c r="V1182" i="2"/>
  <c r="V1190" i="2"/>
  <c r="V1198" i="2"/>
  <c r="V1206" i="2"/>
  <c r="V1214" i="2"/>
  <c r="V1222" i="2"/>
  <c r="V1230" i="2"/>
  <c r="V1238" i="2"/>
  <c r="V1246" i="2"/>
  <c r="V1254" i="2"/>
  <c r="V258" i="2"/>
  <c r="V758" i="2"/>
  <c r="V815" i="2"/>
  <c r="V861" i="2"/>
  <c r="V902" i="2"/>
  <c r="V940" i="2"/>
  <c r="V1004" i="2"/>
  <c r="V1068" i="2"/>
  <c r="V1100" i="2"/>
  <c r="V1142" i="2"/>
  <c r="V1174" i="2"/>
  <c r="V1208" i="2"/>
  <c r="V1240" i="2"/>
  <c r="V99" i="2"/>
  <c r="V227" i="2"/>
  <c r="V355" i="2"/>
  <c r="V483" i="2"/>
  <c r="V610" i="2"/>
  <c r="V687" i="2"/>
  <c r="V719" i="2"/>
  <c r="V751" i="2"/>
  <c r="V783" i="2"/>
  <c r="V814" i="2"/>
  <c r="V837" i="2"/>
  <c r="V855" i="2"/>
  <c r="V878" i="2"/>
  <c r="V901" i="2"/>
  <c r="V919" i="2"/>
  <c r="V935" i="2"/>
  <c r="V951" i="2"/>
  <c r="V967" i="2"/>
  <c r="V983" i="2"/>
  <c r="V999" i="2"/>
  <c r="V1015" i="2"/>
  <c r="V1031" i="2"/>
  <c r="V1047" i="2"/>
  <c r="V1063" i="2"/>
  <c r="V1079" i="2"/>
  <c r="V1095" i="2"/>
  <c r="V1109" i="2"/>
  <c r="V1119" i="2"/>
  <c r="V1131" i="2"/>
  <c r="V1141" i="2"/>
  <c r="V1151" i="2"/>
  <c r="V1163" i="2"/>
  <c r="V1173" i="2"/>
  <c r="V1183" i="2"/>
  <c r="V1191" i="2"/>
  <c r="V1199" i="2"/>
  <c r="V1207" i="2"/>
  <c r="V1215" i="2"/>
  <c r="V1223" i="2"/>
  <c r="V1231" i="2"/>
  <c r="V1239" i="2"/>
  <c r="V1247" i="2"/>
  <c r="V1255" i="2"/>
  <c r="V130" i="2"/>
  <c r="V726" i="2"/>
  <c r="V790" i="2"/>
  <c r="V838" i="2"/>
  <c r="V879" i="2"/>
  <c r="V924" i="2"/>
  <c r="V972" i="2"/>
  <c r="V1052" i="2"/>
  <c r="V1084" i="2"/>
  <c r="V1132" i="2"/>
  <c r="V1184" i="2"/>
  <c r="V1216" i="2"/>
  <c r="V1248" i="2"/>
  <c r="V387" i="2"/>
  <c r="V1155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11" i="2"/>
  <c r="U43" i="2"/>
  <c r="U75" i="2"/>
  <c r="U107" i="2"/>
  <c r="U139" i="2"/>
  <c r="U171" i="2"/>
  <c r="U203" i="2"/>
  <c r="U235" i="2"/>
  <c r="U267" i="2"/>
  <c r="U299" i="2"/>
  <c r="U331" i="2"/>
  <c r="U363" i="2"/>
  <c r="U395" i="2"/>
  <c r="U427" i="2"/>
  <c r="U459" i="2"/>
  <c r="U482" i="2"/>
  <c r="U500" i="2"/>
  <c r="U523" i="2"/>
  <c r="U546" i="2"/>
  <c r="U564" i="2"/>
  <c r="U587" i="2"/>
  <c r="U610" i="2"/>
  <c r="U628" i="2"/>
  <c r="U651" i="2"/>
  <c r="U673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U12" i="2"/>
  <c r="U44" i="2"/>
  <c r="U76" i="2"/>
  <c r="U108" i="2"/>
  <c r="U140" i="2"/>
  <c r="U172" i="2"/>
  <c r="U204" i="2"/>
  <c r="U236" i="2"/>
  <c r="U268" i="2"/>
  <c r="U300" i="2"/>
  <c r="U332" i="2"/>
  <c r="U364" i="2"/>
  <c r="U396" i="2"/>
  <c r="U428" i="2"/>
  <c r="U460" i="2"/>
  <c r="U483" i="2"/>
  <c r="U506" i="2"/>
  <c r="U524" i="2"/>
  <c r="U547" i="2"/>
  <c r="U570" i="2"/>
  <c r="U588" i="2"/>
  <c r="U611" i="2"/>
  <c r="U634" i="2"/>
  <c r="U652" i="2"/>
  <c r="U674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19" i="2"/>
  <c r="U51" i="2"/>
  <c r="U83" i="2"/>
  <c r="U115" i="2"/>
  <c r="U147" i="2"/>
  <c r="U179" i="2"/>
  <c r="U211" i="2"/>
  <c r="U243" i="2"/>
  <c r="U275" i="2"/>
  <c r="U307" i="2"/>
  <c r="U339" i="2"/>
  <c r="U371" i="2"/>
  <c r="U403" i="2"/>
  <c r="U435" i="2"/>
  <c r="U466" i="2"/>
  <c r="U484" i="2"/>
  <c r="U507" i="2"/>
  <c r="U530" i="2"/>
  <c r="U548" i="2"/>
  <c r="U571" i="2"/>
  <c r="U594" i="2"/>
  <c r="U612" i="2"/>
  <c r="U635" i="2"/>
  <c r="U658" i="2"/>
  <c r="U675" i="2"/>
  <c r="U687" i="2"/>
  <c r="U695" i="2"/>
  <c r="U703" i="2"/>
  <c r="U20" i="2"/>
  <c r="U52" i="2"/>
  <c r="U84" i="2"/>
  <c r="U116" i="2"/>
  <c r="U148" i="2"/>
  <c r="U180" i="2"/>
  <c r="U212" i="2"/>
  <c r="U244" i="2"/>
  <c r="U276" i="2"/>
  <c r="U308" i="2"/>
  <c r="U340" i="2"/>
  <c r="U372" i="2"/>
  <c r="U404" i="2"/>
  <c r="U436" i="2"/>
  <c r="U467" i="2"/>
  <c r="U490" i="2"/>
  <c r="U508" i="2"/>
  <c r="U531" i="2"/>
  <c r="U554" i="2"/>
  <c r="U572" i="2"/>
  <c r="U595" i="2"/>
  <c r="U618" i="2"/>
  <c r="U636" i="2"/>
  <c r="U659" i="2"/>
  <c r="U676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27" i="2"/>
  <c r="U59" i="2"/>
  <c r="U91" i="2"/>
  <c r="U123" i="2"/>
  <c r="U155" i="2"/>
  <c r="U187" i="2"/>
  <c r="U219" i="2"/>
  <c r="U251" i="2"/>
  <c r="U283" i="2"/>
  <c r="U315" i="2"/>
  <c r="U347" i="2"/>
  <c r="U379" i="2"/>
  <c r="U411" i="2"/>
  <c r="U443" i="2"/>
  <c r="U468" i="2"/>
  <c r="U491" i="2"/>
  <c r="U514" i="2"/>
  <c r="U532" i="2"/>
  <c r="U555" i="2"/>
  <c r="U578" i="2"/>
  <c r="U596" i="2"/>
  <c r="U619" i="2"/>
  <c r="U642" i="2"/>
  <c r="U660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28" i="2"/>
  <c r="U60" i="2"/>
  <c r="U92" i="2"/>
  <c r="U124" i="2"/>
  <c r="U156" i="2"/>
  <c r="U188" i="2"/>
  <c r="U220" i="2"/>
  <c r="U252" i="2"/>
  <c r="U35" i="2"/>
  <c r="U163" i="2"/>
  <c r="U284" i="2"/>
  <c r="U356" i="2"/>
  <c r="U451" i="2"/>
  <c r="U515" i="2"/>
  <c r="U563" i="2"/>
  <c r="U626" i="2"/>
  <c r="U682" i="2"/>
  <c r="U700" i="2"/>
  <c r="U719" i="2"/>
  <c r="U735" i="2"/>
  <c r="U751" i="2"/>
  <c r="U767" i="2"/>
  <c r="U783" i="2"/>
  <c r="U799" i="2"/>
  <c r="U815" i="2"/>
  <c r="U831" i="2"/>
  <c r="U847" i="2"/>
  <c r="U863" i="2"/>
  <c r="U879" i="2"/>
  <c r="U895" i="2"/>
  <c r="U911" i="2"/>
  <c r="U927" i="2"/>
  <c r="U943" i="2"/>
  <c r="U959" i="2"/>
  <c r="U975" i="2"/>
  <c r="U991" i="2"/>
  <c r="U1007" i="2"/>
  <c r="U1023" i="2"/>
  <c r="U1039" i="2"/>
  <c r="U1055" i="2"/>
  <c r="U1071" i="2"/>
  <c r="U1087" i="2"/>
  <c r="U1103" i="2"/>
  <c r="U1119" i="2"/>
  <c r="U1135" i="2"/>
  <c r="U1151" i="2"/>
  <c r="U1167" i="2"/>
  <c r="U1177" i="2"/>
  <c r="U1187" i="2"/>
  <c r="U1199" i="2"/>
  <c r="U1209" i="2"/>
  <c r="U1219" i="2"/>
  <c r="U1231" i="2"/>
  <c r="U1241" i="2"/>
  <c r="U1251" i="2"/>
  <c r="U36" i="2"/>
  <c r="U164" i="2"/>
  <c r="U291" i="2"/>
  <c r="U380" i="2"/>
  <c r="U452" i="2"/>
  <c r="U516" i="2"/>
  <c r="U579" i="2"/>
  <c r="U627" i="2"/>
  <c r="U683" i="2"/>
  <c r="U706" i="2"/>
  <c r="U722" i="2"/>
  <c r="U738" i="2"/>
  <c r="U754" i="2"/>
  <c r="U770" i="2"/>
  <c r="U786" i="2"/>
  <c r="U802" i="2"/>
  <c r="U818" i="2"/>
  <c r="U834" i="2"/>
  <c r="U850" i="2"/>
  <c r="U866" i="2"/>
  <c r="U882" i="2"/>
  <c r="U898" i="2"/>
  <c r="U914" i="2"/>
  <c r="U930" i="2"/>
  <c r="U946" i="2"/>
  <c r="U962" i="2"/>
  <c r="U978" i="2"/>
  <c r="U994" i="2"/>
  <c r="U1010" i="2"/>
  <c r="U1026" i="2"/>
  <c r="U1042" i="2"/>
  <c r="U1058" i="2"/>
  <c r="U1074" i="2"/>
  <c r="U1090" i="2"/>
  <c r="U1106" i="2"/>
  <c r="U1122" i="2"/>
  <c r="U1138" i="2"/>
  <c r="U1154" i="2"/>
  <c r="U1168" i="2"/>
  <c r="U1178" i="2"/>
  <c r="U1188" i="2"/>
  <c r="U1200" i="2"/>
  <c r="U1210" i="2"/>
  <c r="U1220" i="2"/>
  <c r="U1232" i="2"/>
  <c r="U1242" i="2"/>
  <c r="U1252" i="2"/>
  <c r="U100" i="2"/>
  <c r="U666" i="2"/>
  <c r="U714" i="2"/>
  <c r="U778" i="2"/>
  <c r="U842" i="2"/>
  <c r="U890" i="2"/>
  <c r="U938" i="2"/>
  <c r="U970" i="2"/>
  <c r="U1034" i="2"/>
  <c r="U1066" i="2"/>
  <c r="U1130" i="2"/>
  <c r="U1172" i="2"/>
  <c r="U1204" i="2"/>
  <c r="U1236" i="2"/>
  <c r="U1258" i="2"/>
  <c r="V55" i="1" s="1"/>
  <c r="AC11" i="2" s="1"/>
  <c r="U259" i="2"/>
  <c r="U763" i="2"/>
  <c r="U891" i="2"/>
  <c r="U987" i="2"/>
  <c r="U1067" i="2"/>
  <c r="U1163" i="2"/>
  <c r="U1207" i="2"/>
  <c r="U67" i="2"/>
  <c r="U195" i="2"/>
  <c r="U292" i="2"/>
  <c r="U387" i="2"/>
  <c r="U474" i="2"/>
  <c r="U522" i="2"/>
  <c r="U580" i="2"/>
  <c r="U643" i="2"/>
  <c r="U684" i="2"/>
  <c r="U707" i="2"/>
  <c r="U723" i="2"/>
  <c r="U739" i="2"/>
  <c r="U755" i="2"/>
  <c r="U771" i="2"/>
  <c r="U787" i="2"/>
  <c r="U803" i="2"/>
  <c r="U819" i="2"/>
  <c r="U835" i="2"/>
  <c r="U851" i="2"/>
  <c r="U867" i="2"/>
  <c r="U883" i="2"/>
  <c r="U899" i="2"/>
  <c r="U915" i="2"/>
  <c r="U931" i="2"/>
  <c r="U947" i="2"/>
  <c r="U963" i="2"/>
  <c r="U979" i="2"/>
  <c r="U995" i="2"/>
  <c r="U1011" i="2"/>
  <c r="U1027" i="2"/>
  <c r="U1043" i="2"/>
  <c r="U1059" i="2"/>
  <c r="U1075" i="2"/>
  <c r="U1091" i="2"/>
  <c r="U1107" i="2"/>
  <c r="U1123" i="2"/>
  <c r="U1139" i="2"/>
  <c r="U1155" i="2"/>
  <c r="U1169" i="2"/>
  <c r="U1179" i="2"/>
  <c r="U1191" i="2"/>
  <c r="U1201" i="2"/>
  <c r="U1211" i="2"/>
  <c r="U1223" i="2"/>
  <c r="U1233" i="2"/>
  <c r="U1243" i="2"/>
  <c r="U1255" i="2"/>
  <c r="U228" i="2"/>
  <c r="U603" i="2"/>
  <c r="U730" i="2"/>
  <c r="U794" i="2"/>
  <c r="U826" i="2"/>
  <c r="U858" i="2"/>
  <c r="U922" i="2"/>
  <c r="U954" i="2"/>
  <c r="U1018" i="2"/>
  <c r="U1050" i="2"/>
  <c r="U1098" i="2"/>
  <c r="U1162" i="2"/>
  <c r="U1194" i="2"/>
  <c r="U1226" i="2"/>
  <c r="U131" i="2"/>
  <c r="U747" i="2"/>
  <c r="U875" i="2"/>
  <c r="U971" i="2"/>
  <c r="U1083" i="2"/>
  <c r="U1175" i="2"/>
  <c r="U1239" i="2"/>
  <c r="U68" i="2"/>
  <c r="U196" i="2"/>
  <c r="U316" i="2"/>
  <c r="U388" i="2"/>
  <c r="U475" i="2"/>
  <c r="U538" i="2"/>
  <c r="U586" i="2"/>
  <c r="U644" i="2"/>
  <c r="U690" i="2"/>
  <c r="U708" i="2"/>
  <c r="U724" i="2"/>
  <c r="U740" i="2"/>
  <c r="U756" i="2"/>
  <c r="U772" i="2"/>
  <c r="U788" i="2"/>
  <c r="U804" i="2"/>
  <c r="U820" i="2"/>
  <c r="U836" i="2"/>
  <c r="U852" i="2"/>
  <c r="U868" i="2"/>
  <c r="U884" i="2"/>
  <c r="U900" i="2"/>
  <c r="U916" i="2"/>
  <c r="U932" i="2"/>
  <c r="U948" i="2"/>
  <c r="U964" i="2"/>
  <c r="U980" i="2"/>
  <c r="U996" i="2"/>
  <c r="U1012" i="2"/>
  <c r="U1028" i="2"/>
  <c r="U1044" i="2"/>
  <c r="U1060" i="2"/>
  <c r="U1076" i="2"/>
  <c r="U1092" i="2"/>
  <c r="U1108" i="2"/>
  <c r="U1124" i="2"/>
  <c r="U1140" i="2"/>
  <c r="U1156" i="2"/>
  <c r="U1170" i="2"/>
  <c r="U1180" i="2"/>
  <c r="U1192" i="2"/>
  <c r="U1202" i="2"/>
  <c r="U1212" i="2"/>
  <c r="U1224" i="2"/>
  <c r="U1234" i="2"/>
  <c r="U1244" i="2"/>
  <c r="U1256" i="2"/>
  <c r="U324" i="2"/>
  <c r="U540" i="2"/>
  <c r="U692" i="2"/>
  <c r="U746" i="2"/>
  <c r="U810" i="2"/>
  <c r="U906" i="2"/>
  <c r="U1002" i="2"/>
  <c r="U1114" i="2"/>
  <c r="U1216" i="2"/>
  <c r="U348" i="2"/>
  <c r="U604" i="2"/>
  <c r="U667" i="2"/>
  <c r="U715" i="2"/>
  <c r="U779" i="2"/>
  <c r="U811" i="2"/>
  <c r="U843" i="2"/>
  <c r="U907" i="2"/>
  <c r="U939" i="2"/>
  <c r="U1019" i="2"/>
  <c r="U1051" i="2"/>
  <c r="U1115" i="2"/>
  <c r="U1147" i="2"/>
  <c r="U1195" i="2"/>
  <c r="U1217" i="2"/>
  <c r="U1249" i="2"/>
  <c r="U99" i="2"/>
  <c r="U227" i="2"/>
  <c r="U323" i="2"/>
  <c r="U412" i="2"/>
  <c r="U476" i="2"/>
  <c r="U539" i="2"/>
  <c r="U602" i="2"/>
  <c r="U650" i="2"/>
  <c r="U691" i="2"/>
  <c r="U711" i="2"/>
  <c r="U727" i="2"/>
  <c r="U743" i="2"/>
  <c r="U759" i="2"/>
  <c r="U775" i="2"/>
  <c r="U791" i="2"/>
  <c r="U807" i="2"/>
  <c r="U823" i="2"/>
  <c r="U839" i="2"/>
  <c r="U855" i="2"/>
  <c r="U871" i="2"/>
  <c r="U887" i="2"/>
  <c r="U903" i="2"/>
  <c r="U919" i="2"/>
  <c r="U935" i="2"/>
  <c r="U951" i="2"/>
  <c r="U967" i="2"/>
  <c r="U983" i="2"/>
  <c r="U999" i="2"/>
  <c r="U1015" i="2"/>
  <c r="U1031" i="2"/>
  <c r="U1047" i="2"/>
  <c r="U1063" i="2"/>
  <c r="U1079" i="2"/>
  <c r="U1095" i="2"/>
  <c r="U1111" i="2"/>
  <c r="U1127" i="2"/>
  <c r="U1143" i="2"/>
  <c r="U1159" i="2"/>
  <c r="U1171" i="2"/>
  <c r="U1183" i="2"/>
  <c r="U1193" i="2"/>
  <c r="U1203" i="2"/>
  <c r="U1215" i="2"/>
  <c r="U1225" i="2"/>
  <c r="U1235" i="2"/>
  <c r="U1247" i="2"/>
  <c r="U1257" i="2"/>
  <c r="U419" i="2"/>
  <c r="U762" i="2"/>
  <c r="U874" i="2"/>
  <c r="U986" i="2"/>
  <c r="U1082" i="2"/>
  <c r="U1184" i="2"/>
  <c r="U1248" i="2"/>
  <c r="U498" i="2"/>
  <c r="U132" i="2"/>
  <c r="U260" i="2"/>
  <c r="U355" i="2"/>
  <c r="U444" i="2"/>
  <c r="U499" i="2"/>
  <c r="U562" i="2"/>
  <c r="U620" i="2"/>
  <c r="U668" i="2"/>
  <c r="U699" i="2"/>
  <c r="U716" i="2"/>
  <c r="U732" i="2"/>
  <c r="U748" i="2"/>
  <c r="U764" i="2"/>
  <c r="U780" i="2"/>
  <c r="U796" i="2"/>
  <c r="U812" i="2"/>
  <c r="U828" i="2"/>
  <c r="U844" i="2"/>
  <c r="U860" i="2"/>
  <c r="U876" i="2"/>
  <c r="U892" i="2"/>
  <c r="U908" i="2"/>
  <c r="U924" i="2"/>
  <c r="U940" i="2"/>
  <c r="U956" i="2"/>
  <c r="U972" i="2"/>
  <c r="U988" i="2"/>
  <c r="U1004" i="2"/>
  <c r="U1020" i="2"/>
  <c r="U1036" i="2"/>
  <c r="U1052" i="2"/>
  <c r="U1068" i="2"/>
  <c r="U1084" i="2"/>
  <c r="U1100" i="2"/>
  <c r="U1116" i="2"/>
  <c r="U1132" i="2"/>
  <c r="U1148" i="2"/>
  <c r="U1164" i="2"/>
  <c r="U1176" i="2"/>
  <c r="U1186" i="2"/>
  <c r="U1196" i="2"/>
  <c r="U1208" i="2"/>
  <c r="U1218" i="2"/>
  <c r="U1228" i="2"/>
  <c r="U1240" i="2"/>
  <c r="U1250" i="2"/>
  <c r="U492" i="2"/>
  <c r="U1146" i="2"/>
  <c r="U420" i="2"/>
  <c r="U556" i="2"/>
  <c r="U698" i="2"/>
  <c r="U731" i="2"/>
  <c r="U795" i="2"/>
  <c r="U827" i="2"/>
  <c r="U859" i="2"/>
  <c r="U923" i="2"/>
  <c r="U955" i="2"/>
  <c r="U1003" i="2"/>
  <c r="U1035" i="2"/>
  <c r="U1099" i="2"/>
  <c r="U1131" i="2"/>
  <c r="U1185" i="2"/>
  <c r="U1227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459" i="2"/>
  <c r="T523" i="2"/>
  <c r="T557" i="2"/>
  <c r="T589" i="2"/>
  <c r="T621" i="2"/>
  <c r="T65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467" i="2"/>
  <c r="T531" i="2"/>
  <c r="T563" i="2"/>
  <c r="T595" i="2"/>
  <c r="T627" i="2"/>
  <c r="T659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603" i="2"/>
  <c r="T696" i="2"/>
  <c r="T712" i="2"/>
  <c r="T728" i="2"/>
  <c r="T744" i="2"/>
  <c r="T760" i="2"/>
  <c r="T776" i="2"/>
  <c r="T784" i="2"/>
  <c r="T475" i="2"/>
  <c r="T533" i="2"/>
  <c r="T565" i="2"/>
  <c r="T597" i="2"/>
  <c r="T629" i="2"/>
  <c r="T661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571" i="2"/>
  <c r="T688" i="2"/>
  <c r="T704" i="2"/>
  <c r="T720" i="2"/>
  <c r="T736" i="2"/>
  <c r="T752" i="2"/>
  <c r="T768" i="2"/>
  <c r="T483" i="2"/>
  <c r="T539" i="2"/>
  <c r="T491" i="2"/>
  <c r="T541" i="2"/>
  <c r="T573" i="2"/>
  <c r="T605" i="2"/>
  <c r="T637" i="2"/>
  <c r="T669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549" i="2"/>
  <c r="T581" i="2"/>
  <c r="T645" i="2"/>
  <c r="T691" i="2"/>
  <c r="T707" i="2"/>
  <c r="T723" i="2"/>
  <c r="T739" i="2"/>
  <c r="T499" i="2"/>
  <c r="T547" i="2"/>
  <c r="T579" i="2"/>
  <c r="T611" i="2"/>
  <c r="T643" i="2"/>
  <c r="T675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507" i="2"/>
  <c r="T613" i="2"/>
  <c r="T677" i="2"/>
  <c r="T699" i="2"/>
  <c r="T715" i="2"/>
  <c r="T731" i="2"/>
  <c r="T747" i="2"/>
  <c r="T515" i="2"/>
  <c r="T555" i="2"/>
  <c r="T587" i="2"/>
  <c r="T619" i="2"/>
  <c r="T651" i="2"/>
  <c r="T683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667" i="2"/>
  <c r="T635" i="2"/>
  <c r="T800" i="2"/>
  <c r="T832" i="2"/>
  <c r="T864" i="2"/>
  <c r="T896" i="2"/>
  <c r="T928" i="2"/>
  <c r="T960" i="2"/>
  <c r="T992" i="2"/>
  <c r="T1024" i="2"/>
  <c r="T1056" i="2"/>
  <c r="T1088" i="2"/>
  <c r="T1120" i="2"/>
  <c r="T1152" i="2"/>
  <c r="T1184" i="2"/>
  <c r="T1216" i="2"/>
  <c r="T1248" i="2"/>
  <c r="T755" i="2"/>
  <c r="T803" i="2"/>
  <c r="T835" i="2"/>
  <c r="T867" i="2"/>
  <c r="T899" i="2"/>
  <c r="T931" i="2"/>
  <c r="T963" i="2"/>
  <c r="T995" i="2"/>
  <c r="T1027" i="2"/>
  <c r="T1059" i="2"/>
  <c r="T1091" i="2"/>
  <c r="T1123" i="2"/>
  <c r="T1155" i="2"/>
  <c r="T1187" i="2"/>
  <c r="T1219" i="2"/>
  <c r="T1251" i="2"/>
  <c r="T920" i="2"/>
  <c r="T763" i="2"/>
  <c r="T808" i="2"/>
  <c r="T840" i="2"/>
  <c r="T872" i="2"/>
  <c r="T904" i="2"/>
  <c r="T936" i="2"/>
  <c r="T968" i="2"/>
  <c r="T1000" i="2"/>
  <c r="T1032" i="2"/>
  <c r="T1064" i="2"/>
  <c r="T1096" i="2"/>
  <c r="T1128" i="2"/>
  <c r="T1160" i="2"/>
  <c r="T1192" i="2"/>
  <c r="T1224" i="2"/>
  <c r="T1256" i="2"/>
  <c r="T856" i="2"/>
  <c r="T1048" i="2"/>
  <c r="T1176" i="2"/>
  <c r="T771" i="2"/>
  <c r="T811" i="2"/>
  <c r="T843" i="2"/>
  <c r="T875" i="2"/>
  <c r="T907" i="2"/>
  <c r="T939" i="2"/>
  <c r="T971" i="2"/>
  <c r="T1003" i="2"/>
  <c r="T1035" i="2"/>
  <c r="T1067" i="2"/>
  <c r="T1099" i="2"/>
  <c r="T1131" i="2"/>
  <c r="T1163" i="2"/>
  <c r="T1195" i="2"/>
  <c r="T1227" i="2"/>
  <c r="T824" i="2"/>
  <c r="T1112" i="2"/>
  <c r="T1208" i="2"/>
  <c r="T779" i="2"/>
  <c r="T816" i="2"/>
  <c r="T848" i="2"/>
  <c r="T880" i="2"/>
  <c r="T912" i="2"/>
  <c r="T944" i="2"/>
  <c r="T976" i="2"/>
  <c r="T1008" i="2"/>
  <c r="T1040" i="2"/>
  <c r="T1072" i="2"/>
  <c r="T1104" i="2"/>
  <c r="T1136" i="2"/>
  <c r="T1168" i="2"/>
  <c r="T1200" i="2"/>
  <c r="T1232" i="2"/>
  <c r="T888" i="2"/>
  <c r="T952" i="2"/>
  <c r="T984" i="2"/>
  <c r="T1016" i="2"/>
  <c r="T1080" i="2"/>
  <c r="T1144" i="2"/>
  <c r="T1240" i="2"/>
  <c r="T787" i="2"/>
  <c r="T819" i="2"/>
  <c r="T851" i="2"/>
  <c r="T883" i="2"/>
  <c r="T915" i="2"/>
  <c r="T947" i="2"/>
  <c r="T979" i="2"/>
  <c r="T1011" i="2"/>
  <c r="T1043" i="2"/>
  <c r="T1075" i="2"/>
  <c r="T1107" i="2"/>
  <c r="T1139" i="2"/>
  <c r="T1171" i="2"/>
  <c r="T1203" i="2"/>
  <c r="T1235" i="2"/>
  <c r="T792" i="2"/>
  <c r="T795" i="2"/>
  <c r="T827" i="2"/>
  <c r="T859" i="2"/>
  <c r="T891" i="2"/>
  <c r="T923" i="2"/>
  <c r="T955" i="2"/>
  <c r="T987" i="2"/>
  <c r="T1019" i="2"/>
  <c r="T1051" i="2"/>
  <c r="T1083" i="2"/>
  <c r="T1115" i="2"/>
  <c r="T1147" i="2"/>
  <c r="T1179" i="2"/>
  <c r="T1211" i="2"/>
  <c r="T124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7" i="2"/>
  <c r="S19" i="2"/>
  <c r="S33" i="2"/>
  <c r="S44" i="2"/>
  <c r="S58" i="2"/>
  <c r="S71" i="2"/>
  <c r="S83" i="2"/>
  <c r="S97" i="2"/>
  <c r="S108" i="2"/>
  <c r="S122" i="2"/>
  <c r="S135" i="2"/>
  <c r="S147" i="2"/>
  <c r="S161" i="2"/>
  <c r="S172" i="2"/>
  <c r="S186" i="2"/>
  <c r="S199" i="2"/>
  <c r="S211" i="2"/>
  <c r="S225" i="2"/>
  <c r="S236" i="2"/>
  <c r="S250" i="2"/>
  <c r="S263" i="2"/>
  <c r="S275" i="2"/>
  <c r="S289" i="2"/>
  <c r="S300" i="2"/>
  <c r="S314" i="2"/>
  <c r="S327" i="2"/>
  <c r="S339" i="2"/>
  <c r="S353" i="2"/>
  <c r="S364" i="2"/>
  <c r="S378" i="2"/>
  <c r="S391" i="2"/>
  <c r="S403" i="2"/>
  <c r="S417" i="2"/>
  <c r="S427" i="2"/>
  <c r="S439" i="2"/>
  <c r="S449" i="2"/>
  <c r="S459" i="2"/>
  <c r="S471" i="2"/>
  <c r="S481" i="2"/>
  <c r="S491" i="2"/>
  <c r="S503" i="2"/>
  <c r="S513" i="2"/>
  <c r="S523" i="2"/>
  <c r="S535" i="2"/>
  <c r="S545" i="2"/>
  <c r="S555" i="2"/>
  <c r="S567" i="2"/>
  <c r="S577" i="2"/>
  <c r="S587" i="2"/>
  <c r="S599" i="2"/>
  <c r="S609" i="2"/>
  <c r="S619" i="2"/>
  <c r="S631" i="2"/>
  <c r="S641" i="2"/>
  <c r="S651" i="2"/>
  <c r="S663" i="2"/>
  <c r="S672" i="2"/>
  <c r="S681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1" i="2"/>
  <c r="S25" i="2"/>
  <c r="S36" i="2"/>
  <c r="S50" i="2"/>
  <c r="S63" i="2"/>
  <c r="S75" i="2"/>
  <c r="S89" i="2"/>
  <c r="S100" i="2"/>
  <c r="S114" i="2"/>
  <c r="S127" i="2"/>
  <c r="S139" i="2"/>
  <c r="S153" i="2"/>
  <c r="S164" i="2"/>
  <c r="S178" i="2"/>
  <c r="S191" i="2"/>
  <c r="S203" i="2"/>
  <c r="S217" i="2"/>
  <c r="S228" i="2"/>
  <c r="S242" i="2"/>
  <c r="S255" i="2"/>
  <c r="S267" i="2"/>
  <c r="S281" i="2"/>
  <c r="S292" i="2"/>
  <c r="S306" i="2"/>
  <c r="S319" i="2"/>
  <c r="S331" i="2"/>
  <c r="S345" i="2"/>
  <c r="S356" i="2"/>
  <c r="S370" i="2"/>
  <c r="S383" i="2"/>
  <c r="S395" i="2"/>
  <c r="S409" i="2"/>
  <c r="S420" i="2"/>
  <c r="S432" i="2"/>
  <c r="S442" i="2"/>
  <c r="S452" i="2"/>
  <c r="S464" i="2"/>
  <c r="S474" i="2"/>
  <c r="S484" i="2"/>
  <c r="S496" i="2"/>
  <c r="S506" i="2"/>
  <c r="S516" i="2"/>
  <c r="S528" i="2"/>
  <c r="S538" i="2"/>
  <c r="S548" i="2"/>
  <c r="S560" i="2"/>
  <c r="S570" i="2"/>
  <c r="S580" i="2"/>
  <c r="S592" i="2"/>
  <c r="S602" i="2"/>
  <c r="S612" i="2"/>
  <c r="S624" i="2"/>
  <c r="S634" i="2"/>
  <c r="S644" i="2"/>
  <c r="S656" i="2"/>
  <c r="S666" i="2"/>
  <c r="S675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" i="2"/>
  <c r="S26" i="2"/>
  <c r="S15" i="2"/>
  <c r="S31" i="2"/>
  <c r="S49" i="2"/>
  <c r="S66" i="2"/>
  <c r="S82" i="2"/>
  <c r="S99" i="2"/>
  <c r="S116" i="2"/>
  <c r="S132" i="2"/>
  <c r="S151" i="2"/>
  <c r="S169" i="2"/>
  <c r="S185" i="2"/>
  <c r="S202" i="2"/>
  <c r="S219" i="2"/>
  <c r="S235" i="2"/>
  <c r="S252" i="2"/>
  <c r="S271" i="2"/>
  <c r="S287" i="2"/>
  <c r="S305" i="2"/>
  <c r="S322" i="2"/>
  <c r="S338" i="2"/>
  <c r="S355" i="2"/>
  <c r="S372" i="2"/>
  <c r="S388" i="2"/>
  <c r="S407" i="2"/>
  <c r="S424" i="2"/>
  <c r="S436" i="2"/>
  <c r="S451" i="2"/>
  <c r="S466" i="2"/>
  <c r="S480" i="2"/>
  <c r="S495" i="2"/>
  <c r="S508" i="2"/>
  <c r="S522" i="2"/>
  <c r="S537" i="2"/>
  <c r="S552" i="2"/>
  <c r="S564" i="2"/>
  <c r="S579" i="2"/>
  <c r="S594" i="2"/>
  <c r="S608" i="2"/>
  <c r="S623" i="2"/>
  <c r="S636" i="2"/>
  <c r="S650" i="2"/>
  <c r="S665" i="2"/>
  <c r="S678" i="2"/>
  <c r="S688" i="2"/>
  <c r="S699" i="2"/>
  <c r="S710" i="2"/>
  <c r="S720" i="2"/>
  <c r="S731" i="2"/>
  <c r="S742" i="2"/>
  <c r="S752" i="2"/>
  <c r="S763" i="2"/>
  <c r="S774" i="2"/>
  <c r="S784" i="2"/>
  <c r="S795" i="2"/>
  <c r="S806" i="2"/>
  <c r="S816" i="2"/>
  <c r="S827" i="2"/>
  <c r="S838" i="2"/>
  <c r="S848" i="2"/>
  <c r="S859" i="2"/>
  <c r="S870" i="2"/>
  <c r="S880" i="2"/>
  <c r="S891" i="2"/>
  <c r="S902" i="2"/>
  <c r="S911" i="2"/>
  <c r="S920" i="2"/>
  <c r="S930" i="2"/>
  <c r="S939" i="2"/>
  <c r="S948" i="2"/>
  <c r="S957" i="2"/>
  <c r="S966" i="2"/>
  <c r="S975" i="2"/>
  <c r="S984" i="2"/>
  <c r="S994" i="2"/>
  <c r="S1003" i="2"/>
  <c r="S1012" i="2"/>
  <c r="S1021" i="2"/>
  <c r="S1030" i="2"/>
  <c r="S1039" i="2"/>
  <c r="S1048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7" i="2"/>
  <c r="S34" i="2"/>
  <c r="S51" i="2"/>
  <c r="S67" i="2"/>
  <c r="S84" i="2"/>
  <c r="S103" i="2"/>
  <c r="S119" i="2"/>
  <c r="S137" i="2"/>
  <c r="S154" i="2"/>
  <c r="S170" i="2"/>
  <c r="S187" i="2"/>
  <c r="S204" i="2"/>
  <c r="S220" i="2"/>
  <c r="S239" i="2"/>
  <c r="S257" i="2"/>
  <c r="S273" i="2"/>
  <c r="S290" i="2"/>
  <c r="S307" i="2"/>
  <c r="S323" i="2"/>
  <c r="S340" i="2"/>
  <c r="S359" i="2"/>
  <c r="S375" i="2"/>
  <c r="S393" i="2"/>
  <c r="S410" i="2"/>
  <c r="S425" i="2"/>
  <c r="S440" i="2"/>
  <c r="S455" i="2"/>
  <c r="S467" i="2"/>
  <c r="S482" i="2"/>
  <c r="S497" i="2"/>
  <c r="S511" i="2"/>
  <c r="S524" i="2"/>
  <c r="S539" i="2"/>
  <c r="S553" i="2"/>
  <c r="S568" i="2"/>
  <c r="S583" i="2"/>
  <c r="S595" i="2"/>
  <c r="S610" i="2"/>
  <c r="S625" i="2"/>
  <c r="S639" i="2"/>
  <c r="S652" i="2"/>
  <c r="S667" i="2"/>
  <c r="S679" i="2"/>
  <c r="S690" i="2"/>
  <c r="S701" i="2"/>
  <c r="S711" i="2"/>
  <c r="S722" i="2"/>
  <c r="S733" i="2"/>
  <c r="S743" i="2"/>
  <c r="S754" i="2"/>
  <c r="S765" i="2"/>
  <c r="S775" i="2"/>
  <c r="S786" i="2"/>
  <c r="S797" i="2"/>
  <c r="S807" i="2"/>
  <c r="S818" i="2"/>
  <c r="S829" i="2"/>
  <c r="S839" i="2"/>
  <c r="S850" i="2"/>
  <c r="S861" i="2"/>
  <c r="S871" i="2"/>
  <c r="S882" i="2"/>
  <c r="S893" i="2"/>
  <c r="S903" i="2"/>
  <c r="S912" i="2"/>
  <c r="S922" i="2"/>
  <c r="S931" i="2"/>
  <c r="S940" i="2"/>
  <c r="S949" i="2"/>
  <c r="S958" i="2"/>
  <c r="S967" i="2"/>
  <c r="S976" i="2"/>
  <c r="S986" i="2"/>
  <c r="S995" i="2"/>
  <c r="S1004" i="2"/>
  <c r="S1013" i="2"/>
  <c r="S1022" i="2"/>
  <c r="S1031" i="2"/>
  <c r="S1040" i="2"/>
  <c r="S1050" i="2"/>
  <c r="S1059" i="2"/>
  <c r="S1067" i="2"/>
  <c r="S1075" i="2"/>
  <c r="S1083" i="2"/>
  <c r="S1091" i="2"/>
  <c r="S10" i="2"/>
  <c r="S39" i="2"/>
  <c r="S59" i="2"/>
  <c r="S81" i="2"/>
  <c r="S106" i="2"/>
  <c r="S129" i="2"/>
  <c r="S148" i="2"/>
  <c r="S175" i="2"/>
  <c r="S195" i="2"/>
  <c r="S218" i="2"/>
  <c r="S243" i="2"/>
  <c r="S265" i="2"/>
  <c r="S284" i="2"/>
  <c r="S311" i="2"/>
  <c r="S332" i="2"/>
  <c r="S354" i="2"/>
  <c r="S379" i="2"/>
  <c r="S401" i="2"/>
  <c r="S423" i="2"/>
  <c r="S443" i="2"/>
  <c r="S460" i="2"/>
  <c r="S479" i="2"/>
  <c r="S499" i="2"/>
  <c r="S519" i="2"/>
  <c r="S536" i="2"/>
  <c r="S556" i="2"/>
  <c r="S575" i="2"/>
  <c r="S593" i="2"/>
  <c r="S615" i="2"/>
  <c r="S632" i="2"/>
  <c r="S649" i="2"/>
  <c r="S670" i="2"/>
  <c r="S685" i="2"/>
  <c r="S698" i="2"/>
  <c r="S714" i="2"/>
  <c r="S727" i="2"/>
  <c r="S741" i="2"/>
  <c r="S757" i="2"/>
  <c r="S770" i="2"/>
  <c r="S783" i="2"/>
  <c r="S799" i="2"/>
  <c r="S813" i="2"/>
  <c r="S826" i="2"/>
  <c r="S842" i="2"/>
  <c r="S855" i="2"/>
  <c r="S869" i="2"/>
  <c r="S885" i="2"/>
  <c r="S898" i="2"/>
  <c r="S910" i="2"/>
  <c r="S924" i="2"/>
  <c r="S935" i="2"/>
  <c r="S947" i="2"/>
  <c r="S960" i="2"/>
  <c r="S972" i="2"/>
  <c r="S983" i="2"/>
  <c r="S997" i="2"/>
  <c r="S1008" i="2"/>
  <c r="S1020" i="2"/>
  <c r="S1034" i="2"/>
  <c r="S1045" i="2"/>
  <c r="S1056" i="2"/>
  <c r="S1069" i="2"/>
  <c r="S1079" i="2"/>
  <c r="S1089" i="2"/>
  <c r="S1100" i="2"/>
  <c r="S1109" i="2"/>
  <c r="S1118" i="2"/>
  <c r="S1127" i="2"/>
  <c r="S1136" i="2"/>
  <c r="S1145" i="2"/>
  <c r="S1155" i="2"/>
  <c r="S1164" i="2"/>
  <c r="S1173" i="2"/>
  <c r="S1182" i="2"/>
  <c r="S1191" i="2"/>
  <c r="S1200" i="2"/>
  <c r="S1209" i="2"/>
  <c r="S1219" i="2"/>
  <c r="S1228" i="2"/>
  <c r="S1237" i="2"/>
  <c r="S1246" i="2"/>
  <c r="S1255" i="2"/>
  <c r="S12" i="2"/>
  <c r="S41" i="2"/>
  <c r="S60" i="2"/>
  <c r="S87" i="2"/>
  <c r="S107" i="2"/>
  <c r="S130" i="2"/>
  <c r="S155" i="2"/>
  <c r="S177" i="2"/>
  <c r="S196" i="2"/>
  <c r="S223" i="2"/>
  <c r="S244" i="2"/>
  <c r="S266" i="2"/>
  <c r="S291" i="2"/>
  <c r="S313" i="2"/>
  <c r="S335" i="2"/>
  <c r="S361" i="2"/>
  <c r="S380" i="2"/>
  <c r="S402" i="2"/>
  <c r="S426" i="2"/>
  <c r="S444" i="2"/>
  <c r="S463" i="2"/>
  <c r="S483" i="2"/>
  <c r="S500" i="2"/>
  <c r="S520" i="2"/>
  <c r="S540" i="2"/>
  <c r="S559" i="2"/>
  <c r="S576" i="2"/>
  <c r="S596" i="2"/>
  <c r="S616" i="2"/>
  <c r="S633" i="2"/>
  <c r="S655" i="2"/>
  <c r="S671" i="2"/>
  <c r="S686" i="2"/>
  <c r="S702" i="2"/>
  <c r="S715" i="2"/>
  <c r="S728" i="2"/>
  <c r="S744" i="2"/>
  <c r="S758" i="2"/>
  <c r="S771" i="2"/>
  <c r="S787" i="2"/>
  <c r="S800" i="2"/>
  <c r="S814" i="2"/>
  <c r="S830" i="2"/>
  <c r="S843" i="2"/>
  <c r="S856" i="2"/>
  <c r="S872" i="2"/>
  <c r="S886" i="2"/>
  <c r="S899" i="2"/>
  <c r="S914" i="2"/>
  <c r="S925" i="2"/>
  <c r="S936" i="2"/>
  <c r="S950" i="2"/>
  <c r="S962" i="2"/>
  <c r="S973" i="2"/>
  <c r="S987" i="2"/>
  <c r="S998" i="2"/>
  <c r="S1010" i="2"/>
  <c r="S1023" i="2"/>
  <c r="S1035" i="2"/>
  <c r="S1046" i="2"/>
  <c r="S1060" i="2"/>
  <c r="S1070" i="2"/>
  <c r="S1080" i="2"/>
  <c r="S1092" i="2"/>
  <c r="S1101" i="2"/>
  <c r="S1110" i="2"/>
  <c r="S1119" i="2"/>
  <c r="S1128" i="2"/>
  <c r="S1137" i="2"/>
  <c r="S1147" i="2"/>
  <c r="S1156" i="2"/>
  <c r="S1165" i="2"/>
  <c r="S1174" i="2"/>
  <c r="S1183" i="2"/>
  <c r="S1192" i="2"/>
  <c r="S1201" i="2"/>
  <c r="S1211" i="2"/>
  <c r="S1220" i="2"/>
  <c r="S1229" i="2"/>
  <c r="S1238" i="2"/>
  <c r="S1247" i="2"/>
  <c r="S1256" i="2"/>
  <c r="S18" i="2"/>
  <c r="S42" i="2"/>
  <c r="S65" i="2"/>
  <c r="S20" i="2"/>
  <c r="S43" i="2"/>
  <c r="S68" i="2"/>
  <c r="S91" i="2"/>
  <c r="S113" i="2"/>
  <c r="S138" i="2"/>
  <c r="S159" i="2"/>
  <c r="S180" i="2"/>
  <c r="S207" i="2"/>
  <c r="S227" i="2"/>
  <c r="S249" i="2"/>
  <c r="S274" i="2"/>
  <c r="S297" i="2"/>
  <c r="S316" i="2"/>
  <c r="S343" i="2"/>
  <c r="S363" i="2"/>
  <c r="S386" i="2"/>
  <c r="S411" i="2"/>
  <c r="S431" i="2"/>
  <c r="S448" i="2"/>
  <c r="S468" i="2"/>
  <c r="S488" i="2"/>
  <c r="S505" i="2"/>
  <c r="S527" i="2"/>
  <c r="S544" i="2"/>
  <c r="S562" i="2"/>
  <c r="S584" i="2"/>
  <c r="S601" i="2"/>
  <c r="S618" i="2"/>
  <c r="S640" i="2"/>
  <c r="S658" i="2"/>
  <c r="S674" i="2"/>
  <c r="S691" i="2"/>
  <c r="S704" i="2"/>
  <c r="S718" i="2"/>
  <c r="S734" i="2"/>
  <c r="S747" i="2"/>
  <c r="S760" i="2"/>
  <c r="S776" i="2"/>
  <c r="S790" i="2"/>
  <c r="S803" i="2"/>
  <c r="S819" i="2"/>
  <c r="S832" i="2"/>
  <c r="S846" i="2"/>
  <c r="S862" i="2"/>
  <c r="S875" i="2"/>
  <c r="S888" i="2"/>
  <c r="S904" i="2"/>
  <c r="S916" i="2"/>
  <c r="S927" i="2"/>
  <c r="S941" i="2"/>
  <c r="S952" i="2"/>
  <c r="S964" i="2"/>
  <c r="S978" i="2"/>
  <c r="S989" i="2"/>
  <c r="S1000" i="2"/>
  <c r="S1014" i="2"/>
  <c r="S1026" i="2"/>
  <c r="S1037" i="2"/>
  <c r="S1051" i="2"/>
  <c r="S1062" i="2"/>
  <c r="S1072" i="2"/>
  <c r="S1084" i="2"/>
  <c r="S1094" i="2"/>
  <c r="S1103" i="2"/>
  <c r="S1112" i="2"/>
  <c r="S1121" i="2"/>
  <c r="S1131" i="2"/>
  <c r="S1140" i="2"/>
  <c r="S1149" i="2"/>
  <c r="S1158" i="2"/>
  <c r="S1167" i="2"/>
  <c r="S1176" i="2"/>
  <c r="S1185" i="2"/>
  <c r="S1195" i="2"/>
  <c r="S1204" i="2"/>
  <c r="S1213" i="2"/>
  <c r="S1222" i="2"/>
  <c r="S1231" i="2"/>
  <c r="S1240" i="2"/>
  <c r="S1249" i="2"/>
  <c r="S23" i="2"/>
  <c r="S73" i="2"/>
  <c r="S105" i="2"/>
  <c r="S143" i="2"/>
  <c r="S179" i="2"/>
  <c r="S212" i="2"/>
  <c r="S251" i="2"/>
  <c r="S283" i="2"/>
  <c r="S324" i="2"/>
  <c r="S362" i="2"/>
  <c r="S396" i="2"/>
  <c r="S433" i="2"/>
  <c r="S458" i="2"/>
  <c r="S490" i="2"/>
  <c r="S521" i="2"/>
  <c r="S551" i="2"/>
  <c r="S585" i="2"/>
  <c r="S611" i="2"/>
  <c r="S643" i="2"/>
  <c r="S673" i="2"/>
  <c r="S695" i="2"/>
  <c r="S719" i="2"/>
  <c r="S739" i="2"/>
  <c r="S766" i="2"/>
  <c r="S789" i="2"/>
  <c r="S810" i="2"/>
  <c r="S834" i="2"/>
  <c r="S854" i="2"/>
  <c r="S878" i="2"/>
  <c r="S901" i="2"/>
  <c r="S919" i="2"/>
  <c r="S942" i="2"/>
  <c r="S959" i="2"/>
  <c r="S980" i="2"/>
  <c r="S999" i="2"/>
  <c r="S1018" i="2"/>
  <c r="S1038" i="2"/>
  <c r="S1055" i="2"/>
  <c r="S1076" i="2"/>
  <c r="S1093" i="2"/>
  <c r="S1107" i="2"/>
  <c r="S1123" i="2"/>
  <c r="S1135" i="2"/>
  <c r="S1151" i="2"/>
  <c r="S1166" i="2"/>
  <c r="S1180" i="2"/>
  <c r="S1196" i="2"/>
  <c r="S1208" i="2"/>
  <c r="S1224" i="2"/>
  <c r="S1239" i="2"/>
  <c r="S1253" i="2"/>
  <c r="S121" i="2"/>
  <c r="S193" i="2"/>
  <c r="S260" i="2"/>
  <c r="S412" i="2"/>
  <c r="S531" i="2"/>
  <c r="S626" i="2"/>
  <c r="S657" i="2"/>
  <c r="S726" i="2"/>
  <c r="S794" i="2"/>
  <c r="S840" i="2"/>
  <c r="S908" i="2"/>
  <c r="S928" i="2"/>
  <c r="S988" i="2"/>
  <c r="S1044" i="2"/>
  <c r="S1097" i="2"/>
  <c r="S1126" i="2"/>
  <c r="S1171" i="2"/>
  <c r="S1199" i="2"/>
  <c r="S1244" i="2"/>
  <c r="S90" i="2"/>
  <c r="S194" i="2"/>
  <c r="S268" i="2"/>
  <c r="S303" i="2"/>
  <c r="S377" i="2"/>
  <c r="S447" i="2"/>
  <c r="S507" i="2"/>
  <c r="S569" i="2"/>
  <c r="S600" i="2"/>
  <c r="S659" i="2"/>
  <c r="S751" i="2"/>
  <c r="S798" i="2"/>
  <c r="S845" i="2"/>
  <c r="S890" i="2"/>
  <c r="S951" i="2"/>
  <c r="S990" i="2"/>
  <c r="S1028" i="2"/>
  <c r="S1065" i="2"/>
  <c r="S1115" i="2"/>
  <c r="S1143" i="2"/>
  <c r="S1172" i="2"/>
  <c r="S1203" i="2"/>
  <c r="S1245" i="2"/>
  <c r="S92" i="2"/>
  <c r="S163" i="2"/>
  <c r="S276" i="2"/>
  <c r="S347" i="2"/>
  <c r="S418" i="2"/>
  <c r="S476" i="2"/>
  <c r="S543" i="2"/>
  <c r="S571" i="2"/>
  <c r="S628" i="2"/>
  <c r="S709" i="2"/>
  <c r="S779" i="2"/>
  <c r="S823" i="2"/>
  <c r="S867" i="2"/>
  <c r="S915" i="2"/>
  <c r="S971" i="2"/>
  <c r="S1011" i="2"/>
  <c r="S1052" i="2"/>
  <c r="S1086" i="2"/>
  <c r="S1116" i="2"/>
  <c r="S1144" i="2"/>
  <c r="S1175" i="2"/>
  <c r="S1217" i="2"/>
  <c r="S1248" i="2"/>
  <c r="S55" i="2"/>
  <c r="S209" i="2"/>
  <c r="S279" i="2"/>
  <c r="S348" i="2"/>
  <c r="S419" i="2"/>
  <c r="S487" i="2"/>
  <c r="S546" i="2"/>
  <c r="S604" i="2"/>
  <c r="S712" i="2"/>
  <c r="S736" i="2"/>
  <c r="S781" i="2"/>
  <c r="S824" i="2"/>
  <c r="S895" i="2"/>
  <c r="S934" i="2"/>
  <c r="S974" i="2"/>
  <c r="S1032" i="2"/>
  <c r="S1071" i="2"/>
  <c r="S1104" i="2"/>
  <c r="S1148" i="2"/>
  <c r="S1190" i="2"/>
  <c r="S1235" i="2"/>
  <c r="S57" i="2"/>
  <c r="S210" i="2"/>
  <c r="S282" i="2"/>
  <c r="S351" i="2"/>
  <c r="S428" i="2"/>
  <c r="S489" i="2"/>
  <c r="S547" i="2"/>
  <c r="S607" i="2"/>
  <c r="S668" i="2"/>
  <c r="S717" i="2"/>
  <c r="S762" i="2"/>
  <c r="S831" i="2"/>
  <c r="S896" i="2"/>
  <c r="S938" i="2"/>
  <c r="S979" i="2"/>
  <c r="S1016" i="2"/>
  <c r="S1073" i="2"/>
  <c r="S1105" i="2"/>
  <c r="S1163" i="2"/>
  <c r="S1193" i="2"/>
  <c r="S27" i="2"/>
  <c r="S74" i="2"/>
  <c r="S111" i="2"/>
  <c r="S145" i="2"/>
  <c r="S183" i="2"/>
  <c r="S215" i="2"/>
  <c r="S258" i="2"/>
  <c r="S295" i="2"/>
  <c r="S329" i="2"/>
  <c r="S367" i="2"/>
  <c r="S399" i="2"/>
  <c r="S434" i="2"/>
  <c r="S465" i="2"/>
  <c r="S492" i="2"/>
  <c r="S529" i="2"/>
  <c r="S554" i="2"/>
  <c r="S586" i="2"/>
  <c r="S617" i="2"/>
  <c r="S647" i="2"/>
  <c r="S676" i="2"/>
  <c r="S696" i="2"/>
  <c r="S723" i="2"/>
  <c r="S746" i="2"/>
  <c r="S767" i="2"/>
  <c r="S791" i="2"/>
  <c r="S811" i="2"/>
  <c r="S835" i="2"/>
  <c r="S858" i="2"/>
  <c r="S879" i="2"/>
  <c r="S906" i="2"/>
  <c r="S923" i="2"/>
  <c r="S943" i="2"/>
  <c r="S963" i="2"/>
  <c r="S981" i="2"/>
  <c r="S1002" i="2"/>
  <c r="S1019" i="2"/>
  <c r="S1042" i="2"/>
  <c r="S1061" i="2"/>
  <c r="S1077" i="2"/>
  <c r="S1095" i="2"/>
  <c r="S1108" i="2"/>
  <c r="S1124" i="2"/>
  <c r="S1139" i="2"/>
  <c r="S1152" i="2"/>
  <c r="S1168" i="2"/>
  <c r="S1181" i="2"/>
  <c r="S1197" i="2"/>
  <c r="S1212" i="2"/>
  <c r="S1225" i="2"/>
  <c r="S1241" i="2"/>
  <c r="S1254" i="2"/>
  <c r="S79" i="2"/>
  <c r="S231" i="2"/>
  <c r="S299" i="2"/>
  <c r="S441" i="2"/>
  <c r="S504" i="2"/>
  <c r="S591" i="2"/>
  <c r="S706" i="2"/>
  <c r="S750" i="2"/>
  <c r="S821" i="2"/>
  <c r="S887" i="2"/>
  <c r="S968" i="2"/>
  <c r="S1027" i="2"/>
  <c r="S1064" i="2"/>
  <c r="S1113" i="2"/>
  <c r="S1157" i="2"/>
  <c r="S1187" i="2"/>
  <c r="S1230" i="2"/>
  <c r="S47" i="2"/>
  <c r="S162" i="2"/>
  <c r="S233" i="2"/>
  <c r="S346" i="2"/>
  <c r="S415" i="2"/>
  <c r="S475" i="2"/>
  <c r="S532" i="2"/>
  <c r="S627" i="2"/>
  <c r="S683" i="2"/>
  <c r="S730" i="2"/>
  <c r="S778" i="2"/>
  <c r="S822" i="2"/>
  <c r="S866" i="2"/>
  <c r="S932" i="2"/>
  <c r="S970" i="2"/>
  <c r="S1007" i="2"/>
  <c r="S1047" i="2"/>
  <c r="S1099" i="2"/>
  <c r="S1129" i="2"/>
  <c r="S1159" i="2"/>
  <c r="S1216" i="2"/>
  <c r="S1232" i="2"/>
  <c r="S52" i="2"/>
  <c r="S201" i="2"/>
  <c r="S234" i="2"/>
  <c r="S308" i="2"/>
  <c r="S385" i="2"/>
  <c r="S450" i="2"/>
  <c r="S512" i="2"/>
  <c r="S603" i="2"/>
  <c r="S660" i="2"/>
  <c r="S687" i="2"/>
  <c r="S755" i="2"/>
  <c r="S802" i="2"/>
  <c r="S847" i="2"/>
  <c r="S894" i="2"/>
  <c r="S954" i="2"/>
  <c r="S991" i="2"/>
  <c r="S1029" i="2"/>
  <c r="S1068" i="2"/>
  <c r="S1132" i="2"/>
  <c r="S1160" i="2"/>
  <c r="S1189" i="2"/>
  <c r="S1233" i="2"/>
  <c r="S95" i="2"/>
  <c r="S167" i="2"/>
  <c r="S241" i="2"/>
  <c r="S315" i="2"/>
  <c r="S387" i="2"/>
  <c r="S456" i="2"/>
  <c r="S514" i="2"/>
  <c r="S572" i="2"/>
  <c r="S635" i="2"/>
  <c r="S693" i="2"/>
  <c r="S759" i="2"/>
  <c r="S805" i="2"/>
  <c r="S851" i="2"/>
  <c r="S917" i="2"/>
  <c r="S955" i="2"/>
  <c r="S992" i="2"/>
  <c r="S1053" i="2"/>
  <c r="S1087" i="2"/>
  <c r="S1117" i="2"/>
  <c r="S1161" i="2"/>
  <c r="S1177" i="2"/>
  <c r="S1206" i="2"/>
  <c r="S1251" i="2"/>
  <c r="S98" i="2"/>
  <c r="S171" i="2"/>
  <c r="S247" i="2"/>
  <c r="S321" i="2"/>
  <c r="S394" i="2"/>
  <c r="S457" i="2"/>
  <c r="S515" i="2"/>
  <c r="S578" i="2"/>
  <c r="S642" i="2"/>
  <c r="S738" i="2"/>
  <c r="S782" i="2"/>
  <c r="S808" i="2"/>
  <c r="S853" i="2"/>
  <c r="S918" i="2"/>
  <c r="S956" i="2"/>
  <c r="S996" i="2"/>
  <c r="S1036" i="2"/>
  <c r="S1088" i="2"/>
  <c r="S1120" i="2"/>
  <c r="S1134" i="2"/>
  <c r="S1179" i="2"/>
  <c r="S28" i="2"/>
  <c r="S76" i="2"/>
  <c r="S115" i="2"/>
  <c r="S146" i="2"/>
  <c r="S188" i="2"/>
  <c r="S226" i="2"/>
  <c r="S259" i="2"/>
  <c r="S298" i="2"/>
  <c r="S330" i="2"/>
  <c r="S369" i="2"/>
  <c r="S404" i="2"/>
  <c r="S435" i="2"/>
  <c r="S472" i="2"/>
  <c r="S498" i="2"/>
  <c r="S530" i="2"/>
  <c r="S561" i="2"/>
  <c r="S588" i="2"/>
  <c r="S620" i="2"/>
  <c r="S648" i="2"/>
  <c r="S680" i="2"/>
  <c r="S703" i="2"/>
  <c r="S725" i="2"/>
  <c r="S749" i="2"/>
  <c r="S768" i="2"/>
  <c r="S792" i="2"/>
  <c r="S815" i="2"/>
  <c r="S837" i="2"/>
  <c r="S863" i="2"/>
  <c r="S883" i="2"/>
  <c r="S907" i="2"/>
  <c r="S926" i="2"/>
  <c r="S944" i="2"/>
  <c r="S965" i="2"/>
  <c r="S982" i="2"/>
  <c r="S1005" i="2"/>
  <c r="S1024" i="2"/>
  <c r="S1043" i="2"/>
  <c r="S1063" i="2"/>
  <c r="S1078" i="2"/>
  <c r="S1096" i="2"/>
  <c r="S1111" i="2"/>
  <c r="S1125" i="2"/>
  <c r="S1141" i="2"/>
  <c r="S1153" i="2"/>
  <c r="S1169" i="2"/>
  <c r="S1184" i="2"/>
  <c r="S1198" i="2"/>
  <c r="S1214" i="2"/>
  <c r="S1227" i="2"/>
  <c r="S1243" i="2"/>
  <c r="S1257" i="2"/>
  <c r="S35" i="2"/>
  <c r="S156" i="2"/>
  <c r="S337" i="2"/>
  <c r="S371" i="2"/>
  <c r="S473" i="2"/>
  <c r="S563" i="2"/>
  <c r="S682" i="2"/>
  <c r="S773" i="2"/>
  <c r="S864" i="2"/>
  <c r="S946" i="2"/>
  <c r="S1006" i="2"/>
  <c r="S1081" i="2"/>
  <c r="S1142" i="2"/>
  <c r="S1215" i="2"/>
  <c r="S123" i="2"/>
  <c r="S707" i="2"/>
  <c r="S909" i="2"/>
  <c r="S1085" i="2"/>
  <c r="S1188" i="2"/>
  <c r="S124" i="2"/>
  <c r="S735" i="2"/>
  <c r="S933" i="2"/>
  <c r="S1102" i="2"/>
  <c r="S1205" i="2"/>
  <c r="S131" i="2"/>
  <c r="S664" i="2"/>
  <c r="S874" i="2"/>
  <c r="S1015" i="2"/>
  <c r="S1133" i="2"/>
  <c r="S1221" i="2"/>
  <c r="S140" i="2"/>
  <c r="S694" i="2"/>
  <c r="S877" i="2"/>
  <c r="S1054" i="2"/>
  <c r="S1150" i="2"/>
  <c r="S1207" i="2"/>
  <c r="S1223" i="2"/>
  <c r="S1236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6" i="2"/>
  <c r="R22" i="2"/>
  <c r="R38" i="2"/>
  <c r="R54" i="2"/>
  <c r="R70" i="2"/>
  <c r="R86" i="2"/>
  <c r="R102" i="2"/>
  <c r="R118" i="2"/>
  <c r="R134" i="2"/>
  <c r="R150" i="2"/>
  <c r="R166" i="2"/>
  <c r="R182" i="2"/>
  <c r="R198" i="2"/>
  <c r="R214" i="2"/>
  <c r="R230" i="2"/>
  <c r="R246" i="2"/>
  <c r="R262" i="2"/>
  <c r="R278" i="2"/>
  <c r="R294" i="2"/>
  <c r="R308" i="2"/>
  <c r="R321" i="2"/>
  <c r="R331" i="2"/>
  <c r="R342" i="2"/>
  <c r="R353" i="2"/>
  <c r="R363" i="2"/>
  <c r="R374" i="2"/>
  <c r="R385" i="2"/>
  <c r="R395" i="2"/>
  <c r="R406" i="2"/>
  <c r="R417" i="2"/>
  <c r="R427" i="2"/>
  <c r="R438" i="2"/>
  <c r="R449" i="2"/>
  <c r="R459" i="2"/>
  <c r="R470" i="2"/>
  <c r="R481" i="2"/>
  <c r="R491" i="2"/>
  <c r="R502" i="2"/>
  <c r="R513" i="2"/>
  <c r="R523" i="2"/>
  <c r="R534" i="2"/>
  <c r="R545" i="2"/>
  <c r="R555" i="2"/>
  <c r="R566" i="2"/>
  <c r="R576" i="2"/>
  <c r="R585" i="2"/>
  <c r="R594" i="2"/>
  <c r="R603" i="2"/>
  <c r="R612" i="2"/>
  <c r="R622" i="2"/>
  <c r="R631" i="2"/>
  <c r="R640" i="2"/>
  <c r="R649" i="2"/>
  <c r="R658" i="2"/>
  <c r="R667" i="2"/>
  <c r="R676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8" i="2"/>
  <c r="R24" i="2"/>
  <c r="R40" i="2"/>
  <c r="R56" i="2"/>
  <c r="R72" i="2"/>
  <c r="R88" i="2"/>
  <c r="R104" i="2"/>
  <c r="R120" i="2"/>
  <c r="R136" i="2"/>
  <c r="R152" i="2"/>
  <c r="R168" i="2"/>
  <c r="R184" i="2"/>
  <c r="R200" i="2"/>
  <c r="R216" i="2"/>
  <c r="R232" i="2"/>
  <c r="R248" i="2"/>
  <c r="R264" i="2"/>
  <c r="R280" i="2"/>
  <c r="R296" i="2"/>
  <c r="R310" i="2"/>
  <c r="R322" i="2"/>
  <c r="R332" i="2"/>
  <c r="R344" i="2"/>
  <c r="R354" i="2"/>
  <c r="R364" i="2"/>
  <c r="R376" i="2"/>
  <c r="R386" i="2"/>
  <c r="R396" i="2"/>
  <c r="R408" i="2"/>
  <c r="R418" i="2"/>
  <c r="R428" i="2"/>
  <c r="R440" i="2"/>
  <c r="R450" i="2"/>
  <c r="R460" i="2"/>
  <c r="R472" i="2"/>
  <c r="R482" i="2"/>
  <c r="R492" i="2"/>
  <c r="R504" i="2"/>
  <c r="R514" i="2"/>
  <c r="R524" i="2"/>
  <c r="R536" i="2"/>
  <c r="R546" i="2"/>
  <c r="R556" i="2"/>
  <c r="R568" i="2"/>
  <c r="R577" i="2"/>
  <c r="R586" i="2"/>
  <c r="R595" i="2"/>
  <c r="R604" i="2"/>
  <c r="R614" i="2"/>
  <c r="R623" i="2"/>
  <c r="R632" i="2"/>
  <c r="R641" i="2"/>
  <c r="R650" i="2"/>
  <c r="R659" i="2"/>
  <c r="R668" i="2"/>
  <c r="R678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" i="2"/>
  <c r="R25" i="2"/>
  <c r="R41" i="2"/>
  <c r="R57" i="2"/>
  <c r="R73" i="2"/>
  <c r="R89" i="2"/>
  <c r="R105" i="2"/>
  <c r="R121" i="2"/>
  <c r="R137" i="2"/>
  <c r="R153" i="2"/>
  <c r="R169" i="2"/>
  <c r="R185" i="2"/>
  <c r="R201" i="2"/>
  <c r="R217" i="2"/>
  <c r="R233" i="2"/>
  <c r="R249" i="2"/>
  <c r="R265" i="2"/>
  <c r="R281" i="2"/>
  <c r="R297" i="2"/>
  <c r="R312" i="2"/>
  <c r="R323" i="2"/>
  <c r="R334" i="2"/>
  <c r="R345" i="2"/>
  <c r="R355" i="2"/>
  <c r="R366" i="2"/>
  <c r="R377" i="2"/>
  <c r="R387" i="2"/>
  <c r="R398" i="2"/>
  <c r="R409" i="2"/>
  <c r="R419" i="2"/>
  <c r="R430" i="2"/>
  <c r="R441" i="2"/>
  <c r="R451" i="2"/>
  <c r="R462" i="2"/>
  <c r="R473" i="2"/>
  <c r="R483" i="2"/>
  <c r="R494" i="2"/>
  <c r="R505" i="2"/>
  <c r="R515" i="2"/>
  <c r="R526" i="2"/>
  <c r="R537" i="2"/>
  <c r="R547" i="2"/>
  <c r="R558" i="2"/>
  <c r="R569" i="2"/>
  <c r="R578" i="2"/>
  <c r="R587" i="2"/>
  <c r="R596" i="2"/>
  <c r="R606" i="2"/>
  <c r="R615" i="2"/>
  <c r="R624" i="2"/>
  <c r="R633" i="2"/>
  <c r="R642" i="2"/>
  <c r="R651" i="2"/>
  <c r="R660" i="2"/>
  <c r="R670" i="2"/>
  <c r="R679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12" i="2"/>
  <c r="R28" i="2"/>
  <c r="R44" i="2"/>
  <c r="R60" i="2"/>
  <c r="R76" i="2"/>
  <c r="R92" i="2"/>
  <c r="R108" i="2"/>
  <c r="R124" i="2"/>
  <c r="R140" i="2"/>
  <c r="R156" i="2"/>
  <c r="R172" i="2"/>
  <c r="R188" i="2"/>
  <c r="R204" i="2"/>
  <c r="R220" i="2"/>
  <c r="R236" i="2"/>
  <c r="R252" i="2"/>
  <c r="R268" i="2"/>
  <c r="R284" i="2"/>
  <c r="R300" i="2"/>
  <c r="R313" i="2"/>
  <c r="R324" i="2"/>
  <c r="R336" i="2"/>
  <c r="R346" i="2"/>
  <c r="R356" i="2"/>
  <c r="R368" i="2"/>
  <c r="R378" i="2"/>
  <c r="R388" i="2"/>
  <c r="R400" i="2"/>
  <c r="R410" i="2"/>
  <c r="R420" i="2"/>
  <c r="R432" i="2"/>
  <c r="R442" i="2"/>
  <c r="R452" i="2"/>
  <c r="R464" i="2"/>
  <c r="R474" i="2"/>
  <c r="R484" i="2"/>
  <c r="R496" i="2"/>
  <c r="R506" i="2"/>
  <c r="R516" i="2"/>
  <c r="R528" i="2"/>
  <c r="R538" i="2"/>
  <c r="R548" i="2"/>
  <c r="R560" i="2"/>
  <c r="R570" i="2"/>
  <c r="R579" i="2"/>
  <c r="R588" i="2"/>
  <c r="R598" i="2"/>
  <c r="R607" i="2"/>
  <c r="R616" i="2"/>
  <c r="R625" i="2"/>
  <c r="R634" i="2"/>
  <c r="R643" i="2"/>
  <c r="R652" i="2"/>
  <c r="R662" i="2"/>
  <c r="R671" i="2"/>
  <c r="R680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14" i="2"/>
  <c r="R30" i="2"/>
  <c r="R46" i="2"/>
  <c r="R62" i="2"/>
  <c r="R78" i="2"/>
  <c r="R94" i="2"/>
  <c r="R110" i="2"/>
  <c r="R126" i="2"/>
  <c r="R142" i="2"/>
  <c r="R158" i="2"/>
  <c r="R174" i="2"/>
  <c r="R190" i="2"/>
  <c r="R206" i="2"/>
  <c r="R222" i="2"/>
  <c r="R238" i="2"/>
  <c r="R254" i="2"/>
  <c r="R270" i="2"/>
  <c r="R286" i="2"/>
  <c r="R302" i="2"/>
  <c r="R315" i="2"/>
  <c r="R326" i="2"/>
  <c r="R337" i="2"/>
  <c r="R347" i="2"/>
  <c r="R358" i="2"/>
  <c r="R369" i="2"/>
  <c r="R379" i="2"/>
  <c r="R390" i="2"/>
  <c r="R401" i="2"/>
  <c r="R411" i="2"/>
  <c r="R422" i="2"/>
  <c r="R433" i="2"/>
  <c r="R443" i="2"/>
  <c r="R454" i="2"/>
  <c r="R465" i="2"/>
  <c r="R475" i="2"/>
  <c r="R486" i="2"/>
  <c r="R497" i="2"/>
  <c r="R507" i="2"/>
  <c r="R518" i="2"/>
  <c r="R529" i="2"/>
  <c r="R539" i="2"/>
  <c r="R550" i="2"/>
  <c r="R561" i="2"/>
  <c r="R571" i="2"/>
  <c r="R580" i="2"/>
  <c r="R590" i="2"/>
  <c r="R599" i="2"/>
  <c r="R608" i="2"/>
  <c r="R617" i="2"/>
  <c r="R626" i="2"/>
  <c r="R635" i="2"/>
  <c r="R644" i="2"/>
  <c r="R16" i="2"/>
  <c r="R52" i="2"/>
  <c r="R97" i="2"/>
  <c r="R144" i="2"/>
  <c r="R180" i="2"/>
  <c r="R225" i="2"/>
  <c r="R272" i="2"/>
  <c r="R307" i="2"/>
  <c r="R339" i="2"/>
  <c r="R370" i="2"/>
  <c r="R394" i="2"/>
  <c r="R425" i="2"/>
  <c r="R456" i="2"/>
  <c r="R480" i="2"/>
  <c r="R510" i="2"/>
  <c r="R540" i="2"/>
  <c r="R564" i="2"/>
  <c r="R592" i="2"/>
  <c r="R618" i="2"/>
  <c r="R639" i="2"/>
  <c r="R663" i="2"/>
  <c r="R681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0" i="2"/>
  <c r="R914" i="2"/>
  <c r="R923" i="2"/>
  <c r="R932" i="2"/>
  <c r="R942" i="2"/>
  <c r="R951" i="2"/>
  <c r="R960" i="2"/>
  <c r="R969" i="2"/>
  <c r="R978" i="2"/>
  <c r="R987" i="2"/>
  <c r="R996" i="2"/>
  <c r="R1006" i="2"/>
  <c r="R1015" i="2"/>
  <c r="R1024" i="2"/>
  <c r="R1033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13" i="2"/>
  <c r="R320" i="2"/>
  <c r="R466" i="2"/>
  <c r="R575" i="2"/>
  <c r="R684" i="2"/>
  <c r="R732" i="2"/>
  <c r="R17" i="2"/>
  <c r="R64" i="2"/>
  <c r="R100" i="2"/>
  <c r="R145" i="2"/>
  <c r="R192" i="2"/>
  <c r="R228" i="2"/>
  <c r="R273" i="2"/>
  <c r="R316" i="2"/>
  <c r="R340" i="2"/>
  <c r="R371" i="2"/>
  <c r="R402" i="2"/>
  <c r="R426" i="2"/>
  <c r="R457" i="2"/>
  <c r="R488" i="2"/>
  <c r="R512" i="2"/>
  <c r="R542" i="2"/>
  <c r="R572" i="2"/>
  <c r="R593" i="2"/>
  <c r="R619" i="2"/>
  <c r="R646" i="2"/>
  <c r="R664" i="2"/>
  <c r="R682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4" i="2"/>
  <c r="R915" i="2"/>
  <c r="R924" i="2"/>
  <c r="R934" i="2"/>
  <c r="R943" i="2"/>
  <c r="R952" i="2"/>
  <c r="R961" i="2"/>
  <c r="R970" i="2"/>
  <c r="R979" i="2"/>
  <c r="R988" i="2"/>
  <c r="R998" i="2"/>
  <c r="R1007" i="2"/>
  <c r="R1016" i="2"/>
  <c r="R1025" i="2"/>
  <c r="R1034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32" i="2"/>
  <c r="R196" i="2"/>
  <c r="R241" i="2"/>
  <c r="R350" i="2"/>
  <c r="R404" i="2"/>
  <c r="R490" i="2"/>
  <c r="R552" i="2"/>
  <c r="R627" i="2"/>
  <c r="R666" i="2"/>
  <c r="R716" i="2"/>
  <c r="R748" i="2"/>
  <c r="R20" i="2"/>
  <c r="R65" i="2"/>
  <c r="R112" i="2"/>
  <c r="R148" i="2"/>
  <c r="R193" i="2"/>
  <c r="R240" i="2"/>
  <c r="R276" i="2"/>
  <c r="R318" i="2"/>
  <c r="R348" i="2"/>
  <c r="R372" i="2"/>
  <c r="R403" i="2"/>
  <c r="R434" i="2"/>
  <c r="R458" i="2"/>
  <c r="R489" i="2"/>
  <c r="R520" i="2"/>
  <c r="R544" i="2"/>
  <c r="R574" i="2"/>
  <c r="R600" i="2"/>
  <c r="R620" i="2"/>
  <c r="R647" i="2"/>
  <c r="R665" i="2"/>
  <c r="R683" i="2"/>
  <c r="R699" i="2"/>
  <c r="R715" i="2"/>
  <c r="R731" i="2"/>
  <c r="R747" i="2"/>
  <c r="R763" i="2"/>
  <c r="R779" i="2"/>
  <c r="R795" i="2"/>
  <c r="R811" i="2"/>
  <c r="R827" i="2"/>
  <c r="R843" i="2"/>
  <c r="R859" i="2"/>
  <c r="R875" i="2"/>
  <c r="R891" i="2"/>
  <c r="R905" i="2"/>
  <c r="R916" i="2"/>
  <c r="R926" i="2"/>
  <c r="R935" i="2"/>
  <c r="R944" i="2"/>
  <c r="R953" i="2"/>
  <c r="R962" i="2"/>
  <c r="R971" i="2"/>
  <c r="R980" i="2"/>
  <c r="R990" i="2"/>
  <c r="R999" i="2"/>
  <c r="R1008" i="2"/>
  <c r="R1017" i="2"/>
  <c r="R1026" i="2"/>
  <c r="R1035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68" i="2"/>
  <c r="R160" i="2"/>
  <c r="R288" i="2"/>
  <c r="R380" i="2"/>
  <c r="R435" i="2"/>
  <c r="R521" i="2"/>
  <c r="R601" i="2"/>
  <c r="R648" i="2"/>
  <c r="R700" i="2"/>
  <c r="R36" i="2"/>
  <c r="R81" i="2"/>
  <c r="R128" i="2"/>
  <c r="R164" i="2"/>
  <c r="R209" i="2"/>
  <c r="R256" i="2"/>
  <c r="R292" i="2"/>
  <c r="R329" i="2"/>
  <c r="R360" i="2"/>
  <c r="R384" i="2"/>
  <c r="R414" i="2"/>
  <c r="R444" i="2"/>
  <c r="R468" i="2"/>
  <c r="R499" i="2"/>
  <c r="R530" i="2"/>
  <c r="R554" i="2"/>
  <c r="R583" i="2"/>
  <c r="R609" i="2"/>
  <c r="R630" i="2"/>
  <c r="R655" i="2"/>
  <c r="R673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7" i="2"/>
  <c r="R908" i="2"/>
  <c r="R920" i="2"/>
  <c r="R929" i="2"/>
  <c r="R938" i="2"/>
  <c r="R947" i="2"/>
  <c r="R956" i="2"/>
  <c r="R966" i="2"/>
  <c r="R975" i="2"/>
  <c r="R984" i="2"/>
  <c r="R993" i="2"/>
  <c r="R1002" i="2"/>
  <c r="R1011" i="2"/>
  <c r="R1020" i="2"/>
  <c r="R1030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49" i="2"/>
  <c r="R96" i="2"/>
  <c r="R132" i="2"/>
  <c r="R177" i="2"/>
  <c r="R224" i="2"/>
  <c r="R260" i="2"/>
  <c r="R305" i="2"/>
  <c r="R338" i="2"/>
  <c r="R48" i="2"/>
  <c r="R84" i="2"/>
  <c r="R129" i="2"/>
  <c r="R176" i="2"/>
  <c r="R212" i="2"/>
  <c r="R257" i="2"/>
  <c r="R304" i="2"/>
  <c r="R330" i="2"/>
  <c r="R361" i="2"/>
  <c r="R392" i="2"/>
  <c r="R416" i="2"/>
  <c r="R446" i="2"/>
  <c r="R476" i="2"/>
  <c r="R500" i="2"/>
  <c r="R531" i="2"/>
  <c r="R562" i="2"/>
  <c r="R584" i="2"/>
  <c r="R610" i="2"/>
  <c r="R636" i="2"/>
  <c r="R656" i="2"/>
  <c r="R674" i="2"/>
  <c r="R691" i="2"/>
  <c r="R707" i="2"/>
  <c r="R723" i="2"/>
  <c r="R739" i="2"/>
  <c r="R755" i="2"/>
  <c r="R771" i="2"/>
  <c r="R787" i="2"/>
  <c r="R803" i="2"/>
  <c r="R819" i="2"/>
  <c r="R835" i="2"/>
  <c r="R851" i="2"/>
  <c r="R867" i="2"/>
  <c r="R883" i="2"/>
  <c r="R898" i="2"/>
  <c r="R912" i="2"/>
  <c r="R921" i="2"/>
  <c r="R930" i="2"/>
  <c r="R939" i="2"/>
  <c r="R948" i="2"/>
  <c r="R958" i="2"/>
  <c r="R967" i="2"/>
  <c r="R976" i="2"/>
  <c r="R985" i="2"/>
  <c r="R994" i="2"/>
  <c r="R1003" i="2"/>
  <c r="R1012" i="2"/>
  <c r="R1022" i="2"/>
  <c r="R1031" i="2"/>
  <c r="R1040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3" i="2"/>
  <c r="R352" i="2"/>
  <c r="R467" i="2"/>
  <c r="R582" i="2"/>
  <c r="R672" i="2"/>
  <c r="R737" i="2"/>
  <c r="R785" i="2"/>
  <c r="R828" i="2"/>
  <c r="R868" i="2"/>
  <c r="R907" i="2"/>
  <c r="R936" i="2"/>
  <c r="R959" i="2"/>
  <c r="R983" i="2"/>
  <c r="R1009" i="2"/>
  <c r="R1032" i="2"/>
  <c r="R1054" i="2"/>
  <c r="R1077" i="2"/>
  <c r="R1097" i="2"/>
  <c r="R1118" i="2"/>
  <c r="R1141" i="2"/>
  <c r="R1161" i="2"/>
  <c r="R1182" i="2"/>
  <c r="R1205" i="2"/>
  <c r="R1225" i="2"/>
  <c r="R1246" i="2"/>
  <c r="R522" i="2"/>
  <c r="R708" i="2"/>
  <c r="R721" i="2"/>
  <c r="R724" i="2"/>
  <c r="R80" i="2"/>
  <c r="R362" i="2"/>
  <c r="R478" i="2"/>
  <c r="R591" i="2"/>
  <c r="R675" i="2"/>
  <c r="R740" i="2"/>
  <c r="R788" i="2"/>
  <c r="R833" i="2"/>
  <c r="R876" i="2"/>
  <c r="R913" i="2"/>
  <c r="R937" i="2"/>
  <c r="R963" i="2"/>
  <c r="R986" i="2"/>
  <c r="R1010" i="2"/>
  <c r="R1036" i="2"/>
  <c r="R1057" i="2"/>
  <c r="R1078" i="2"/>
  <c r="R1101" i="2"/>
  <c r="R1121" i="2"/>
  <c r="R1142" i="2"/>
  <c r="R1165" i="2"/>
  <c r="R1185" i="2"/>
  <c r="R1206" i="2"/>
  <c r="R1229" i="2"/>
  <c r="R1249" i="2"/>
  <c r="R412" i="2"/>
  <c r="R764" i="2"/>
  <c r="R849" i="2"/>
  <c r="R922" i="2"/>
  <c r="R972" i="2"/>
  <c r="R1045" i="2"/>
  <c r="R1086" i="2"/>
  <c r="R1129" i="2"/>
  <c r="R1173" i="2"/>
  <c r="R1237" i="2"/>
  <c r="R244" i="2"/>
  <c r="R812" i="2"/>
  <c r="R950" i="2"/>
  <c r="R1069" i="2"/>
  <c r="R1153" i="2"/>
  <c r="R1217" i="2"/>
  <c r="R436" i="2"/>
  <c r="R817" i="2"/>
  <c r="R954" i="2"/>
  <c r="R1001" i="2"/>
  <c r="R1093" i="2"/>
  <c r="R1134" i="2"/>
  <c r="R1241" i="2"/>
  <c r="R448" i="2"/>
  <c r="R931" i="2"/>
  <c r="R1073" i="2"/>
  <c r="R1158" i="2"/>
  <c r="R1245" i="2"/>
  <c r="R116" i="2"/>
  <c r="R382" i="2"/>
  <c r="R498" i="2"/>
  <c r="R602" i="2"/>
  <c r="R689" i="2"/>
  <c r="R753" i="2"/>
  <c r="R796" i="2"/>
  <c r="R836" i="2"/>
  <c r="R881" i="2"/>
  <c r="R918" i="2"/>
  <c r="R940" i="2"/>
  <c r="R964" i="2"/>
  <c r="R991" i="2"/>
  <c r="R1014" i="2"/>
  <c r="R1038" i="2"/>
  <c r="R1061" i="2"/>
  <c r="R1081" i="2"/>
  <c r="R1102" i="2"/>
  <c r="R1125" i="2"/>
  <c r="R1145" i="2"/>
  <c r="R1166" i="2"/>
  <c r="R1189" i="2"/>
  <c r="R1209" i="2"/>
  <c r="R1230" i="2"/>
  <c r="R1253" i="2"/>
  <c r="R628" i="2"/>
  <c r="R532" i="2"/>
  <c r="R852" i="2"/>
  <c r="R1000" i="2"/>
  <c r="R1089" i="2"/>
  <c r="R1174" i="2"/>
  <c r="R553" i="2"/>
  <c r="R899" i="2"/>
  <c r="R1049" i="2"/>
  <c r="R1198" i="2"/>
  <c r="R328" i="2"/>
  <c r="R865" i="2"/>
  <c r="R1004" i="2"/>
  <c r="R1094" i="2"/>
  <c r="R1181" i="2"/>
  <c r="R161" i="2"/>
  <c r="R393" i="2"/>
  <c r="R508" i="2"/>
  <c r="R611" i="2"/>
  <c r="R692" i="2"/>
  <c r="R756" i="2"/>
  <c r="R801" i="2"/>
  <c r="R844" i="2"/>
  <c r="R884" i="2"/>
  <c r="R919" i="2"/>
  <c r="R945" i="2"/>
  <c r="R968" i="2"/>
  <c r="R992" i="2"/>
  <c r="R1018" i="2"/>
  <c r="R1041" i="2"/>
  <c r="R1062" i="2"/>
  <c r="R1085" i="2"/>
  <c r="R1105" i="2"/>
  <c r="R1126" i="2"/>
  <c r="R1149" i="2"/>
  <c r="R1169" i="2"/>
  <c r="R1190" i="2"/>
  <c r="R1213" i="2"/>
  <c r="R1233" i="2"/>
  <c r="R1254" i="2"/>
  <c r="R208" i="2"/>
  <c r="R804" i="2"/>
  <c r="R892" i="2"/>
  <c r="R946" i="2"/>
  <c r="R995" i="2"/>
  <c r="R1065" i="2"/>
  <c r="R1109" i="2"/>
  <c r="R1150" i="2"/>
  <c r="R1193" i="2"/>
  <c r="R1214" i="2"/>
  <c r="R1257" i="2"/>
  <c r="R424" i="2"/>
  <c r="R769" i="2"/>
  <c r="R927" i="2"/>
  <c r="R974" i="2"/>
  <c r="R1046" i="2"/>
  <c r="R1133" i="2"/>
  <c r="R1238" i="2"/>
  <c r="R654" i="2"/>
  <c r="R772" i="2"/>
  <c r="R860" i="2"/>
  <c r="R977" i="2"/>
  <c r="R1027" i="2"/>
  <c r="R1113" i="2"/>
  <c r="R1157" i="2"/>
  <c r="R1221" i="2"/>
  <c r="R563" i="2"/>
  <c r="R955" i="2"/>
  <c r="R1028" i="2"/>
  <c r="R1117" i="2"/>
  <c r="R1201" i="2"/>
  <c r="R705" i="2"/>
  <c r="R1019" i="2"/>
  <c r="R638" i="2"/>
  <c r="R896" i="2"/>
  <c r="R1023" i="2"/>
  <c r="R1110" i="2"/>
  <c r="R1197" i="2"/>
  <c r="R289" i="2"/>
  <c r="R928" i="2"/>
  <c r="R1070" i="2"/>
  <c r="R1177" i="2"/>
  <c r="R657" i="2"/>
  <c r="R820" i="2"/>
  <c r="R906" i="2"/>
  <c r="R982" i="2"/>
  <c r="R1053" i="2"/>
  <c r="R1137" i="2"/>
  <c r="R1222" i="2"/>
  <c r="R780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11" i="2"/>
  <c r="Q75" i="2"/>
  <c r="Q139" i="2"/>
  <c r="Q203" i="2"/>
  <c r="Q267" i="2"/>
  <c r="Q331" i="2"/>
  <c r="Q395" i="2"/>
  <c r="Q435" i="2"/>
  <c r="Q467" i="2"/>
  <c r="Q499" i="2"/>
  <c r="Q524" i="2"/>
  <c r="Q547" i="2"/>
  <c r="Q570" i="2"/>
  <c r="Q588" i="2"/>
  <c r="Q611" i="2"/>
  <c r="Q634" i="2"/>
  <c r="Q652" i="2"/>
  <c r="Q675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9" i="2"/>
  <c r="Q83" i="2"/>
  <c r="Q147" i="2"/>
  <c r="Q211" i="2"/>
  <c r="Q275" i="2"/>
  <c r="Q339" i="2"/>
  <c r="Q403" i="2"/>
  <c r="Q436" i="2"/>
  <c r="Q468" i="2"/>
  <c r="Q500" i="2"/>
  <c r="Q530" i="2"/>
  <c r="Q548" i="2"/>
  <c r="Q571" i="2"/>
  <c r="Q594" i="2"/>
  <c r="Q612" i="2"/>
  <c r="Q635" i="2"/>
  <c r="Q658" i="2"/>
  <c r="Q676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27" i="2"/>
  <c r="Q91" i="2"/>
  <c r="Q155" i="2"/>
  <c r="Q219" i="2"/>
  <c r="Q283" i="2"/>
  <c r="Q347" i="2"/>
  <c r="Q411" i="2"/>
  <c r="Q443" i="2"/>
  <c r="Q475" i="2"/>
  <c r="Q507" i="2"/>
  <c r="Q531" i="2"/>
  <c r="Q554" i="2"/>
  <c r="Q572" i="2"/>
  <c r="Q595" i="2"/>
  <c r="Q618" i="2"/>
  <c r="Q636" i="2"/>
  <c r="Q659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35" i="2"/>
  <c r="Q99" i="2"/>
  <c r="Q163" i="2"/>
  <c r="Q227" i="2"/>
  <c r="Q291" i="2"/>
  <c r="Q355" i="2"/>
  <c r="Q412" i="2"/>
  <c r="Q444" i="2"/>
  <c r="Q476" i="2"/>
  <c r="Q508" i="2"/>
  <c r="Q532" i="2"/>
  <c r="Q555" i="2"/>
  <c r="Q578" i="2"/>
  <c r="Q596" i="2"/>
  <c r="Q619" i="2"/>
  <c r="Q642" i="2"/>
  <c r="Q660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43" i="2"/>
  <c r="Q107" i="2"/>
  <c r="Q171" i="2"/>
  <c r="Q235" i="2"/>
  <c r="Q299" i="2"/>
  <c r="Q363" i="2"/>
  <c r="Q419" i="2"/>
  <c r="Q451" i="2"/>
  <c r="Q483" i="2"/>
  <c r="Q515" i="2"/>
  <c r="Q538" i="2"/>
  <c r="Q556" i="2"/>
  <c r="Q579" i="2"/>
  <c r="Q602" i="2"/>
  <c r="Q620" i="2"/>
  <c r="Q643" i="2"/>
  <c r="Q666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51" i="2"/>
  <c r="Q115" i="2"/>
  <c r="Q179" i="2"/>
  <c r="Q243" i="2"/>
  <c r="Q307" i="2"/>
  <c r="Q371" i="2"/>
  <c r="Q420" i="2"/>
  <c r="Q452" i="2"/>
  <c r="Q484" i="2"/>
  <c r="Q516" i="2"/>
  <c r="Q539" i="2"/>
  <c r="Q562" i="2"/>
  <c r="Q580" i="2"/>
  <c r="Q603" i="2"/>
  <c r="Q626" i="2"/>
  <c r="Q644" i="2"/>
  <c r="Q667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67" i="2"/>
  <c r="Q131" i="2"/>
  <c r="Q195" i="2"/>
  <c r="Q259" i="2"/>
  <c r="Q323" i="2"/>
  <c r="Q387" i="2"/>
  <c r="Q428" i="2"/>
  <c r="Q460" i="2"/>
  <c r="Q492" i="2"/>
  <c r="Q523" i="2"/>
  <c r="Q546" i="2"/>
  <c r="Q564" i="2"/>
  <c r="Q587" i="2"/>
  <c r="Q610" i="2"/>
  <c r="Q628" i="2"/>
  <c r="Q651" i="2"/>
  <c r="Q674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59" i="2"/>
  <c r="Q491" i="2"/>
  <c r="Q668" i="2"/>
  <c r="Q742" i="2"/>
  <c r="Q806" i="2"/>
  <c r="Q870" i="2"/>
  <c r="Q934" i="2"/>
  <c r="Q998" i="2"/>
  <c r="Q1039" i="2"/>
  <c r="Q1063" i="2"/>
  <c r="Q1085" i="2"/>
  <c r="Q1101" i="2"/>
  <c r="Q1117" i="2"/>
  <c r="Q1132" i="2"/>
  <c r="Q1143" i="2"/>
  <c r="Q1157" i="2"/>
  <c r="Q1170" i="2"/>
  <c r="Q1182" i="2"/>
  <c r="Q1196" i="2"/>
  <c r="Q1207" i="2"/>
  <c r="Q1221" i="2"/>
  <c r="Q1231" i="2"/>
  <c r="Q1243" i="2"/>
  <c r="Q1253" i="2"/>
  <c r="Q187" i="2"/>
  <c r="Q822" i="2"/>
  <c r="Q1014" i="2"/>
  <c r="Q1070" i="2"/>
  <c r="Q1087" i="2"/>
  <c r="Q1119" i="2"/>
  <c r="Q1134" i="2"/>
  <c r="Q1159" i="2"/>
  <c r="Q1173" i="2"/>
  <c r="Q1198" i="2"/>
  <c r="Q1223" i="2"/>
  <c r="Q1245" i="2"/>
  <c r="Q123" i="2"/>
  <c r="Q522" i="2"/>
  <c r="Q686" i="2"/>
  <c r="Q750" i="2"/>
  <c r="Q814" i="2"/>
  <c r="Q878" i="2"/>
  <c r="Q942" i="2"/>
  <c r="Q1006" i="2"/>
  <c r="Q1046" i="2"/>
  <c r="Q1069" i="2"/>
  <c r="Q1086" i="2"/>
  <c r="Q1102" i="2"/>
  <c r="Q1118" i="2"/>
  <c r="Q1133" i="2"/>
  <c r="Q1146" i="2"/>
  <c r="Q1158" i="2"/>
  <c r="Q1172" i="2"/>
  <c r="Q1183" i="2"/>
  <c r="Q1197" i="2"/>
  <c r="Q1210" i="2"/>
  <c r="Q1222" i="2"/>
  <c r="Q1234" i="2"/>
  <c r="Q1244" i="2"/>
  <c r="Q1254" i="2"/>
  <c r="Q251" i="2"/>
  <c r="Q563" i="2"/>
  <c r="Q702" i="2"/>
  <c r="Q766" i="2"/>
  <c r="Q830" i="2"/>
  <c r="Q894" i="2"/>
  <c r="Q958" i="2"/>
  <c r="Q1022" i="2"/>
  <c r="Q1053" i="2"/>
  <c r="Q1071" i="2"/>
  <c r="Q1090" i="2"/>
  <c r="Q1106" i="2"/>
  <c r="Q1122" i="2"/>
  <c r="Q1135" i="2"/>
  <c r="Q1149" i="2"/>
  <c r="Q1162" i="2"/>
  <c r="Q1174" i="2"/>
  <c r="Q1188" i="2"/>
  <c r="Q1199" i="2"/>
  <c r="Q1213" i="2"/>
  <c r="Q1226" i="2"/>
  <c r="Q1236" i="2"/>
  <c r="Q1246" i="2"/>
  <c r="Q1258" i="2"/>
  <c r="V51" i="1" s="1"/>
  <c r="AC7" i="2" s="1"/>
  <c r="Q627" i="2"/>
  <c r="Q1166" i="2"/>
  <c r="Q1229" i="2"/>
  <c r="Q315" i="2"/>
  <c r="Q586" i="2"/>
  <c r="Q710" i="2"/>
  <c r="Q774" i="2"/>
  <c r="Q838" i="2"/>
  <c r="Q902" i="2"/>
  <c r="Q966" i="2"/>
  <c r="Q1023" i="2"/>
  <c r="Q1054" i="2"/>
  <c r="Q1077" i="2"/>
  <c r="Q1093" i="2"/>
  <c r="Q1109" i="2"/>
  <c r="Q1125" i="2"/>
  <c r="Q1138" i="2"/>
  <c r="Q1150" i="2"/>
  <c r="Q1164" i="2"/>
  <c r="Q1175" i="2"/>
  <c r="Q1189" i="2"/>
  <c r="Q1202" i="2"/>
  <c r="Q1214" i="2"/>
  <c r="Q1227" i="2"/>
  <c r="Q1237" i="2"/>
  <c r="Q1247" i="2"/>
  <c r="Q427" i="2"/>
  <c r="Q790" i="2"/>
  <c r="Q854" i="2"/>
  <c r="Q918" i="2"/>
  <c r="Q982" i="2"/>
  <c r="Q1031" i="2"/>
  <c r="Q1061" i="2"/>
  <c r="Q1079" i="2"/>
  <c r="Q1095" i="2"/>
  <c r="Q1111" i="2"/>
  <c r="Q1127" i="2"/>
  <c r="Q1141" i="2"/>
  <c r="Q1154" i="2"/>
  <c r="Q1180" i="2"/>
  <c r="Q1205" i="2"/>
  <c r="Q1218" i="2"/>
  <c r="Q1239" i="2"/>
  <c r="Q1251" i="2"/>
  <c r="Q379" i="2"/>
  <c r="Q604" i="2"/>
  <c r="Q718" i="2"/>
  <c r="Q782" i="2"/>
  <c r="Q846" i="2"/>
  <c r="Q910" i="2"/>
  <c r="Q974" i="2"/>
  <c r="Q1030" i="2"/>
  <c r="Q1055" i="2"/>
  <c r="Q1078" i="2"/>
  <c r="Q1094" i="2"/>
  <c r="Q1110" i="2"/>
  <c r="Q1126" i="2"/>
  <c r="Q1140" i="2"/>
  <c r="Q1151" i="2"/>
  <c r="Q1165" i="2"/>
  <c r="Q1178" i="2"/>
  <c r="Q1190" i="2"/>
  <c r="Q1204" i="2"/>
  <c r="Q1215" i="2"/>
  <c r="Q1228" i="2"/>
  <c r="Q1238" i="2"/>
  <c r="Q1250" i="2"/>
  <c r="Q726" i="2"/>
  <c r="Q1191" i="2"/>
  <c r="Q459" i="2"/>
  <c r="Q650" i="2"/>
  <c r="Q734" i="2"/>
  <c r="Q798" i="2"/>
  <c r="Q862" i="2"/>
  <c r="Q926" i="2"/>
  <c r="Q990" i="2"/>
  <c r="Q1038" i="2"/>
  <c r="Q1062" i="2"/>
  <c r="Q1082" i="2"/>
  <c r="Q1098" i="2"/>
  <c r="Q1114" i="2"/>
  <c r="Q1130" i="2"/>
  <c r="Q1142" i="2"/>
  <c r="Q1156" i="2"/>
  <c r="Q1167" i="2"/>
  <c r="Q1181" i="2"/>
  <c r="Q1194" i="2"/>
  <c r="Q1206" i="2"/>
  <c r="Q1220" i="2"/>
  <c r="Q1230" i="2"/>
  <c r="Q1242" i="2"/>
  <c r="Q1252" i="2"/>
  <c r="Q540" i="2"/>
  <c r="Q694" i="2"/>
  <c r="Q758" i="2"/>
  <c r="Q886" i="2"/>
  <c r="Q950" i="2"/>
  <c r="Q1047" i="2"/>
  <c r="Q1103" i="2"/>
  <c r="Q1148" i="2"/>
  <c r="Q1186" i="2"/>
  <c r="Q1212" i="2"/>
  <c r="Q1235" i="2"/>
  <c r="Q125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11" i="2"/>
  <c r="P75" i="2"/>
  <c r="P139" i="2"/>
  <c r="P203" i="2"/>
  <c r="P267" i="2"/>
  <c r="P331" i="2"/>
  <c r="P395" i="2"/>
  <c r="P451" i="2"/>
  <c r="P483" i="2"/>
  <c r="P515" i="2"/>
  <c r="P547" i="2"/>
  <c r="P579" i="2"/>
  <c r="P611" i="2"/>
  <c r="P635" i="2"/>
  <c r="P658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19" i="2"/>
  <c r="P83" i="2"/>
  <c r="P147" i="2"/>
  <c r="P211" i="2"/>
  <c r="P275" i="2"/>
  <c r="P339" i="2"/>
  <c r="P403" i="2"/>
  <c r="P452" i="2"/>
  <c r="P484" i="2"/>
  <c r="P516" i="2"/>
  <c r="P548" i="2"/>
  <c r="P580" i="2"/>
  <c r="P612" i="2"/>
  <c r="P636" i="2"/>
  <c r="P659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27" i="2"/>
  <c r="P91" i="2"/>
  <c r="P155" i="2"/>
  <c r="P219" i="2"/>
  <c r="P283" i="2"/>
  <c r="P347" i="2"/>
  <c r="P411" i="2"/>
  <c r="P459" i="2"/>
  <c r="P491" i="2"/>
  <c r="P523" i="2"/>
  <c r="P555" i="2"/>
  <c r="P587" i="2"/>
  <c r="P619" i="2"/>
  <c r="P642" i="2"/>
  <c r="P660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146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35" i="2"/>
  <c r="P99" i="2"/>
  <c r="P163" i="2"/>
  <c r="P227" i="2"/>
  <c r="P291" i="2"/>
  <c r="P355" i="2"/>
  <c r="P419" i="2"/>
  <c r="P460" i="2"/>
  <c r="P492" i="2"/>
  <c r="P524" i="2"/>
  <c r="P556" i="2"/>
  <c r="P588" i="2"/>
  <c r="P620" i="2"/>
  <c r="P643" i="2"/>
  <c r="P666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43" i="2"/>
  <c r="P107" i="2"/>
  <c r="P171" i="2"/>
  <c r="P235" i="2"/>
  <c r="P299" i="2"/>
  <c r="P363" i="2"/>
  <c r="P427" i="2"/>
  <c r="P467" i="2"/>
  <c r="P499" i="2"/>
  <c r="P531" i="2"/>
  <c r="P563" i="2"/>
  <c r="P595" i="2"/>
  <c r="P626" i="2"/>
  <c r="P644" i="2"/>
  <c r="P667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51" i="2"/>
  <c r="P115" i="2"/>
  <c r="P179" i="2"/>
  <c r="P243" i="2"/>
  <c r="P307" i="2"/>
  <c r="P371" i="2"/>
  <c r="P435" i="2"/>
  <c r="P468" i="2"/>
  <c r="P500" i="2"/>
  <c r="P532" i="2"/>
  <c r="P564" i="2"/>
  <c r="P596" i="2"/>
  <c r="P627" i="2"/>
  <c r="P650" i="2"/>
  <c r="P668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67" i="2"/>
  <c r="P131" i="2"/>
  <c r="P195" i="2"/>
  <c r="P259" i="2"/>
  <c r="P323" i="2"/>
  <c r="P387" i="2"/>
  <c r="P444" i="2"/>
  <c r="P476" i="2"/>
  <c r="P508" i="2"/>
  <c r="P540" i="2"/>
  <c r="P572" i="2"/>
  <c r="P604" i="2"/>
  <c r="P634" i="2"/>
  <c r="P652" i="2"/>
  <c r="P675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59" i="2"/>
  <c r="P507" i="2"/>
  <c r="P694" i="2"/>
  <c r="P758" i="2"/>
  <c r="P822" i="2"/>
  <c r="P886" i="2"/>
  <c r="P950" i="2"/>
  <c r="P1014" i="2"/>
  <c r="P1078" i="2"/>
  <c r="P1110" i="2"/>
  <c r="P1142" i="2"/>
  <c r="P1174" i="2"/>
  <c r="P1206" i="2"/>
  <c r="P1238" i="2"/>
  <c r="P1252" i="2"/>
  <c r="P742" i="2"/>
  <c r="P123" i="2"/>
  <c r="P539" i="2"/>
  <c r="P702" i="2"/>
  <c r="P766" i="2"/>
  <c r="P830" i="2"/>
  <c r="P894" i="2"/>
  <c r="P958" i="2"/>
  <c r="P1022" i="2"/>
  <c r="P1079" i="2"/>
  <c r="P1111" i="2"/>
  <c r="P1143" i="2"/>
  <c r="P1175" i="2"/>
  <c r="P1207" i="2"/>
  <c r="P1239" i="2"/>
  <c r="P1253" i="2"/>
  <c r="P187" i="2"/>
  <c r="P571" i="2"/>
  <c r="P710" i="2"/>
  <c r="P774" i="2"/>
  <c r="P838" i="2"/>
  <c r="P902" i="2"/>
  <c r="P966" i="2"/>
  <c r="P1030" i="2"/>
  <c r="P1086" i="2"/>
  <c r="P1118" i="2"/>
  <c r="P1150" i="2"/>
  <c r="P1182" i="2"/>
  <c r="P1214" i="2"/>
  <c r="P1243" i="2"/>
  <c r="P1254" i="2"/>
  <c r="P443" i="2"/>
  <c r="P251" i="2"/>
  <c r="P603" i="2"/>
  <c r="P718" i="2"/>
  <c r="P782" i="2"/>
  <c r="P846" i="2"/>
  <c r="P910" i="2"/>
  <c r="P974" i="2"/>
  <c r="P1038" i="2"/>
  <c r="P1087" i="2"/>
  <c r="P1119" i="2"/>
  <c r="P1151" i="2"/>
  <c r="P1183" i="2"/>
  <c r="P1215" i="2"/>
  <c r="P1244" i="2"/>
  <c r="P1255" i="2"/>
  <c r="P674" i="2"/>
  <c r="P1166" i="2"/>
  <c r="P315" i="2"/>
  <c r="P628" i="2"/>
  <c r="P726" i="2"/>
  <c r="P790" i="2"/>
  <c r="P854" i="2"/>
  <c r="P918" i="2"/>
  <c r="P982" i="2"/>
  <c r="P1046" i="2"/>
  <c r="P1094" i="2"/>
  <c r="P1126" i="2"/>
  <c r="P1158" i="2"/>
  <c r="P1190" i="2"/>
  <c r="P1222" i="2"/>
  <c r="P1245" i="2"/>
  <c r="P870" i="2"/>
  <c r="P1062" i="2"/>
  <c r="P1134" i="2"/>
  <c r="P1198" i="2"/>
  <c r="P1247" i="2"/>
  <c r="P379" i="2"/>
  <c r="P651" i="2"/>
  <c r="P734" i="2"/>
  <c r="P798" i="2"/>
  <c r="P862" i="2"/>
  <c r="P926" i="2"/>
  <c r="P990" i="2"/>
  <c r="P1054" i="2"/>
  <c r="P1095" i="2"/>
  <c r="P1127" i="2"/>
  <c r="P1159" i="2"/>
  <c r="P1191" i="2"/>
  <c r="P1223" i="2"/>
  <c r="P1246" i="2"/>
  <c r="P806" i="2"/>
  <c r="P998" i="2"/>
  <c r="P1102" i="2"/>
  <c r="P1230" i="2"/>
  <c r="P475" i="2"/>
  <c r="P686" i="2"/>
  <c r="P750" i="2"/>
  <c r="P814" i="2"/>
  <c r="P878" i="2"/>
  <c r="P942" i="2"/>
  <c r="P1006" i="2"/>
  <c r="P1070" i="2"/>
  <c r="P1103" i="2"/>
  <c r="P1135" i="2"/>
  <c r="P1167" i="2"/>
  <c r="P1199" i="2"/>
  <c r="P1231" i="2"/>
  <c r="P1251" i="2"/>
  <c r="P934" i="2"/>
  <c r="I12" i="1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4" i="2"/>
  <c r="O601" i="2"/>
  <c r="O617" i="2"/>
  <c r="O633" i="2"/>
  <c r="O648" i="2"/>
  <c r="O659" i="2"/>
  <c r="O673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5" i="2"/>
  <c r="O602" i="2"/>
  <c r="O618" i="2"/>
  <c r="O634" i="2"/>
  <c r="O649" i="2"/>
  <c r="O660" i="2"/>
  <c r="O674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88" i="2"/>
  <c r="O604" i="2"/>
  <c r="O620" i="2"/>
  <c r="O636" i="2"/>
  <c r="O650" i="2"/>
  <c r="O664" i="2"/>
  <c r="O675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2" i="2"/>
  <c r="O608" i="2"/>
  <c r="O624" i="2"/>
  <c r="O640" i="2"/>
  <c r="O651" i="2"/>
  <c r="O665" i="2"/>
  <c r="O676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593" i="2"/>
  <c r="O609" i="2"/>
  <c r="O625" i="2"/>
  <c r="O641" i="2"/>
  <c r="O652" i="2"/>
  <c r="O666" i="2"/>
  <c r="O680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594" i="2"/>
  <c r="O610" i="2"/>
  <c r="O626" i="2"/>
  <c r="O642" i="2"/>
  <c r="O656" i="2"/>
  <c r="O667" i="2"/>
  <c r="O681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33" i="2"/>
  <c r="O65" i="2"/>
  <c r="O97" i="2"/>
  <c r="O129" i="2"/>
  <c r="O161" i="2"/>
  <c r="O193" i="2"/>
  <c r="O225" i="2"/>
  <c r="O257" i="2"/>
  <c r="O289" i="2"/>
  <c r="O321" i="2"/>
  <c r="O353" i="2"/>
  <c r="O385" i="2"/>
  <c r="O417" i="2"/>
  <c r="O449" i="2"/>
  <c r="O481" i="2"/>
  <c r="O513" i="2"/>
  <c r="O545" i="2"/>
  <c r="O577" i="2"/>
  <c r="O596" i="2"/>
  <c r="O612" i="2"/>
  <c r="O628" i="2"/>
  <c r="O643" i="2"/>
  <c r="O657" i="2"/>
  <c r="O668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36" i="2"/>
  <c r="O292" i="2"/>
  <c r="O548" i="2"/>
  <c r="O683" i="2"/>
  <c r="O747" i="2"/>
  <c r="O811" i="2"/>
  <c r="O875" i="2"/>
  <c r="O939" i="2"/>
  <c r="O971" i="2"/>
  <c r="O1003" i="2"/>
  <c r="O1034" i="2"/>
  <c r="O1056" i="2"/>
  <c r="O1075" i="2"/>
  <c r="O1098" i="2"/>
  <c r="O1120" i="2"/>
  <c r="O1139" i="2"/>
  <c r="O1162" i="2"/>
  <c r="O1176" i="2"/>
  <c r="O1187" i="2"/>
  <c r="O1201" i="2"/>
  <c r="O1215" i="2"/>
  <c r="O1226" i="2"/>
  <c r="O1238" i="2"/>
  <c r="O1248" i="2"/>
  <c r="O1258" i="2"/>
  <c r="V49" i="1" s="1"/>
  <c r="AC5" i="2" s="1"/>
  <c r="O68" i="2"/>
  <c r="O324" i="2"/>
  <c r="O580" i="2"/>
  <c r="O691" i="2"/>
  <c r="O755" i="2"/>
  <c r="O819" i="2"/>
  <c r="O883" i="2"/>
  <c r="O944" i="2"/>
  <c r="O976" i="2"/>
  <c r="O1008" i="2"/>
  <c r="O1035" i="2"/>
  <c r="O1058" i="2"/>
  <c r="O1080" i="2"/>
  <c r="O1099" i="2"/>
  <c r="O1122" i="2"/>
  <c r="O1144" i="2"/>
  <c r="O1163" i="2"/>
  <c r="O1177" i="2"/>
  <c r="O1191" i="2"/>
  <c r="O1202" i="2"/>
  <c r="O1216" i="2"/>
  <c r="O1227" i="2"/>
  <c r="O1239" i="2"/>
  <c r="O1249" i="2"/>
  <c r="O100" i="2"/>
  <c r="O356" i="2"/>
  <c r="O600" i="2"/>
  <c r="O699" i="2"/>
  <c r="O763" i="2"/>
  <c r="O827" i="2"/>
  <c r="O891" i="2"/>
  <c r="O947" i="2"/>
  <c r="O979" i="2"/>
  <c r="O1011" i="2"/>
  <c r="O1040" i="2"/>
  <c r="O1059" i="2"/>
  <c r="O1082" i="2"/>
  <c r="O1104" i="2"/>
  <c r="O1123" i="2"/>
  <c r="O1146" i="2"/>
  <c r="O1167" i="2"/>
  <c r="O1178" i="2"/>
  <c r="O1192" i="2"/>
  <c r="O1203" i="2"/>
  <c r="O1217" i="2"/>
  <c r="O1230" i="2"/>
  <c r="O1240" i="2"/>
  <c r="O1250" i="2"/>
  <c r="O132" i="2"/>
  <c r="O388" i="2"/>
  <c r="O616" i="2"/>
  <c r="O707" i="2"/>
  <c r="O771" i="2"/>
  <c r="O835" i="2"/>
  <c r="O899" i="2"/>
  <c r="O952" i="2"/>
  <c r="O984" i="2"/>
  <c r="O1016" i="2"/>
  <c r="O1042" i="2"/>
  <c r="O1064" i="2"/>
  <c r="O1083" i="2"/>
  <c r="O1106" i="2"/>
  <c r="O1128" i="2"/>
  <c r="O1147" i="2"/>
  <c r="O1168" i="2"/>
  <c r="O1179" i="2"/>
  <c r="O1193" i="2"/>
  <c r="O1207" i="2"/>
  <c r="O1218" i="2"/>
  <c r="O1231" i="2"/>
  <c r="O1241" i="2"/>
  <c r="O1251" i="2"/>
  <c r="O164" i="2"/>
  <c r="O420" i="2"/>
  <c r="O632" i="2"/>
  <c r="O715" i="2"/>
  <c r="O779" i="2"/>
  <c r="O843" i="2"/>
  <c r="O907" i="2"/>
  <c r="O955" i="2"/>
  <c r="O987" i="2"/>
  <c r="O1019" i="2"/>
  <c r="O1043" i="2"/>
  <c r="O1066" i="2"/>
  <c r="O1088" i="2"/>
  <c r="O1107" i="2"/>
  <c r="O1130" i="2"/>
  <c r="O1152" i="2"/>
  <c r="O1169" i="2"/>
  <c r="O1183" i="2"/>
  <c r="O1194" i="2"/>
  <c r="O1208" i="2"/>
  <c r="O1219" i="2"/>
  <c r="O1232" i="2"/>
  <c r="O1242" i="2"/>
  <c r="O1254" i="2"/>
  <c r="O196" i="2"/>
  <c r="O452" i="2"/>
  <c r="O644" i="2"/>
  <c r="O723" i="2"/>
  <c r="O787" i="2"/>
  <c r="O851" i="2"/>
  <c r="O915" i="2"/>
  <c r="O960" i="2"/>
  <c r="O992" i="2"/>
  <c r="O1024" i="2"/>
  <c r="O1048" i="2"/>
  <c r="O1067" i="2"/>
  <c r="O1090" i="2"/>
  <c r="O1112" i="2"/>
  <c r="O1131" i="2"/>
  <c r="O1154" i="2"/>
  <c r="O1170" i="2"/>
  <c r="O1184" i="2"/>
  <c r="O1195" i="2"/>
  <c r="O1209" i="2"/>
  <c r="O1223" i="2"/>
  <c r="O1233" i="2"/>
  <c r="O1243" i="2"/>
  <c r="O1255" i="2"/>
  <c r="O228" i="2"/>
  <c r="O484" i="2"/>
  <c r="O658" i="2"/>
  <c r="O731" i="2"/>
  <c r="O795" i="2"/>
  <c r="O859" i="2"/>
  <c r="O923" i="2"/>
  <c r="O963" i="2"/>
  <c r="O995" i="2"/>
  <c r="O1027" i="2"/>
  <c r="O1050" i="2"/>
  <c r="O1072" i="2"/>
  <c r="O1091" i="2"/>
  <c r="O1114" i="2"/>
  <c r="O1136" i="2"/>
  <c r="O1155" i="2"/>
  <c r="O1171" i="2"/>
  <c r="O1185" i="2"/>
  <c r="O1199" i="2"/>
  <c r="O1210" i="2"/>
  <c r="O1224" i="2"/>
  <c r="O1234" i="2"/>
  <c r="O1246" i="2"/>
  <c r="O1256" i="2"/>
  <c r="O260" i="2"/>
  <c r="O516" i="2"/>
  <c r="O672" i="2"/>
  <c r="O739" i="2"/>
  <c r="O803" i="2"/>
  <c r="O867" i="2"/>
  <c r="O931" i="2"/>
  <c r="O968" i="2"/>
  <c r="O1000" i="2"/>
  <c r="O1032" i="2"/>
  <c r="O1051" i="2"/>
  <c r="O1074" i="2"/>
  <c r="O1096" i="2"/>
  <c r="O1115" i="2"/>
  <c r="O1138" i="2"/>
  <c r="O1160" i="2"/>
  <c r="O1175" i="2"/>
  <c r="O1186" i="2"/>
  <c r="O1200" i="2"/>
  <c r="O1211" i="2"/>
  <c r="O1225" i="2"/>
  <c r="O1235" i="2"/>
  <c r="O1247" i="2"/>
  <c r="O1257" i="2"/>
  <c r="I13" i="1"/>
  <c r="I14" i="1"/>
  <c r="I15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E12" i="2"/>
  <c r="AI12" i="2"/>
  <c r="AE11" i="2"/>
  <c r="AI11" i="2"/>
  <c r="AI10" i="2"/>
  <c r="AE10" i="2"/>
  <c r="AI9" i="2"/>
  <c r="AE9" i="2"/>
  <c r="AE8" i="2"/>
  <c r="AI8" i="2"/>
  <c r="AE7" i="2"/>
  <c r="AI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5" i="2" l="1"/>
  <c r="AK12" i="2"/>
  <c r="AG14" i="2" l="1"/>
  <c r="AK11" i="2"/>
  <c r="AG8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<sst xmlns="http://schemas.openxmlformats.org/spreadsheetml/2006/main" count="91" uniqueCount="75">
  <si>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GSK plc (GSK) - Daily Stock Price, Last 5 Years</t>
  </si>
  <si>
    <t>Source: Nasdaq historical quotes (nasdaq.com/market-activity/stocks/gsk), retrieved 2026-10-05. USD per ADS. Prices before 2022-07-19 are as adjusted by Nasdaq (4-decimal values), consistent with the July 2022 Haleon demerger and GSK share consolidation.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</si>
  <si>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</si>
  <si>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</si>
  <si>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</si>
  <si>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</si>
  <si>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</si>
  <si>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</si>
  <si>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</si>
  <si>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</si>
  <si>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</si>
  <si>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</si>
  <si>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</si>
  <si>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</si>
  <si>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</si>
  <si>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</si>
  <si>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</si>
  <si>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</si>
  <si>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</si>
  <si>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</si>
  <si>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</si>
  <si>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</si>
  <si>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</si>
  <si>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</si>
  <si>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GSK trading days (last close on or before each date). Each stock's % change is in its own currency (BAYNr in EUR, others USD). % columns follow Start/End Date in 'Stock Price'!I4:I5.</t>
  </si>
  <si>
    <t>GSK Close</t>
  </si>
  <si>
    <t>GSK % chg</t>
  </si>
  <si>
    <t>NVS Close</t>
  </si>
  <si>
    <t>NVS % chg</t>
  </si>
  <si>
    <t>AZN Close</t>
  </si>
  <si>
    <t>AZN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</si>
  <si>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</si>
  <si>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</si>
  <si>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</si>
  <si>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</si>
  <si>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</si>
  <si>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</si>
  <si>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</si>
  <si>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</si>
  <si>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</si>
  <si>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</si>
  <si>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</si>
  <si>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</si>
  <si>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</si>
  <si>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</si>
  <si>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</si>
  <si>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</si>
  <si>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</si>
  <si>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</si>
  <si>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</si>
  <si>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</si>
  <si>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</si>
  <si>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GSK</t>
  </si>
  <si>
    <t>NVS</t>
  </si>
  <si>
    <t>AZN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</si>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</sst>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GSK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47.774999999999999</c:v>
                </c:pt>
                <c:pt idx="1">
                  <c:v>47.662500000000001</c:v>
                </c:pt>
                <c:pt idx="2">
                  <c:v>48.325000000000003</c:v>
                </c:pt>
                <c:pt idx="3">
                  <c:v>48.387500000000003</c:v>
                </c:pt>
                <c:pt idx="4">
                  <c:v>47.8</c:v>
                </c:pt>
                <c:pt idx="5">
                  <c:v>48.3</c:v>
                </c:pt>
                <c:pt idx="6">
                  <c:v>48.5</c:v>
                </c:pt>
                <c:pt idx="7">
                  <c:v>48.4</c:v>
                </c:pt>
                <c:pt idx="8">
                  <c:v>48.762500000000003</c:v>
                </c:pt>
                <c:pt idx="9">
                  <c:v>48.3125</c:v>
                </c:pt>
                <c:pt idx="10">
                  <c:v>48.962499999999999</c:v>
                </c:pt>
                <c:pt idx="11">
                  <c:v>49.325000000000003</c:v>
                </c:pt>
                <c:pt idx="12">
                  <c:v>49.4375</c:v>
                </c:pt>
                <c:pt idx="13">
                  <c:v>49.712499999999999</c:v>
                </c:pt>
                <c:pt idx="14">
                  <c:v>49.762500000000003</c:v>
                </c:pt>
                <c:pt idx="15">
                  <c:v>50.225000000000001</c:v>
                </c:pt>
                <c:pt idx="16">
                  <c:v>50.524999999999999</c:v>
                </c:pt>
                <c:pt idx="17">
                  <c:v>52.65</c:v>
                </c:pt>
                <c:pt idx="18">
                  <c:v>52.912500000000001</c:v>
                </c:pt>
                <c:pt idx="19">
                  <c:v>53.237499999999997</c:v>
                </c:pt>
                <c:pt idx="20">
                  <c:v>53.5</c:v>
                </c:pt>
                <c:pt idx="21">
                  <c:v>54.412500000000001</c:v>
                </c:pt>
                <c:pt idx="22">
                  <c:v>53.75</c:v>
                </c:pt>
                <c:pt idx="23">
                  <c:v>54.362499999999997</c:v>
                </c:pt>
                <c:pt idx="24">
                  <c:v>53.462499999999999</c:v>
                </c:pt>
                <c:pt idx="25">
                  <c:v>53.412500000000001</c:v>
                </c:pt>
                <c:pt idx="26">
                  <c:v>53.975000000000001</c:v>
                </c:pt>
                <c:pt idx="27">
                  <c:v>54.037500000000001</c:v>
                </c:pt>
                <c:pt idx="28">
                  <c:v>54.2</c:v>
                </c:pt>
                <c:pt idx="29">
                  <c:v>53.962499999999999</c:v>
                </c:pt>
                <c:pt idx="30">
                  <c:v>53.0625</c:v>
                </c:pt>
                <c:pt idx="31">
                  <c:v>53.1875</c:v>
                </c:pt>
                <c:pt idx="32">
                  <c:v>51.875</c:v>
                </c:pt>
                <c:pt idx="33">
                  <c:v>51.987499999999997</c:v>
                </c:pt>
                <c:pt idx="34">
                  <c:v>51.612499999999997</c:v>
                </c:pt>
                <c:pt idx="35">
                  <c:v>52</c:v>
                </c:pt>
                <c:pt idx="36">
                  <c:v>52</c:v>
                </c:pt>
                <c:pt idx="37">
                  <c:v>51.274999999999999</c:v>
                </c:pt>
                <c:pt idx="38">
                  <c:v>51.7</c:v>
                </c:pt>
                <c:pt idx="39">
                  <c:v>51.4</c:v>
                </c:pt>
                <c:pt idx="40">
                  <c:v>51.712499999999999</c:v>
                </c:pt>
                <c:pt idx="41">
                  <c:v>51.837499999999999</c:v>
                </c:pt>
                <c:pt idx="42">
                  <c:v>51.5625</c:v>
                </c:pt>
                <c:pt idx="43">
                  <c:v>52.2</c:v>
                </c:pt>
                <c:pt idx="44">
                  <c:v>52.975000000000001</c:v>
                </c:pt>
                <c:pt idx="45">
                  <c:v>53.35</c:v>
                </c:pt>
                <c:pt idx="46">
                  <c:v>53.5</c:v>
                </c:pt>
                <c:pt idx="47">
                  <c:v>53.962499999999999</c:v>
                </c:pt>
                <c:pt idx="48">
                  <c:v>53.887500000000003</c:v>
                </c:pt>
                <c:pt idx="49">
                  <c:v>53.625</c:v>
                </c:pt>
                <c:pt idx="50">
                  <c:v>54.575000000000003</c:v>
                </c:pt>
                <c:pt idx="51">
                  <c:v>54.774999999999999</c:v>
                </c:pt>
                <c:pt idx="52">
                  <c:v>53.875</c:v>
                </c:pt>
                <c:pt idx="53">
                  <c:v>53.825000000000003</c:v>
                </c:pt>
                <c:pt idx="54">
                  <c:v>54.2</c:v>
                </c:pt>
                <c:pt idx="55">
                  <c:v>54.712499999999999</c:v>
                </c:pt>
                <c:pt idx="56">
                  <c:v>54.7</c:v>
                </c:pt>
                <c:pt idx="57">
                  <c:v>55.112499999999997</c:v>
                </c:pt>
                <c:pt idx="58">
                  <c:v>55.137500000000003</c:v>
                </c:pt>
                <c:pt idx="59">
                  <c:v>55.55</c:v>
                </c:pt>
                <c:pt idx="60">
                  <c:v>55.15</c:v>
                </c:pt>
                <c:pt idx="61">
                  <c:v>55.125</c:v>
                </c:pt>
                <c:pt idx="62">
                  <c:v>54.587499999999999</c:v>
                </c:pt>
                <c:pt idx="63">
                  <c:v>54.424999999999997</c:v>
                </c:pt>
                <c:pt idx="64">
                  <c:v>54.5</c:v>
                </c:pt>
                <c:pt idx="65">
                  <c:v>54.212499999999999</c:v>
                </c:pt>
                <c:pt idx="66">
                  <c:v>54.8125</c:v>
                </c:pt>
                <c:pt idx="67">
                  <c:v>56.05</c:v>
                </c:pt>
                <c:pt idx="68">
                  <c:v>56.3</c:v>
                </c:pt>
                <c:pt idx="69">
                  <c:v>56.55</c:v>
                </c:pt>
                <c:pt idx="70">
                  <c:v>56.325000000000003</c:v>
                </c:pt>
                <c:pt idx="71">
                  <c:v>56.837499999999999</c:v>
                </c:pt>
                <c:pt idx="72">
                  <c:v>58.524999999999999</c:v>
                </c:pt>
                <c:pt idx="73">
                  <c:v>57.112499999999997</c:v>
                </c:pt>
                <c:pt idx="74">
                  <c:v>56.1</c:v>
                </c:pt>
                <c:pt idx="75">
                  <c:v>56.375</c:v>
                </c:pt>
                <c:pt idx="76">
                  <c:v>55.475000000000001</c:v>
                </c:pt>
                <c:pt idx="77">
                  <c:v>55.462499999999999</c:v>
                </c:pt>
                <c:pt idx="78">
                  <c:v>55.1875</c:v>
                </c:pt>
                <c:pt idx="79">
                  <c:v>57.174999999999997</c:v>
                </c:pt>
                <c:pt idx="80">
                  <c:v>56.5625</c:v>
                </c:pt>
                <c:pt idx="81">
                  <c:v>56.024999999999999</c:v>
                </c:pt>
                <c:pt idx="82">
                  <c:v>56.487499999999997</c:v>
                </c:pt>
                <c:pt idx="83">
                  <c:v>57.125</c:v>
                </c:pt>
                <c:pt idx="84">
                  <c:v>56.15</c:v>
                </c:pt>
                <c:pt idx="85">
                  <c:v>56</c:v>
                </c:pt>
                <c:pt idx="86">
                  <c:v>56.237499999999997</c:v>
                </c:pt>
                <c:pt idx="87">
                  <c:v>56.524999999999999</c:v>
                </c:pt>
                <c:pt idx="88">
                  <c:v>55.325000000000003</c:v>
                </c:pt>
                <c:pt idx="89">
                  <c:v>55.55</c:v>
                </c:pt>
                <c:pt idx="90">
                  <c:v>55.375</c:v>
                </c:pt>
                <c:pt idx="91">
                  <c:v>53.587499999999999</c:v>
                </c:pt>
                <c:pt idx="92">
                  <c:v>54.524999999999999</c:v>
                </c:pt>
                <c:pt idx="93">
                  <c:v>54.237499999999997</c:v>
                </c:pt>
                <c:pt idx="94">
                  <c:v>54.15</c:v>
                </c:pt>
                <c:pt idx="95">
                  <c:v>53.8</c:v>
                </c:pt>
                <c:pt idx="96">
                  <c:v>53.362499999999997</c:v>
                </c:pt>
                <c:pt idx="97">
                  <c:v>53.9</c:v>
                </c:pt>
                <c:pt idx="98">
                  <c:v>51.487499999999997</c:v>
                </c:pt>
                <c:pt idx="99">
                  <c:v>53.35</c:v>
                </c:pt>
                <c:pt idx="100">
                  <c:v>52.325000000000003</c:v>
                </c:pt>
                <c:pt idx="101">
                  <c:v>51.9375</c:v>
                </c:pt>
                <c:pt idx="102">
                  <c:v>52.537500000000001</c:v>
                </c:pt>
                <c:pt idx="103">
                  <c:v>51.8125</c:v>
                </c:pt>
                <c:pt idx="104">
                  <c:v>50.225000000000001</c:v>
                </c:pt>
                <c:pt idx="105">
                  <c:v>49.325000000000003</c:v>
                </c:pt>
                <c:pt idx="106">
                  <c:v>49.975000000000001</c:v>
                </c:pt>
                <c:pt idx="107">
                  <c:v>51.674999999999997</c:v>
                </c:pt>
                <c:pt idx="108">
                  <c:v>51.037500000000001</c:v>
                </c:pt>
                <c:pt idx="109">
                  <c:v>50.7</c:v>
                </c:pt>
                <c:pt idx="110">
                  <c:v>50.962499999999999</c:v>
                </c:pt>
                <c:pt idx="111">
                  <c:v>52.125</c:v>
                </c:pt>
                <c:pt idx="112">
                  <c:v>52.625</c:v>
                </c:pt>
                <c:pt idx="113">
                  <c:v>53.8125</c:v>
                </c:pt>
                <c:pt idx="114">
                  <c:v>53.774999999999999</c:v>
                </c:pt>
                <c:pt idx="115">
                  <c:v>53.55</c:v>
                </c:pt>
                <c:pt idx="116">
                  <c:v>54.037500000000001</c:v>
                </c:pt>
                <c:pt idx="117">
                  <c:v>53.637500000000003</c:v>
                </c:pt>
                <c:pt idx="118">
                  <c:v>54.125</c:v>
                </c:pt>
                <c:pt idx="119">
                  <c:v>54.1</c:v>
                </c:pt>
                <c:pt idx="120">
                  <c:v>54.212499999999999</c:v>
                </c:pt>
                <c:pt idx="121">
                  <c:v>54.112499999999997</c:v>
                </c:pt>
                <c:pt idx="122">
                  <c:v>54.625</c:v>
                </c:pt>
                <c:pt idx="123">
                  <c:v>54.45</c:v>
                </c:pt>
                <c:pt idx="124">
                  <c:v>54.862499999999997</c:v>
                </c:pt>
                <c:pt idx="125">
                  <c:v>54.6875</c:v>
                </c:pt>
                <c:pt idx="126">
                  <c:v>55.712499999999999</c:v>
                </c:pt>
                <c:pt idx="127">
                  <c:v>57.15</c:v>
                </c:pt>
                <c:pt idx="128">
                  <c:v>57.787500000000001</c:v>
                </c:pt>
                <c:pt idx="129">
                  <c:v>58.3</c:v>
                </c:pt>
                <c:pt idx="130">
                  <c:v>58.1</c:v>
                </c:pt>
                <c:pt idx="131">
                  <c:v>58.162500000000001</c:v>
                </c:pt>
                <c:pt idx="132">
                  <c:v>58.5625</c:v>
                </c:pt>
                <c:pt idx="133">
                  <c:v>57.9</c:v>
                </c:pt>
                <c:pt idx="134">
                  <c:v>57.75</c:v>
                </c:pt>
                <c:pt idx="135">
                  <c:v>57.362499999999997</c:v>
                </c:pt>
                <c:pt idx="136">
                  <c:v>57.3</c:v>
                </c:pt>
                <c:pt idx="137">
                  <c:v>57.112499999999997</c:v>
                </c:pt>
                <c:pt idx="138">
                  <c:v>56.087499999999999</c:v>
                </c:pt>
                <c:pt idx="139">
                  <c:v>56.424999999999997</c:v>
                </c:pt>
                <c:pt idx="140">
                  <c:v>55.487499999999997</c:v>
                </c:pt>
                <c:pt idx="141">
                  <c:v>56.8</c:v>
                </c:pt>
                <c:pt idx="142">
                  <c:v>57.174999999999997</c:v>
                </c:pt>
                <c:pt idx="143">
                  <c:v>56.6</c:v>
                </c:pt>
                <c:pt idx="144">
                  <c:v>55.9</c:v>
                </c:pt>
                <c:pt idx="145">
                  <c:v>56.4</c:v>
                </c:pt>
                <c:pt idx="146">
                  <c:v>56.45</c:v>
                </c:pt>
                <c:pt idx="147">
                  <c:v>55.487499999999997</c:v>
                </c:pt>
                <c:pt idx="148">
                  <c:v>55.112499999999997</c:v>
                </c:pt>
                <c:pt idx="149">
                  <c:v>53.95</c:v>
                </c:pt>
                <c:pt idx="150">
                  <c:v>54.274999999999999</c:v>
                </c:pt>
                <c:pt idx="151">
                  <c:v>53.162500000000001</c:v>
                </c:pt>
                <c:pt idx="152">
                  <c:v>53.087499999999999</c:v>
                </c:pt>
                <c:pt idx="153">
                  <c:v>54.15</c:v>
                </c:pt>
                <c:pt idx="154">
                  <c:v>55.462499999999999</c:v>
                </c:pt>
                <c:pt idx="155">
                  <c:v>55.887500000000003</c:v>
                </c:pt>
                <c:pt idx="156">
                  <c:v>54.537500000000001</c:v>
                </c:pt>
                <c:pt idx="157">
                  <c:v>54.45</c:v>
                </c:pt>
                <c:pt idx="158">
                  <c:v>55.65</c:v>
                </c:pt>
                <c:pt idx="159">
                  <c:v>55.9375</c:v>
                </c:pt>
                <c:pt idx="160">
                  <c:v>56.25</c:v>
                </c:pt>
                <c:pt idx="161">
                  <c:v>56.212499999999999</c:v>
                </c:pt>
                <c:pt idx="162">
                  <c:v>55.524999999999999</c:v>
                </c:pt>
                <c:pt idx="163">
                  <c:v>55.075000000000003</c:v>
                </c:pt>
                <c:pt idx="164">
                  <c:v>54.875</c:v>
                </c:pt>
                <c:pt idx="165">
                  <c:v>53.8</c:v>
                </c:pt>
                <c:pt idx="166">
                  <c:v>54.237499999999997</c:v>
                </c:pt>
                <c:pt idx="167">
                  <c:v>53.4</c:v>
                </c:pt>
                <c:pt idx="168">
                  <c:v>53.512500000000003</c:v>
                </c:pt>
                <c:pt idx="169">
                  <c:v>55.3125</c:v>
                </c:pt>
                <c:pt idx="170">
                  <c:v>55.25</c:v>
                </c:pt>
                <c:pt idx="171">
                  <c:v>53.8</c:v>
                </c:pt>
                <c:pt idx="172">
                  <c:v>54.75</c:v>
                </c:pt>
                <c:pt idx="173">
                  <c:v>53.125</c:v>
                </c:pt>
                <c:pt idx="174">
                  <c:v>51.55</c:v>
                </c:pt>
                <c:pt idx="175">
                  <c:v>52.4375</c:v>
                </c:pt>
                <c:pt idx="176">
                  <c:v>52.05</c:v>
                </c:pt>
                <c:pt idx="177">
                  <c:v>51.587499999999999</c:v>
                </c:pt>
                <c:pt idx="178">
                  <c:v>52.212499999999999</c:v>
                </c:pt>
                <c:pt idx="179">
                  <c:v>52.462499999999999</c:v>
                </c:pt>
                <c:pt idx="180">
                  <c:v>53.4375</c:v>
                </c:pt>
                <c:pt idx="181">
                  <c:v>54.612499999999997</c:v>
                </c:pt>
                <c:pt idx="182">
                  <c:v>54.625</c:v>
                </c:pt>
                <c:pt idx="183">
                  <c:v>54.1875</c:v>
                </c:pt>
                <c:pt idx="184">
                  <c:v>54.712499999999999</c:v>
                </c:pt>
                <c:pt idx="185">
                  <c:v>54.412500000000001</c:v>
                </c:pt>
                <c:pt idx="186">
                  <c:v>54.6875</c:v>
                </c:pt>
                <c:pt idx="187">
                  <c:v>54.125</c:v>
                </c:pt>
                <c:pt idx="188">
                  <c:v>53.887500000000003</c:v>
                </c:pt>
                <c:pt idx="189">
                  <c:v>54.15</c:v>
                </c:pt>
                <c:pt idx="190">
                  <c:v>52.924999999999997</c:v>
                </c:pt>
                <c:pt idx="191">
                  <c:v>52.837499999999999</c:v>
                </c:pt>
                <c:pt idx="192">
                  <c:v>51.8</c:v>
                </c:pt>
                <c:pt idx="193">
                  <c:v>51.15</c:v>
                </c:pt>
                <c:pt idx="194">
                  <c:v>50.274999999999999</c:v>
                </c:pt>
                <c:pt idx="195">
                  <c:v>51.5625</c:v>
                </c:pt>
                <c:pt idx="196">
                  <c:v>50.512500000000003</c:v>
                </c:pt>
                <c:pt idx="197">
                  <c:v>43.91</c:v>
                </c:pt>
                <c:pt idx="198">
                  <c:v>41.6</c:v>
                </c:pt>
                <c:pt idx="199">
                  <c:v>41.98</c:v>
                </c:pt>
                <c:pt idx="200">
                  <c:v>42.29</c:v>
                </c:pt>
                <c:pt idx="201">
                  <c:v>42.16</c:v>
                </c:pt>
                <c:pt idx="202">
                  <c:v>42.52</c:v>
                </c:pt>
                <c:pt idx="203">
                  <c:v>43.54</c:v>
                </c:pt>
                <c:pt idx="204">
                  <c:v>42.93</c:v>
                </c:pt>
                <c:pt idx="205">
                  <c:v>42.17</c:v>
                </c:pt>
                <c:pt idx="206">
                  <c:v>41.63</c:v>
                </c:pt>
                <c:pt idx="207">
                  <c:v>41.18</c:v>
                </c:pt>
                <c:pt idx="208">
                  <c:v>40.82</c:v>
                </c:pt>
                <c:pt idx="209">
                  <c:v>40.6</c:v>
                </c:pt>
                <c:pt idx="210">
                  <c:v>40.57</c:v>
                </c:pt>
                <c:pt idx="211">
                  <c:v>40.31</c:v>
                </c:pt>
                <c:pt idx="212">
                  <c:v>40.03</c:v>
                </c:pt>
                <c:pt idx="213">
                  <c:v>38.299999999999997</c:v>
                </c:pt>
                <c:pt idx="214">
                  <c:v>35.729999999999997</c:v>
                </c:pt>
                <c:pt idx="215">
                  <c:v>36.03</c:v>
                </c:pt>
                <c:pt idx="216">
                  <c:v>34.950000000000003</c:v>
                </c:pt>
                <c:pt idx="217">
                  <c:v>35.26</c:v>
                </c:pt>
                <c:pt idx="218">
                  <c:v>34.700000000000003</c:v>
                </c:pt>
                <c:pt idx="219">
                  <c:v>34.25</c:v>
                </c:pt>
                <c:pt idx="220">
                  <c:v>34.06</c:v>
                </c:pt>
                <c:pt idx="221">
                  <c:v>34.049999999999997</c:v>
                </c:pt>
                <c:pt idx="222">
                  <c:v>33.729999999999997</c:v>
                </c:pt>
                <c:pt idx="223">
                  <c:v>33.53</c:v>
                </c:pt>
                <c:pt idx="224">
                  <c:v>33.729999999999997</c:v>
                </c:pt>
                <c:pt idx="225">
                  <c:v>33.19</c:v>
                </c:pt>
                <c:pt idx="226">
                  <c:v>33.11</c:v>
                </c:pt>
                <c:pt idx="227">
                  <c:v>32.96</c:v>
                </c:pt>
                <c:pt idx="228">
                  <c:v>32.479999999999997</c:v>
                </c:pt>
                <c:pt idx="229">
                  <c:v>31.69</c:v>
                </c:pt>
                <c:pt idx="230">
                  <c:v>31.85</c:v>
                </c:pt>
                <c:pt idx="231">
                  <c:v>31.47</c:v>
                </c:pt>
                <c:pt idx="232">
                  <c:v>31.49</c:v>
                </c:pt>
                <c:pt idx="233">
                  <c:v>31.51</c:v>
                </c:pt>
                <c:pt idx="234">
                  <c:v>31.89</c:v>
                </c:pt>
                <c:pt idx="235">
                  <c:v>32.450000000000003</c:v>
                </c:pt>
                <c:pt idx="236">
                  <c:v>31.63</c:v>
                </c:pt>
                <c:pt idx="237">
                  <c:v>31.2</c:v>
                </c:pt>
                <c:pt idx="238">
                  <c:v>31.02</c:v>
                </c:pt>
                <c:pt idx="239">
                  <c:v>30.83</c:v>
                </c:pt>
                <c:pt idx="240">
                  <c:v>30.78</c:v>
                </c:pt>
                <c:pt idx="241">
                  <c:v>30.49</c:v>
                </c:pt>
                <c:pt idx="242">
                  <c:v>29.77</c:v>
                </c:pt>
                <c:pt idx="243">
                  <c:v>30.01</c:v>
                </c:pt>
                <c:pt idx="244">
                  <c:v>29.36</c:v>
                </c:pt>
                <c:pt idx="245">
                  <c:v>28.82</c:v>
                </c:pt>
                <c:pt idx="246">
                  <c:v>28.66</c:v>
                </c:pt>
                <c:pt idx="247">
                  <c:v>29.46</c:v>
                </c:pt>
                <c:pt idx="248">
                  <c:v>29.36</c:v>
                </c:pt>
                <c:pt idx="249">
                  <c:v>29.43</c:v>
                </c:pt>
                <c:pt idx="250">
                  <c:v>30.25</c:v>
                </c:pt>
                <c:pt idx="251">
                  <c:v>30.71</c:v>
                </c:pt>
                <c:pt idx="252">
                  <c:v>30.41</c:v>
                </c:pt>
                <c:pt idx="253">
                  <c:v>30</c:v>
                </c:pt>
                <c:pt idx="254">
                  <c:v>30.11</c:v>
                </c:pt>
                <c:pt idx="255">
                  <c:v>30.19</c:v>
                </c:pt>
                <c:pt idx="256">
                  <c:v>30.43</c:v>
                </c:pt>
                <c:pt idx="257">
                  <c:v>30.37</c:v>
                </c:pt>
                <c:pt idx="258">
                  <c:v>30.65</c:v>
                </c:pt>
                <c:pt idx="259">
                  <c:v>30.71</c:v>
                </c:pt>
                <c:pt idx="260">
                  <c:v>31.3</c:v>
                </c:pt>
                <c:pt idx="261">
                  <c:v>31.25</c:v>
                </c:pt>
                <c:pt idx="262">
                  <c:v>31.31</c:v>
                </c:pt>
                <c:pt idx="263">
                  <c:v>31.06</c:v>
                </c:pt>
                <c:pt idx="264">
                  <c:v>31.87</c:v>
                </c:pt>
                <c:pt idx="265">
                  <c:v>31.76</c:v>
                </c:pt>
                <c:pt idx="266">
                  <c:v>32.24</c:v>
                </c:pt>
                <c:pt idx="267">
                  <c:v>32.69</c:v>
                </c:pt>
                <c:pt idx="268">
                  <c:v>32.72</c:v>
                </c:pt>
                <c:pt idx="269">
                  <c:v>33.270000000000003</c:v>
                </c:pt>
                <c:pt idx="270">
                  <c:v>33.17</c:v>
                </c:pt>
                <c:pt idx="271">
                  <c:v>33.46</c:v>
                </c:pt>
                <c:pt idx="272">
                  <c:v>33.119999999999997</c:v>
                </c:pt>
                <c:pt idx="273">
                  <c:v>32.840000000000003</c:v>
                </c:pt>
                <c:pt idx="274">
                  <c:v>32.99</c:v>
                </c:pt>
                <c:pt idx="275">
                  <c:v>31.94</c:v>
                </c:pt>
                <c:pt idx="276">
                  <c:v>32.22</c:v>
                </c:pt>
                <c:pt idx="277">
                  <c:v>32.42</c:v>
                </c:pt>
                <c:pt idx="278">
                  <c:v>33.47</c:v>
                </c:pt>
                <c:pt idx="279">
                  <c:v>31.58</c:v>
                </c:pt>
                <c:pt idx="280">
                  <c:v>32.54</c:v>
                </c:pt>
                <c:pt idx="281">
                  <c:v>32.29</c:v>
                </c:pt>
                <c:pt idx="282">
                  <c:v>32.909999999999997</c:v>
                </c:pt>
                <c:pt idx="283">
                  <c:v>32.590000000000003</c:v>
                </c:pt>
                <c:pt idx="284">
                  <c:v>32.89</c:v>
                </c:pt>
                <c:pt idx="285">
                  <c:v>33.44</c:v>
                </c:pt>
                <c:pt idx="286">
                  <c:v>33.85</c:v>
                </c:pt>
                <c:pt idx="287">
                  <c:v>33.69</c:v>
                </c:pt>
                <c:pt idx="288">
                  <c:v>33.99</c:v>
                </c:pt>
                <c:pt idx="289">
                  <c:v>33.76</c:v>
                </c:pt>
                <c:pt idx="290">
                  <c:v>34.36</c:v>
                </c:pt>
                <c:pt idx="291">
                  <c:v>34.590000000000003</c:v>
                </c:pt>
                <c:pt idx="292">
                  <c:v>35.03</c:v>
                </c:pt>
                <c:pt idx="293">
                  <c:v>35.35</c:v>
                </c:pt>
                <c:pt idx="294">
                  <c:v>35.159999999999997</c:v>
                </c:pt>
                <c:pt idx="295">
                  <c:v>37.92</c:v>
                </c:pt>
                <c:pt idx="296">
                  <c:v>36.880000000000003</c:v>
                </c:pt>
                <c:pt idx="297">
                  <c:v>36.6</c:v>
                </c:pt>
                <c:pt idx="298">
                  <c:v>35.97</c:v>
                </c:pt>
                <c:pt idx="299">
                  <c:v>35.71</c:v>
                </c:pt>
                <c:pt idx="300">
                  <c:v>36.15</c:v>
                </c:pt>
                <c:pt idx="301">
                  <c:v>35.92</c:v>
                </c:pt>
                <c:pt idx="302">
                  <c:v>35.630000000000003</c:v>
                </c:pt>
                <c:pt idx="303">
                  <c:v>34.950000000000003</c:v>
                </c:pt>
                <c:pt idx="304">
                  <c:v>34.869999999999997</c:v>
                </c:pt>
                <c:pt idx="305">
                  <c:v>34.99</c:v>
                </c:pt>
                <c:pt idx="306">
                  <c:v>35.299999999999997</c:v>
                </c:pt>
                <c:pt idx="307">
                  <c:v>35.31</c:v>
                </c:pt>
                <c:pt idx="308">
                  <c:v>35.22</c:v>
                </c:pt>
                <c:pt idx="309">
                  <c:v>35.07</c:v>
                </c:pt>
                <c:pt idx="310">
                  <c:v>34.78</c:v>
                </c:pt>
                <c:pt idx="311">
                  <c:v>35.130000000000003</c:v>
                </c:pt>
                <c:pt idx="312">
                  <c:v>35.14</c:v>
                </c:pt>
                <c:pt idx="313">
                  <c:v>35.29</c:v>
                </c:pt>
                <c:pt idx="314">
                  <c:v>35.03</c:v>
                </c:pt>
                <c:pt idx="315">
                  <c:v>34.479999999999997</c:v>
                </c:pt>
                <c:pt idx="316">
                  <c:v>34.92</c:v>
                </c:pt>
                <c:pt idx="317">
                  <c:v>34.53</c:v>
                </c:pt>
                <c:pt idx="318">
                  <c:v>34.74</c:v>
                </c:pt>
                <c:pt idx="319">
                  <c:v>34.67</c:v>
                </c:pt>
                <c:pt idx="320">
                  <c:v>35.15</c:v>
                </c:pt>
                <c:pt idx="321">
                  <c:v>35.380000000000003</c:v>
                </c:pt>
                <c:pt idx="322">
                  <c:v>35.56</c:v>
                </c:pt>
                <c:pt idx="323">
                  <c:v>35.19</c:v>
                </c:pt>
                <c:pt idx="324">
                  <c:v>35.61</c:v>
                </c:pt>
                <c:pt idx="325">
                  <c:v>35.380000000000003</c:v>
                </c:pt>
                <c:pt idx="326">
                  <c:v>35.36</c:v>
                </c:pt>
                <c:pt idx="327">
                  <c:v>34.700000000000003</c:v>
                </c:pt>
                <c:pt idx="328">
                  <c:v>35.17</c:v>
                </c:pt>
                <c:pt idx="329">
                  <c:v>35.340000000000003</c:v>
                </c:pt>
                <c:pt idx="330">
                  <c:v>35.299999999999997</c:v>
                </c:pt>
                <c:pt idx="331">
                  <c:v>35.119999999999997</c:v>
                </c:pt>
                <c:pt idx="332">
                  <c:v>35.26</c:v>
                </c:pt>
                <c:pt idx="333">
                  <c:v>35.49</c:v>
                </c:pt>
                <c:pt idx="334">
                  <c:v>35.130000000000003</c:v>
                </c:pt>
                <c:pt idx="335">
                  <c:v>34.83</c:v>
                </c:pt>
                <c:pt idx="336">
                  <c:v>35.340000000000003</c:v>
                </c:pt>
                <c:pt idx="337">
                  <c:v>36.17</c:v>
                </c:pt>
                <c:pt idx="338">
                  <c:v>36.32</c:v>
                </c:pt>
                <c:pt idx="339">
                  <c:v>36.43</c:v>
                </c:pt>
                <c:pt idx="340">
                  <c:v>35.840000000000003</c:v>
                </c:pt>
                <c:pt idx="341">
                  <c:v>36.229999999999997</c:v>
                </c:pt>
                <c:pt idx="342">
                  <c:v>36.06</c:v>
                </c:pt>
                <c:pt idx="343">
                  <c:v>35.57</c:v>
                </c:pt>
                <c:pt idx="344">
                  <c:v>35.14</c:v>
                </c:pt>
                <c:pt idx="345">
                  <c:v>35.880000000000003</c:v>
                </c:pt>
                <c:pt idx="346">
                  <c:v>36</c:v>
                </c:pt>
                <c:pt idx="347">
                  <c:v>35.74</c:v>
                </c:pt>
                <c:pt idx="348">
                  <c:v>35.26</c:v>
                </c:pt>
                <c:pt idx="349">
                  <c:v>34.57</c:v>
                </c:pt>
                <c:pt idx="350">
                  <c:v>34.82</c:v>
                </c:pt>
                <c:pt idx="351">
                  <c:v>34.270000000000003</c:v>
                </c:pt>
                <c:pt idx="352">
                  <c:v>34.26</c:v>
                </c:pt>
                <c:pt idx="353">
                  <c:v>34.58</c:v>
                </c:pt>
                <c:pt idx="354">
                  <c:v>34.659999999999997</c:v>
                </c:pt>
                <c:pt idx="355">
                  <c:v>34.450000000000003</c:v>
                </c:pt>
                <c:pt idx="356">
                  <c:v>34.03</c:v>
                </c:pt>
                <c:pt idx="357">
                  <c:v>33.590000000000003</c:v>
                </c:pt>
                <c:pt idx="358">
                  <c:v>33.5</c:v>
                </c:pt>
                <c:pt idx="359">
                  <c:v>33.5</c:v>
                </c:pt>
                <c:pt idx="360">
                  <c:v>33.520000000000003</c:v>
                </c:pt>
                <c:pt idx="361">
                  <c:v>33.72</c:v>
                </c:pt>
                <c:pt idx="362">
                  <c:v>33.58</c:v>
                </c:pt>
                <c:pt idx="363">
                  <c:v>33.82</c:v>
                </c:pt>
                <c:pt idx="364">
                  <c:v>34.07</c:v>
                </c:pt>
                <c:pt idx="365">
                  <c:v>34.93</c:v>
                </c:pt>
                <c:pt idx="366">
                  <c:v>35.049999999999997</c:v>
                </c:pt>
                <c:pt idx="367">
                  <c:v>34.9</c:v>
                </c:pt>
                <c:pt idx="368">
                  <c:v>35.22</c:v>
                </c:pt>
                <c:pt idx="369">
                  <c:v>34.380000000000003</c:v>
                </c:pt>
                <c:pt idx="370">
                  <c:v>35.04</c:v>
                </c:pt>
                <c:pt idx="371">
                  <c:v>35.1</c:v>
                </c:pt>
                <c:pt idx="372">
                  <c:v>35.06</c:v>
                </c:pt>
                <c:pt idx="373">
                  <c:v>35.270000000000003</c:v>
                </c:pt>
                <c:pt idx="374">
                  <c:v>35.58</c:v>
                </c:pt>
                <c:pt idx="375">
                  <c:v>35.950000000000003</c:v>
                </c:pt>
                <c:pt idx="376">
                  <c:v>36.549999999999997</c:v>
                </c:pt>
                <c:pt idx="377">
                  <c:v>37.450000000000003</c:v>
                </c:pt>
                <c:pt idx="378">
                  <c:v>38</c:v>
                </c:pt>
                <c:pt idx="379">
                  <c:v>37.869999999999997</c:v>
                </c:pt>
                <c:pt idx="380">
                  <c:v>37.35</c:v>
                </c:pt>
                <c:pt idx="381">
                  <c:v>37.71</c:v>
                </c:pt>
                <c:pt idx="382">
                  <c:v>38.32</c:v>
                </c:pt>
                <c:pt idx="383">
                  <c:v>37.770000000000003</c:v>
                </c:pt>
                <c:pt idx="384">
                  <c:v>37.39</c:v>
                </c:pt>
                <c:pt idx="385">
                  <c:v>36.78</c:v>
                </c:pt>
                <c:pt idx="386">
                  <c:v>36.93</c:v>
                </c:pt>
                <c:pt idx="387">
                  <c:v>36.46</c:v>
                </c:pt>
                <c:pt idx="388">
                  <c:v>36.71</c:v>
                </c:pt>
                <c:pt idx="389">
                  <c:v>36.65</c:v>
                </c:pt>
                <c:pt idx="390">
                  <c:v>36.909999999999997</c:v>
                </c:pt>
                <c:pt idx="391">
                  <c:v>35.93</c:v>
                </c:pt>
                <c:pt idx="392">
                  <c:v>36.01</c:v>
                </c:pt>
                <c:pt idx="393">
                  <c:v>36.03</c:v>
                </c:pt>
                <c:pt idx="394">
                  <c:v>36.200000000000003</c:v>
                </c:pt>
                <c:pt idx="395">
                  <c:v>36.35</c:v>
                </c:pt>
                <c:pt idx="396">
                  <c:v>36.840000000000003</c:v>
                </c:pt>
                <c:pt idx="397">
                  <c:v>36.71</c:v>
                </c:pt>
                <c:pt idx="398">
                  <c:v>36.979999999999997</c:v>
                </c:pt>
                <c:pt idx="399">
                  <c:v>36.770000000000003</c:v>
                </c:pt>
                <c:pt idx="400">
                  <c:v>36.450000000000003</c:v>
                </c:pt>
                <c:pt idx="401">
                  <c:v>36.53</c:v>
                </c:pt>
                <c:pt idx="402">
                  <c:v>36.28</c:v>
                </c:pt>
                <c:pt idx="403">
                  <c:v>36.53</c:v>
                </c:pt>
                <c:pt idx="404">
                  <c:v>36.78</c:v>
                </c:pt>
                <c:pt idx="405">
                  <c:v>36.47</c:v>
                </c:pt>
                <c:pt idx="406">
                  <c:v>36.14</c:v>
                </c:pt>
                <c:pt idx="407">
                  <c:v>35.21</c:v>
                </c:pt>
                <c:pt idx="408">
                  <c:v>35.61</c:v>
                </c:pt>
                <c:pt idx="409">
                  <c:v>35.35</c:v>
                </c:pt>
                <c:pt idx="410">
                  <c:v>35.42</c:v>
                </c:pt>
                <c:pt idx="411">
                  <c:v>34.69</c:v>
                </c:pt>
                <c:pt idx="412">
                  <c:v>34.11</c:v>
                </c:pt>
                <c:pt idx="413">
                  <c:v>34.24</c:v>
                </c:pt>
                <c:pt idx="414">
                  <c:v>33.86</c:v>
                </c:pt>
                <c:pt idx="415">
                  <c:v>33.6</c:v>
                </c:pt>
                <c:pt idx="416">
                  <c:v>33.799999999999997</c:v>
                </c:pt>
                <c:pt idx="417">
                  <c:v>34.11</c:v>
                </c:pt>
                <c:pt idx="418">
                  <c:v>34.28</c:v>
                </c:pt>
                <c:pt idx="419">
                  <c:v>34.619999999999997</c:v>
                </c:pt>
                <c:pt idx="420">
                  <c:v>34.36</c:v>
                </c:pt>
                <c:pt idx="421">
                  <c:v>34.72</c:v>
                </c:pt>
                <c:pt idx="422">
                  <c:v>34.76</c:v>
                </c:pt>
                <c:pt idx="423">
                  <c:v>34.39</c:v>
                </c:pt>
                <c:pt idx="424">
                  <c:v>34.64</c:v>
                </c:pt>
                <c:pt idx="425">
                  <c:v>34.47</c:v>
                </c:pt>
                <c:pt idx="426">
                  <c:v>35.270000000000003</c:v>
                </c:pt>
                <c:pt idx="427">
                  <c:v>35.15</c:v>
                </c:pt>
                <c:pt idx="428">
                  <c:v>34.619999999999997</c:v>
                </c:pt>
                <c:pt idx="429">
                  <c:v>35.15</c:v>
                </c:pt>
                <c:pt idx="430">
                  <c:v>34.68</c:v>
                </c:pt>
                <c:pt idx="431">
                  <c:v>36.380000000000003</c:v>
                </c:pt>
                <c:pt idx="432">
                  <c:v>36.270000000000003</c:v>
                </c:pt>
                <c:pt idx="433">
                  <c:v>35.76</c:v>
                </c:pt>
                <c:pt idx="434">
                  <c:v>35.53</c:v>
                </c:pt>
                <c:pt idx="435">
                  <c:v>35.42</c:v>
                </c:pt>
                <c:pt idx="436">
                  <c:v>35.64</c:v>
                </c:pt>
                <c:pt idx="437">
                  <c:v>35.29</c:v>
                </c:pt>
                <c:pt idx="438">
                  <c:v>34.729999999999997</c:v>
                </c:pt>
                <c:pt idx="439">
                  <c:v>34.090000000000003</c:v>
                </c:pt>
                <c:pt idx="440">
                  <c:v>33.81</c:v>
                </c:pt>
                <c:pt idx="441">
                  <c:v>33.85</c:v>
                </c:pt>
                <c:pt idx="442">
                  <c:v>34.119999999999997</c:v>
                </c:pt>
                <c:pt idx="443">
                  <c:v>34.5</c:v>
                </c:pt>
                <c:pt idx="444">
                  <c:v>34.799999999999997</c:v>
                </c:pt>
                <c:pt idx="445">
                  <c:v>34.53</c:v>
                </c:pt>
                <c:pt idx="446">
                  <c:v>34.51</c:v>
                </c:pt>
                <c:pt idx="447">
                  <c:v>34.799999999999997</c:v>
                </c:pt>
                <c:pt idx="448">
                  <c:v>35.19</c:v>
                </c:pt>
                <c:pt idx="449">
                  <c:v>35.700000000000003</c:v>
                </c:pt>
                <c:pt idx="450">
                  <c:v>35.75</c:v>
                </c:pt>
                <c:pt idx="451">
                  <c:v>35.729999999999997</c:v>
                </c:pt>
                <c:pt idx="452">
                  <c:v>35.700000000000003</c:v>
                </c:pt>
                <c:pt idx="453">
                  <c:v>35.869999999999997</c:v>
                </c:pt>
                <c:pt idx="454">
                  <c:v>35.869999999999997</c:v>
                </c:pt>
                <c:pt idx="455">
                  <c:v>35.44</c:v>
                </c:pt>
                <c:pt idx="456">
                  <c:v>35.57</c:v>
                </c:pt>
                <c:pt idx="457">
                  <c:v>34.93</c:v>
                </c:pt>
                <c:pt idx="458">
                  <c:v>34.630000000000003</c:v>
                </c:pt>
                <c:pt idx="459">
                  <c:v>34.17</c:v>
                </c:pt>
                <c:pt idx="460">
                  <c:v>34.380000000000003</c:v>
                </c:pt>
                <c:pt idx="461">
                  <c:v>34.64</c:v>
                </c:pt>
                <c:pt idx="462">
                  <c:v>34.979999999999997</c:v>
                </c:pt>
                <c:pt idx="463">
                  <c:v>35.18</c:v>
                </c:pt>
                <c:pt idx="464">
                  <c:v>35.08</c:v>
                </c:pt>
                <c:pt idx="465">
                  <c:v>35.33</c:v>
                </c:pt>
                <c:pt idx="466">
                  <c:v>35.44</c:v>
                </c:pt>
                <c:pt idx="467">
                  <c:v>35.26</c:v>
                </c:pt>
                <c:pt idx="468">
                  <c:v>35.049999999999997</c:v>
                </c:pt>
                <c:pt idx="469">
                  <c:v>34.86</c:v>
                </c:pt>
                <c:pt idx="470">
                  <c:v>34.47</c:v>
                </c:pt>
                <c:pt idx="471">
                  <c:v>34.549999999999997</c:v>
                </c:pt>
                <c:pt idx="472">
                  <c:v>34.619999999999997</c:v>
                </c:pt>
                <c:pt idx="473">
                  <c:v>34.950000000000003</c:v>
                </c:pt>
                <c:pt idx="474">
                  <c:v>34.47</c:v>
                </c:pt>
                <c:pt idx="475">
                  <c:v>34.770000000000003</c:v>
                </c:pt>
                <c:pt idx="476">
                  <c:v>35.11</c:v>
                </c:pt>
                <c:pt idx="477">
                  <c:v>35.51</c:v>
                </c:pt>
                <c:pt idx="478">
                  <c:v>35.49</c:v>
                </c:pt>
                <c:pt idx="479">
                  <c:v>35.130000000000003</c:v>
                </c:pt>
                <c:pt idx="480">
                  <c:v>35.03</c:v>
                </c:pt>
                <c:pt idx="481">
                  <c:v>34.56</c:v>
                </c:pt>
                <c:pt idx="482">
                  <c:v>34.409999999999997</c:v>
                </c:pt>
                <c:pt idx="483">
                  <c:v>34.64</c:v>
                </c:pt>
                <c:pt idx="484">
                  <c:v>36.549999999999997</c:v>
                </c:pt>
                <c:pt idx="485">
                  <c:v>37.020000000000003</c:v>
                </c:pt>
                <c:pt idx="486">
                  <c:v>36.86</c:v>
                </c:pt>
                <c:pt idx="487">
                  <c:v>36.76</c:v>
                </c:pt>
                <c:pt idx="488">
                  <c:v>37.39</c:v>
                </c:pt>
                <c:pt idx="489">
                  <c:v>37.43</c:v>
                </c:pt>
                <c:pt idx="490">
                  <c:v>37.35</c:v>
                </c:pt>
                <c:pt idx="491">
                  <c:v>37.479999999999997</c:v>
                </c:pt>
                <c:pt idx="492">
                  <c:v>38.07</c:v>
                </c:pt>
                <c:pt idx="493">
                  <c:v>37.619999999999997</c:v>
                </c:pt>
                <c:pt idx="494">
                  <c:v>37.43</c:v>
                </c:pt>
                <c:pt idx="495">
                  <c:v>37.71</c:v>
                </c:pt>
                <c:pt idx="496">
                  <c:v>37.28</c:v>
                </c:pt>
                <c:pt idx="497">
                  <c:v>37.04</c:v>
                </c:pt>
                <c:pt idx="498">
                  <c:v>36.340000000000003</c:v>
                </c:pt>
                <c:pt idx="499">
                  <c:v>36.25</c:v>
                </c:pt>
                <c:pt idx="500">
                  <c:v>36.090000000000003</c:v>
                </c:pt>
                <c:pt idx="501">
                  <c:v>35.89</c:v>
                </c:pt>
                <c:pt idx="502">
                  <c:v>36.08</c:v>
                </c:pt>
                <c:pt idx="503">
                  <c:v>36.159999999999997</c:v>
                </c:pt>
                <c:pt idx="504">
                  <c:v>36.65</c:v>
                </c:pt>
                <c:pt idx="505">
                  <c:v>37.1</c:v>
                </c:pt>
                <c:pt idx="506">
                  <c:v>37.340000000000003</c:v>
                </c:pt>
                <c:pt idx="507">
                  <c:v>37.56</c:v>
                </c:pt>
                <c:pt idx="508">
                  <c:v>37.01</c:v>
                </c:pt>
                <c:pt idx="509">
                  <c:v>36.68</c:v>
                </c:pt>
                <c:pt idx="510">
                  <c:v>36.58</c:v>
                </c:pt>
                <c:pt idx="511">
                  <c:v>36.67</c:v>
                </c:pt>
                <c:pt idx="512">
                  <c:v>36.29</c:v>
                </c:pt>
                <c:pt idx="513">
                  <c:v>35.39</c:v>
                </c:pt>
                <c:pt idx="514">
                  <c:v>35.58</c:v>
                </c:pt>
                <c:pt idx="515">
                  <c:v>35.799999999999997</c:v>
                </c:pt>
                <c:pt idx="516">
                  <c:v>35.979999999999997</c:v>
                </c:pt>
                <c:pt idx="517">
                  <c:v>36.049999999999997</c:v>
                </c:pt>
                <c:pt idx="518">
                  <c:v>35.68</c:v>
                </c:pt>
                <c:pt idx="519">
                  <c:v>34.56</c:v>
                </c:pt>
                <c:pt idx="520">
                  <c:v>35.270000000000003</c:v>
                </c:pt>
                <c:pt idx="521">
                  <c:v>35.700000000000003</c:v>
                </c:pt>
                <c:pt idx="522">
                  <c:v>34.58</c:v>
                </c:pt>
                <c:pt idx="523">
                  <c:v>34.17</c:v>
                </c:pt>
                <c:pt idx="524">
                  <c:v>34.44</c:v>
                </c:pt>
                <c:pt idx="525">
                  <c:v>34.79</c:v>
                </c:pt>
                <c:pt idx="526">
                  <c:v>34.979999999999997</c:v>
                </c:pt>
                <c:pt idx="527">
                  <c:v>35.06</c:v>
                </c:pt>
                <c:pt idx="528">
                  <c:v>34.46</c:v>
                </c:pt>
                <c:pt idx="529">
                  <c:v>34.409999999999997</c:v>
                </c:pt>
                <c:pt idx="530">
                  <c:v>34.61</c:v>
                </c:pt>
                <c:pt idx="531">
                  <c:v>34.479999999999997</c:v>
                </c:pt>
                <c:pt idx="532">
                  <c:v>34.47</c:v>
                </c:pt>
                <c:pt idx="533">
                  <c:v>34.44</c:v>
                </c:pt>
                <c:pt idx="534">
                  <c:v>35.200000000000003</c:v>
                </c:pt>
                <c:pt idx="535">
                  <c:v>35.11</c:v>
                </c:pt>
                <c:pt idx="536">
                  <c:v>35.380000000000003</c:v>
                </c:pt>
                <c:pt idx="537">
                  <c:v>35.200000000000003</c:v>
                </c:pt>
                <c:pt idx="538">
                  <c:v>35.81</c:v>
                </c:pt>
                <c:pt idx="539">
                  <c:v>35.630000000000003</c:v>
                </c:pt>
                <c:pt idx="540">
                  <c:v>35.64</c:v>
                </c:pt>
                <c:pt idx="541">
                  <c:v>35.49</c:v>
                </c:pt>
                <c:pt idx="542">
                  <c:v>35.99</c:v>
                </c:pt>
                <c:pt idx="543">
                  <c:v>36.57</c:v>
                </c:pt>
                <c:pt idx="544">
                  <c:v>36.630000000000003</c:v>
                </c:pt>
                <c:pt idx="545">
                  <c:v>36.33</c:v>
                </c:pt>
                <c:pt idx="546">
                  <c:v>36.17</c:v>
                </c:pt>
                <c:pt idx="547">
                  <c:v>36</c:v>
                </c:pt>
                <c:pt idx="548">
                  <c:v>35.94</c:v>
                </c:pt>
                <c:pt idx="549">
                  <c:v>36.369999999999997</c:v>
                </c:pt>
                <c:pt idx="550">
                  <c:v>36.42</c:v>
                </c:pt>
                <c:pt idx="551">
                  <c:v>36.74</c:v>
                </c:pt>
                <c:pt idx="552">
                  <c:v>36.979999999999997</c:v>
                </c:pt>
                <c:pt idx="553">
                  <c:v>35.880000000000003</c:v>
                </c:pt>
                <c:pt idx="554">
                  <c:v>36.46</c:v>
                </c:pt>
                <c:pt idx="555">
                  <c:v>36.5</c:v>
                </c:pt>
                <c:pt idx="556">
                  <c:v>36.19</c:v>
                </c:pt>
                <c:pt idx="557">
                  <c:v>36.81</c:v>
                </c:pt>
                <c:pt idx="558">
                  <c:v>36.99</c:v>
                </c:pt>
                <c:pt idx="559">
                  <c:v>37.01</c:v>
                </c:pt>
                <c:pt idx="560">
                  <c:v>37.1</c:v>
                </c:pt>
                <c:pt idx="561">
                  <c:v>37.090000000000003</c:v>
                </c:pt>
                <c:pt idx="562">
                  <c:v>37.06</c:v>
                </c:pt>
                <c:pt idx="563">
                  <c:v>37.51</c:v>
                </c:pt>
                <c:pt idx="564">
                  <c:v>38.92</c:v>
                </c:pt>
                <c:pt idx="565">
                  <c:v>39.07</c:v>
                </c:pt>
                <c:pt idx="566">
                  <c:v>39.21</c:v>
                </c:pt>
                <c:pt idx="567">
                  <c:v>39.64</c:v>
                </c:pt>
                <c:pt idx="568">
                  <c:v>39.76</c:v>
                </c:pt>
                <c:pt idx="569">
                  <c:v>39.99</c:v>
                </c:pt>
                <c:pt idx="570">
                  <c:v>39.64</c:v>
                </c:pt>
                <c:pt idx="571">
                  <c:v>40.1</c:v>
                </c:pt>
                <c:pt idx="572">
                  <c:v>39.880000000000003</c:v>
                </c:pt>
                <c:pt idx="573">
                  <c:v>39.78</c:v>
                </c:pt>
                <c:pt idx="574">
                  <c:v>39.54</c:v>
                </c:pt>
                <c:pt idx="575">
                  <c:v>39.68</c:v>
                </c:pt>
                <c:pt idx="576">
                  <c:v>39.53</c:v>
                </c:pt>
                <c:pt idx="577">
                  <c:v>39.28</c:v>
                </c:pt>
                <c:pt idx="578">
                  <c:v>39.03</c:v>
                </c:pt>
                <c:pt idx="579">
                  <c:v>38.840000000000003</c:v>
                </c:pt>
                <c:pt idx="580">
                  <c:v>39.07</c:v>
                </c:pt>
                <c:pt idx="581">
                  <c:v>39.06</c:v>
                </c:pt>
                <c:pt idx="582">
                  <c:v>39.090000000000003</c:v>
                </c:pt>
                <c:pt idx="583">
                  <c:v>39.44</c:v>
                </c:pt>
                <c:pt idx="584">
                  <c:v>40.630000000000003</c:v>
                </c:pt>
                <c:pt idx="585">
                  <c:v>40.72</c:v>
                </c:pt>
                <c:pt idx="586">
                  <c:v>41.57</c:v>
                </c:pt>
                <c:pt idx="587">
                  <c:v>41.75</c:v>
                </c:pt>
                <c:pt idx="588">
                  <c:v>42.02</c:v>
                </c:pt>
                <c:pt idx="589">
                  <c:v>41.82</c:v>
                </c:pt>
                <c:pt idx="590">
                  <c:v>41.91</c:v>
                </c:pt>
                <c:pt idx="591">
                  <c:v>41.07</c:v>
                </c:pt>
                <c:pt idx="592">
                  <c:v>41.39</c:v>
                </c:pt>
                <c:pt idx="593">
                  <c:v>41.8</c:v>
                </c:pt>
                <c:pt idx="594">
                  <c:v>41.77</c:v>
                </c:pt>
                <c:pt idx="595">
                  <c:v>41.94</c:v>
                </c:pt>
                <c:pt idx="596">
                  <c:v>42.02</c:v>
                </c:pt>
                <c:pt idx="597">
                  <c:v>41.94</c:v>
                </c:pt>
                <c:pt idx="598">
                  <c:v>42.16</c:v>
                </c:pt>
                <c:pt idx="599">
                  <c:v>42.22</c:v>
                </c:pt>
                <c:pt idx="600">
                  <c:v>42.34</c:v>
                </c:pt>
                <c:pt idx="601">
                  <c:v>42.38</c:v>
                </c:pt>
                <c:pt idx="602">
                  <c:v>42.34</c:v>
                </c:pt>
                <c:pt idx="603">
                  <c:v>41.9</c:v>
                </c:pt>
                <c:pt idx="604">
                  <c:v>42.03</c:v>
                </c:pt>
                <c:pt idx="605">
                  <c:v>42.44</c:v>
                </c:pt>
                <c:pt idx="606">
                  <c:v>42.6</c:v>
                </c:pt>
                <c:pt idx="607">
                  <c:v>42.62</c:v>
                </c:pt>
                <c:pt idx="608">
                  <c:v>43.58</c:v>
                </c:pt>
                <c:pt idx="609">
                  <c:v>43.14</c:v>
                </c:pt>
                <c:pt idx="610">
                  <c:v>42.92</c:v>
                </c:pt>
                <c:pt idx="611">
                  <c:v>43.27</c:v>
                </c:pt>
                <c:pt idx="612">
                  <c:v>43.36</c:v>
                </c:pt>
                <c:pt idx="613">
                  <c:v>43.08</c:v>
                </c:pt>
                <c:pt idx="614">
                  <c:v>42.19</c:v>
                </c:pt>
                <c:pt idx="615">
                  <c:v>42.14</c:v>
                </c:pt>
                <c:pt idx="616">
                  <c:v>42.32</c:v>
                </c:pt>
                <c:pt idx="617">
                  <c:v>41.93</c:v>
                </c:pt>
                <c:pt idx="618">
                  <c:v>42.37</c:v>
                </c:pt>
                <c:pt idx="619">
                  <c:v>42.35</c:v>
                </c:pt>
                <c:pt idx="620">
                  <c:v>42.83</c:v>
                </c:pt>
                <c:pt idx="621">
                  <c:v>42.79</c:v>
                </c:pt>
                <c:pt idx="622">
                  <c:v>42.99</c:v>
                </c:pt>
                <c:pt idx="623">
                  <c:v>42.87</c:v>
                </c:pt>
                <c:pt idx="624">
                  <c:v>42.42</c:v>
                </c:pt>
                <c:pt idx="625">
                  <c:v>41.79</c:v>
                </c:pt>
                <c:pt idx="626">
                  <c:v>41.54</c:v>
                </c:pt>
                <c:pt idx="627">
                  <c:v>40.86</c:v>
                </c:pt>
                <c:pt idx="628">
                  <c:v>41.19</c:v>
                </c:pt>
                <c:pt idx="629">
                  <c:v>40.85</c:v>
                </c:pt>
                <c:pt idx="630">
                  <c:v>40.880000000000003</c:v>
                </c:pt>
                <c:pt idx="631">
                  <c:v>40.69</c:v>
                </c:pt>
                <c:pt idx="632">
                  <c:v>40.799999999999997</c:v>
                </c:pt>
                <c:pt idx="633">
                  <c:v>40.659999999999997</c:v>
                </c:pt>
                <c:pt idx="634">
                  <c:v>40.5</c:v>
                </c:pt>
                <c:pt idx="635">
                  <c:v>39.950000000000003</c:v>
                </c:pt>
                <c:pt idx="636">
                  <c:v>39.6</c:v>
                </c:pt>
                <c:pt idx="637">
                  <c:v>39.270000000000003</c:v>
                </c:pt>
                <c:pt idx="638">
                  <c:v>39.75</c:v>
                </c:pt>
                <c:pt idx="639">
                  <c:v>40.590000000000003</c:v>
                </c:pt>
                <c:pt idx="640">
                  <c:v>41.24</c:v>
                </c:pt>
                <c:pt idx="641">
                  <c:v>40.86</c:v>
                </c:pt>
                <c:pt idx="642">
                  <c:v>40.909999999999997</c:v>
                </c:pt>
                <c:pt idx="643">
                  <c:v>41.11</c:v>
                </c:pt>
                <c:pt idx="644">
                  <c:v>41.61</c:v>
                </c:pt>
                <c:pt idx="645">
                  <c:v>41.44</c:v>
                </c:pt>
                <c:pt idx="646">
                  <c:v>42.57</c:v>
                </c:pt>
                <c:pt idx="647">
                  <c:v>43.35</c:v>
                </c:pt>
                <c:pt idx="648">
                  <c:v>43.5</c:v>
                </c:pt>
                <c:pt idx="649">
                  <c:v>43.45</c:v>
                </c:pt>
                <c:pt idx="650">
                  <c:v>44.15</c:v>
                </c:pt>
                <c:pt idx="651">
                  <c:v>44.14</c:v>
                </c:pt>
                <c:pt idx="652">
                  <c:v>44.67</c:v>
                </c:pt>
                <c:pt idx="653">
                  <c:v>45.07</c:v>
                </c:pt>
                <c:pt idx="654">
                  <c:v>45.17</c:v>
                </c:pt>
                <c:pt idx="655">
                  <c:v>45.66</c:v>
                </c:pt>
                <c:pt idx="656">
                  <c:v>45.7</c:v>
                </c:pt>
                <c:pt idx="657">
                  <c:v>44.88</c:v>
                </c:pt>
                <c:pt idx="658">
                  <c:v>44.98</c:v>
                </c:pt>
                <c:pt idx="659">
                  <c:v>44.59</c:v>
                </c:pt>
                <c:pt idx="660">
                  <c:v>44.46</c:v>
                </c:pt>
                <c:pt idx="661">
                  <c:v>45.78</c:v>
                </c:pt>
                <c:pt idx="662">
                  <c:v>45.15</c:v>
                </c:pt>
                <c:pt idx="663">
                  <c:v>45.12</c:v>
                </c:pt>
                <c:pt idx="664">
                  <c:v>44.24</c:v>
                </c:pt>
                <c:pt idx="665">
                  <c:v>44.28</c:v>
                </c:pt>
                <c:pt idx="666">
                  <c:v>44.02</c:v>
                </c:pt>
                <c:pt idx="667">
                  <c:v>44.77</c:v>
                </c:pt>
                <c:pt idx="668">
                  <c:v>40.880000000000003</c:v>
                </c:pt>
                <c:pt idx="669">
                  <c:v>41.35</c:v>
                </c:pt>
                <c:pt idx="670">
                  <c:v>41.97</c:v>
                </c:pt>
                <c:pt idx="671">
                  <c:v>41.54</c:v>
                </c:pt>
                <c:pt idx="672">
                  <c:v>41.21</c:v>
                </c:pt>
                <c:pt idx="673">
                  <c:v>41.29</c:v>
                </c:pt>
                <c:pt idx="674">
                  <c:v>41.06</c:v>
                </c:pt>
                <c:pt idx="675">
                  <c:v>41.11</c:v>
                </c:pt>
                <c:pt idx="676">
                  <c:v>41.11</c:v>
                </c:pt>
                <c:pt idx="677">
                  <c:v>40.65</c:v>
                </c:pt>
                <c:pt idx="678">
                  <c:v>40.659999999999997</c:v>
                </c:pt>
                <c:pt idx="679">
                  <c:v>40.950000000000003</c:v>
                </c:pt>
                <c:pt idx="680">
                  <c:v>40.76</c:v>
                </c:pt>
                <c:pt idx="681">
                  <c:v>40.479999999999997</c:v>
                </c:pt>
                <c:pt idx="682">
                  <c:v>40.549999999999997</c:v>
                </c:pt>
                <c:pt idx="683">
                  <c:v>40.31</c:v>
                </c:pt>
                <c:pt idx="684">
                  <c:v>38.869999999999997</c:v>
                </c:pt>
                <c:pt idx="685">
                  <c:v>38.64</c:v>
                </c:pt>
                <c:pt idx="686">
                  <c:v>38.5</c:v>
                </c:pt>
                <c:pt idx="687">
                  <c:v>38.380000000000003</c:v>
                </c:pt>
                <c:pt idx="688">
                  <c:v>38.21</c:v>
                </c:pt>
                <c:pt idx="689">
                  <c:v>38.46</c:v>
                </c:pt>
                <c:pt idx="690">
                  <c:v>38.840000000000003</c:v>
                </c:pt>
                <c:pt idx="691">
                  <c:v>38.71</c:v>
                </c:pt>
                <c:pt idx="692">
                  <c:v>38.6</c:v>
                </c:pt>
                <c:pt idx="693">
                  <c:v>38.56</c:v>
                </c:pt>
                <c:pt idx="694">
                  <c:v>38.9</c:v>
                </c:pt>
                <c:pt idx="695">
                  <c:v>39.159999999999997</c:v>
                </c:pt>
                <c:pt idx="696">
                  <c:v>38.67</c:v>
                </c:pt>
                <c:pt idx="697">
                  <c:v>38.9</c:v>
                </c:pt>
                <c:pt idx="698">
                  <c:v>39.840000000000003</c:v>
                </c:pt>
                <c:pt idx="699">
                  <c:v>39.36</c:v>
                </c:pt>
                <c:pt idx="700">
                  <c:v>39.35</c:v>
                </c:pt>
                <c:pt idx="701">
                  <c:v>39.39</c:v>
                </c:pt>
                <c:pt idx="702">
                  <c:v>38.840000000000003</c:v>
                </c:pt>
                <c:pt idx="703">
                  <c:v>39.299999999999997</c:v>
                </c:pt>
                <c:pt idx="704">
                  <c:v>39.07</c:v>
                </c:pt>
                <c:pt idx="705">
                  <c:v>39.86</c:v>
                </c:pt>
                <c:pt idx="706">
                  <c:v>40.01</c:v>
                </c:pt>
                <c:pt idx="707">
                  <c:v>39.770000000000003</c:v>
                </c:pt>
                <c:pt idx="708">
                  <c:v>38.770000000000003</c:v>
                </c:pt>
                <c:pt idx="709">
                  <c:v>39.64</c:v>
                </c:pt>
                <c:pt idx="710">
                  <c:v>40.42</c:v>
                </c:pt>
                <c:pt idx="711">
                  <c:v>39.380000000000003</c:v>
                </c:pt>
                <c:pt idx="712">
                  <c:v>38.68</c:v>
                </c:pt>
                <c:pt idx="713">
                  <c:v>39.369999999999997</c:v>
                </c:pt>
                <c:pt idx="714">
                  <c:v>40.020000000000003</c:v>
                </c:pt>
                <c:pt idx="715">
                  <c:v>40.26</c:v>
                </c:pt>
                <c:pt idx="716">
                  <c:v>40.32</c:v>
                </c:pt>
                <c:pt idx="717">
                  <c:v>41.18</c:v>
                </c:pt>
                <c:pt idx="718">
                  <c:v>41.22</c:v>
                </c:pt>
                <c:pt idx="719">
                  <c:v>41.4</c:v>
                </c:pt>
                <c:pt idx="720">
                  <c:v>41.28</c:v>
                </c:pt>
                <c:pt idx="721">
                  <c:v>41.52</c:v>
                </c:pt>
                <c:pt idx="722">
                  <c:v>41.6</c:v>
                </c:pt>
                <c:pt idx="723">
                  <c:v>41.85</c:v>
                </c:pt>
                <c:pt idx="724">
                  <c:v>41.95</c:v>
                </c:pt>
                <c:pt idx="725">
                  <c:v>42.63</c:v>
                </c:pt>
                <c:pt idx="726">
                  <c:v>42.54</c:v>
                </c:pt>
                <c:pt idx="727">
                  <c:v>44.15</c:v>
                </c:pt>
                <c:pt idx="728">
                  <c:v>43.9</c:v>
                </c:pt>
                <c:pt idx="729">
                  <c:v>43.74</c:v>
                </c:pt>
                <c:pt idx="730">
                  <c:v>43.91</c:v>
                </c:pt>
                <c:pt idx="731">
                  <c:v>43.44</c:v>
                </c:pt>
                <c:pt idx="732">
                  <c:v>44.26</c:v>
                </c:pt>
                <c:pt idx="733">
                  <c:v>43.13</c:v>
                </c:pt>
                <c:pt idx="734">
                  <c:v>43.67</c:v>
                </c:pt>
                <c:pt idx="735">
                  <c:v>43.94</c:v>
                </c:pt>
                <c:pt idx="736">
                  <c:v>44.1</c:v>
                </c:pt>
                <c:pt idx="737">
                  <c:v>43.77</c:v>
                </c:pt>
                <c:pt idx="738">
                  <c:v>43.11</c:v>
                </c:pt>
                <c:pt idx="739">
                  <c:v>43.01</c:v>
                </c:pt>
                <c:pt idx="740">
                  <c:v>43.55</c:v>
                </c:pt>
                <c:pt idx="741">
                  <c:v>42.56</c:v>
                </c:pt>
                <c:pt idx="742">
                  <c:v>42.43</c:v>
                </c:pt>
                <c:pt idx="743">
                  <c:v>41.62</c:v>
                </c:pt>
                <c:pt idx="744">
                  <c:v>40.799999999999997</c:v>
                </c:pt>
                <c:pt idx="745">
                  <c:v>40.86</c:v>
                </c:pt>
                <c:pt idx="746">
                  <c:v>40.98</c:v>
                </c:pt>
                <c:pt idx="747">
                  <c:v>40.56</c:v>
                </c:pt>
                <c:pt idx="748">
                  <c:v>40.9</c:v>
                </c:pt>
                <c:pt idx="749">
                  <c:v>40.71</c:v>
                </c:pt>
                <c:pt idx="750">
                  <c:v>40.880000000000003</c:v>
                </c:pt>
                <c:pt idx="751">
                  <c:v>40.299999999999997</c:v>
                </c:pt>
                <c:pt idx="752">
                  <c:v>39.450000000000003</c:v>
                </c:pt>
                <c:pt idx="753">
                  <c:v>38.369999999999997</c:v>
                </c:pt>
                <c:pt idx="754">
                  <c:v>38.82</c:v>
                </c:pt>
                <c:pt idx="755">
                  <c:v>38.630000000000003</c:v>
                </c:pt>
                <c:pt idx="756">
                  <c:v>38.020000000000003</c:v>
                </c:pt>
                <c:pt idx="757">
                  <c:v>40.24</c:v>
                </c:pt>
                <c:pt idx="758">
                  <c:v>39.21</c:v>
                </c:pt>
                <c:pt idx="759">
                  <c:v>38.83</c:v>
                </c:pt>
                <c:pt idx="760">
                  <c:v>39.130000000000003</c:v>
                </c:pt>
                <c:pt idx="761">
                  <c:v>38.96</c:v>
                </c:pt>
                <c:pt idx="762">
                  <c:v>39.21</c:v>
                </c:pt>
                <c:pt idx="763">
                  <c:v>38.96</c:v>
                </c:pt>
                <c:pt idx="764">
                  <c:v>38.549999999999997</c:v>
                </c:pt>
                <c:pt idx="765">
                  <c:v>38.159999999999997</c:v>
                </c:pt>
                <c:pt idx="766">
                  <c:v>38</c:v>
                </c:pt>
                <c:pt idx="767">
                  <c:v>37.979999999999997</c:v>
                </c:pt>
                <c:pt idx="768">
                  <c:v>37.74</c:v>
                </c:pt>
                <c:pt idx="769">
                  <c:v>37.520000000000003</c:v>
                </c:pt>
                <c:pt idx="770">
                  <c:v>37.880000000000003</c:v>
                </c:pt>
                <c:pt idx="771">
                  <c:v>38.17</c:v>
                </c:pt>
                <c:pt idx="772">
                  <c:v>37.01</c:v>
                </c:pt>
                <c:pt idx="773">
                  <c:v>36.76</c:v>
                </c:pt>
                <c:pt idx="774">
                  <c:v>36.880000000000003</c:v>
                </c:pt>
                <c:pt idx="775">
                  <c:v>36.97</c:v>
                </c:pt>
                <c:pt idx="776">
                  <c:v>37.020000000000003</c:v>
                </c:pt>
                <c:pt idx="777">
                  <c:v>35.9</c:v>
                </c:pt>
                <c:pt idx="778">
                  <c:v>36.659999999999997</c:v>
                </c:pt>
                <c:pt idx="779">
                  <c:v>36.29</c:v>
                </c:pt>
                <c:pt idx="780">
                  <c:v>36.35</c:v>
                </c:pt>
                <c:pt idx="781">
                  <c:v>35.520000000000003</c:v>
                </c:pt>
                <c:pt idx="782">
                  <c:v>35.11</c:v>
                </c:pt>
                <c:pt idx="783">
                  <c:v>34.39</c:v>
                </c:pt>
                <c:pt idx="784">
                  <c:v>33.35</c:v>
                </c:pt>
                <c:pt idx="785">
                  <c:v>33.69</c:v>
                </c:pt>
                <c:pt idx="786">
                  <c:v>33.46</c:v>
                </c:pt>
                <c:pt idx="787">
                  <c:v>33.35</c:v>
                </c:pt>
                <c:pt idx="788">
                  <c:v>33.700000000000003</c:v>
                </c:pt>
                <c:pt idx="789">
                  <c:v>33.96</c:v>
                </c:pt>
                <c:pt idx="790">
                  <c:v>34.15</c:v>
                </c:pt>
                <c:pt idx="791">
                  <c:v>34.020000000000003</c:v>
                </c:pt>
                <c:pt idx="792">
                  <c:v>34.33</c:v>
                </c:pt>
                <c:pt idx="793">
                  <c:v>34.130000000000003</c:v>
                </c:pt>
                <c:pt idx="794">
                  <c:v>34.31</c:v>
                </c:pt>
                <c:pt idx="795">
                  <c:v>34.9</c:v>
                </c:pt>
                <c:pt idx="796">
                  <c:v>34.4</c:v>
                </c:pt>
                <c:pt idx="797">
                  <c:v>34.53</c:v>
                </c:pt>
                <c:pt idx="798">
                  <c:v>34.57</c:v>
                </c:pt>
                <c:pt idx="799">
                  <c:v>35.99</c:v>
                </c:pt>
                <c:pt idx="800">
                  <c:v>35.21</c:v>
                </c:pt>
                <c:pt idx="801">
                  <c:v>34.450000000000003</c:v>
                </c:pt>
                <c:pt idx="802">
                  <c:v>34.17</c:v>
                </c:pt>
                <c:pt idx="803">
                  <c:v>33.950000000000003</c:v>
                </c:pt>
                <c:pt idx="804">
                  <c:v>33.58</c:v>
                </c:pt>
                <c:pt idx="805">
                  <c:v>34.229999999999997</c:v>
                </c:pt>
                <c:pt idx="806">
                  <c:v>33.69</c:v>
                </c:pt>
                <c:pt idx="807">
                  <c:v>33.43</c:v>
                </c:pt>
                <c:pt idx="808">
                  <c:v>33.6</c:v>
                </c:pt>
                <c:pt idx="809">
                  <c:v>34.06</c:v>
                </c:pt>
                <c:pt idx="810">
                  <c:v>34.03</c:v>
                </c:pt>
                <c:pt idx="811">
                  <c:v>34.119999999999997</c:v>
                </c:pt>
                <c:pt idx="812">
                  <c:v>34.08</c:v>
                </c:pt>
                <c:pt idx="813">
                  <c:v>33.65</c:v>
                </c:pt>
                <c:pt idx="814">
                  <c:v>33.82</c:v>
                </c:pt>
                <c:pt idx="815">
                  <c:v>33.950000000000003</c:v>
                </c:pt>
                <c:pt idx="816">
                  <c:v>33.47</c:v>
                </c:pt>
                <c:pt idx="817">
                  <c:v>33.96</c:v>
                </c:pt>
                <c:pt idx="818">
                  <c:v>34.090000000000003</c:v>
                </c:pt>
                <c:pt idx="819">
                  <c:v>33.75</c:v>
                </c:pt>
                <c:pt idx="820">
                  <c:v>33.090000000000003</c:v>
                </c:pt>
                <c:pt idx="821">
                  <c:v>32.700000000000003</c:v>
                </c:pt>
                <c:pt idx="822">
                  <c:v>32.08</c:v>
                </c:pt>
                <c:pt idx="823">
                  <c:v>32.799999999999997</c:v>
                </c:pt>
                <c:pt idx="824">
                  <c:v>33.44</c:v>
                </c:pt>
                <c:pt idx="825">
                  <c:v>33.43</c:v>
                </c:pt>
                <c:pt idx="826">
                  <c:v>33.78</c:v>
                </c:pt>
                <c:pt idx="827">
                  <c:v>33.43</c:v>
                </c:pt>
                <c:pt idx="828">
                  <c:v>34.049999999999997</c:v>
                </c:pt>
                <c:pt idx="829">
                  <c:v>34.270000000000003</c:v>
                </c:pt>
                <c:pt idx="830">
                  <c:v>35.5</c:v>
                </c:pt>
                <c:pt idx="831">
                  <c:v>35.1</c:v>
                </c:pt>
                <c:pt idx="832">
                  <c:v>35.06</c:v>
                </c:pt>
                <c:pt idx="833">
                  <c:v>35.36</c:v>
                </c:pt>
                <c:pt idx="834">
                  <c:v>35.270000000000003</c:v>
                </c:pt>
                <c:pt idx="835">
                  <c:v>34.9</c:v>
                </c:pt>
                <c:pt idx="836">
                  <c:v>34.840000000000003</c:v>
                </c:pt>
                <c:pt idx="837">
                  <c:v>37.700000000000003</c:v>
                </c:pt>
                <c:pt idx="838">
                  <c:v>36.380000000000003</c:v>
                </c:pt>
                <c:pt idx="839">
                  <c:v>36.04</c:v>
                </c:pt>
                <c:pt idx="840">
                  <c:v>36.47</c:v>
                </c:pt>
                <c:pt idx="841">
                  <c:v>36.07</c:v>
                </c:pt>
                <c:pt idx="842">
                  <c:v>36.130000000000003</c:v>
                </c:pt>
                <c:pt idx="843">
                  <c:v>36.549999999999997</c:v>
                </c:pt>
                <c:pt idx="844">
                  <c:v>36.17</c:v>
                </c:pt>
                <c:pt idx="845">
                  <c:v>36.61</c:v>
                </c:pt>
                <c:pt idx="846">
                  <c:v>36.54</c:v>
                </c:pt>
                <c:pt idx="847">
                  <c:v>36.96</c:v>
                </c:pt>
                <c:pt idx="848">
                  <c:v>36.64</c:v>
                </c:pt>
                <c:pt idx="849">
                  <c:v>37.08</c:v>
                </c:pt>
                <c:pt idx="850">
                  <c:v>38.36</c:v>
                </c:pt>
                <c:pt idx="851">
                  <c:v>37.4</c:v>
                </c:pt>
                <c:pt idx="852">
                  <c:v>37.299999999999997</c:v>
                </c:pt>
                <c:pt idx="853">
                  <c:v>37.590000000000003</c:v>
                </c:pt>
                <c:pt idx="854">
                  <c:v>37.950000000000003</c:v>
                </c:pt>
                <c:pt idx="855">
                  <c:v>38.43</c:v>
                </c:pt>
                <c:pt idx="856">
                  <c:v>38.81</c:v>
                </c:pt>
                <c:pt idx="857">
                  <c:v>39.299999999999997</c:v>
                </c:pt>
                <c:pt idx="858">
                  <c:v>40.049999999999997</c:v>
                </c:pt>
                <c:pt idx="859">
                  <c:v>40.32</c:v>
                </c:pt>
                <c:pt idx="860">
                  <c:v>39.5</c:v>
                </c:pt>
                <c:pt idx="861">
                  <c:v>38.880000000000003</c:v>
                </c:pt>
                <c:pt idx="862">
                  <c:v>39.229999999999997</c:v>
                </c:pt>
                <c:pt idx="863">
                  <c:v>39.49</c:v>
                </c:pt>
                <c:pt idx="864">
                  <c:v>40.25</c:v>
                </c:pt>
                <c:pt idx="865">
                  <c:v>40.39</c:v>
                </c:pt>
                <c:pt idx="866">
                  <c:v>39.549999999999997</c:v>
                </c:pt>
                <c:pt idx="867">
                  <c:v>39.409999999999997</c:v>
                </c:pt>
                <c:pt idx="868">
                  <c:v>39.24</c:v>
                </c:pt>
                <c:pt idx="869">
                  <c:v>38.57</c:v>
                </c:pt>
                <c:pt idx="870">
                  <c:v>38.58</c:v>
                </c:pt>
                <c:pt idx="871">
                  <c:v>38.31</c:v>
                </c:pt>
                <c:pt idx="872">
                  <c:v>38.520000000000003</c:v>
                </c:pt>
                <c:pt idx="873">
                  <c:v>38.74</c:v>
                </c:pt>
                <c:pt idx="874">
                  <c:v>38.74</c:v>
                </c:pt>
                <c:pt idx="875">
                  <c:v>37.869999999999997</c:v>
                </c:pt>
                <c:pt idx="876">
                  <c:v>37.64</c:v>
                </c:pt>
                <c:pt idx="877">
                  <c:v>39.01</c:v>
                </c:pt>
                <c:pt idx="878">
                  <c:v>36.53</c:v>
                </c:pt>
                <c:pt idx="879">
                  <c:v>34.840000000000003</c:v>
                </c:pt>
                <c:pt idx="880">
                  <c:v>34.130000000000003</c:v>
                </c:pt>
                <c:pt idx="881">
                  <c:v>34.479999999999997</c:v>
                </c:pt>
                <c:pt idx="882">
                  <c:v>33.6</c:v>
                </c:pt>
                <c:pt idx="883">
                  <c:v>34.64</c:v>
                </c:pt>
                <c:pt idx="884">
                  <c:v>35.28</c:v>
                </c:pt>
                <c:pt idx="885">
                  <c:v>35.68</c:v>
                </c:pt>
                <c:pt idx="886">
                  <c:v>35.369999999999997</c:v>
                </c:pt>
                <c:pt idx="887">
                  <c:v>35.93</c:v>
                </c:pt>
                <c:pt idx="888">
                  <c:v>36.450000000000003</c:v>
                </c:pt>
                <c:pt idx="889">
                  <c:v>36.630000000000003</c:v>
                </c:pt>
                <c:pt idx="890">
                  <c:v>37.03</c:v>
                </c:pt>
                <c:pt idx="891">
                  <c:v>37.5</c:v>
                </c:pt>
                <c:pt idx="892">
                  <c:v>37.43</c:v>
                </c:pt>
                <c:pt idx="893">
                  <c:v>38.06</c:v>
                </c:pt>
                <c:pt idx="894">
                  <c:v>38.97</c:v>
                </c:pt>
                <c:pt idx="895">
                  <c:v>39.85</c:v>
                </c:pt>
                <c:pt idx="896">
                  <c:v>38.75</c:v>
                </c:pt>
                <c:pt idx="897">
                  <c:v>39.07</c:v>
                </c:pt>
                <c:pt idx="898">
                  <c:v>38.85</c:v>
                </c:pt>
                <c:pt idx="899">
                  <c:v>37.5</c:v>
                </c:pt>
                <c:pt idx="900">
                  <c:v>37.17</c:v>
                </c:pt>
                <c:pt idx="901">
                  <c:v>36.869999999999997</c:v>
                </c:pt>
                <c:pt idx="902">
                  <c:v>36.619999999999997</c:v>
                </c:pt>
                <c:pt idx="903">
                  <c:v>37.369999999999997</c:v>
                </c:pt>
                <c:pt idx="904">
                  <c:v>36.35</c:v>
                </c:pt>
                <c:pt idx="905">
                  <c:v>36.22</c:v>
                </c:pt>
                <c:pt idx="906">
                  <c:v>37.57</c:v>
                </c:pt>
                <c:pt idx="907">
                  <c:v>37.64</c:v>
                </c:pt>
                <c:pt idx="908">
                  <c:v>37.96</c:v>
                </c:pt>
                <c:pt idx="909">
                  <c:v>38.4</c:v>
                </c:pt>
                <c:pt idx="910">
                  <c:v>38.54</c:v>
                </c:pt>
                <c:pt idx="911">
                  <c:v>38.92</c:v>
                </c:pt>
                <c:pt idx="912">
                  <c:v>38.659999999999997</c:v>
                </c:pt>
                <c:pt idx="913">
                  <c:v>39.44</c:v>
                </c:pt>
                <c:pt idx="914">
                  <c:v>39.18</c:v>
                </c:pt>
                <c:pt idx="915">
                  <c:v>40</c:v>
                </c:pt>
                <c:pt idx="916">
                  <c:v>41.03</c:v>
                </c:pt>
                <c:pt idx="917">
                  <c:v>41.66</c:v>
                </c:pt>
                <c:pt idx="918">
                  <c:v>40.46</c:v>
                </c:pt>
                <c:pt idx="919">
                  <c:v>40.799999999999997</c:v>
                </c:pt>
                <c:pt idx="920">
                  <c:v>41.15</c:v>
                </c:pt>
                <c:pt idx="921">
                  <c:v>41.2</c:v>
                </c:pt>
                <c:pt idx="922">
                  <c:v>40.86</c:v>
                </c:pt>
                <c:pt idx="923">
                  <c:v>41.3</c:v>
                </c:pt>
                <c:pt idx="924">
                  <c:v>41.62</c:v>
                </c:pt>
                <c:pt idx="925">
                  <c:v>42.49</c:v>
                </c:pt>
                <c:pt idx="926">
                  <c:v>40.86</c:v>
                </c:pt>
                <c:pt idx="927">
                  <c:v>40.49</c:v>
                </c:pt>
                <c:pt idx="928">
                  <c:v>39.72</c:v>
                </c:pt>
                <c:pt idx="929">
                  <c:v>38.64</c:v>
                </c:pt>
                <c:pt idx="930">
                  <c:v>38.07</c:v>
                </c:pt>
                <c:pt idx="931">
                  <c:v>38.26</c:v>
                </c:pt>
                <c:pt idx="932">
                  <c:v>38.68</c:v>
                </c:pt>
                <c:pt idx="933">
                  <c:v>38.28</c:v>
                </c:pt>
                <c:pt idx="934">
                  <c:v>38.549999999999997</c:v>
                </c:pt>
                <c:pt idx="935">
                  <c:v>38.58</c:v>
                </c:pt>
                <c:pt idx="936">
                  <c:v>38.4</c:v>
                </c:pt>
                <c:pt idx="937">
                  <c:v>38.950000000000003</c:v>
                </c:pt>
                <c:pt idx="938">
                  <c:v>38.51</c:v>
                </c:pt>
                <c:pt idx="939">
                  <c:v>38.18</c:v>
                </c:pt>
                <c:pt idx="940">
                  <c:v>38.19</c:v>
                </c:pt>
                <c:pt idx="941">
                  <c:v>38.479999999999997</c:v>
                </c:pt>
                <c:pt idx="942">
                  <c:v>39.04</c:v>
                </c:pt>
                <c:pt idx="943">
                  <c:v>39.58</c:v>
                </c:pt>
                <c:pt idx="944">
                  <c:v>38.28</c:v>
                </c:pt>
                <c:pt idx="945">
                  <c:v>38.29</c:v>
                </c:pt>
                <c:pt idx="946">
                  <c:v>37.82</c:v>
                </c:pt>
                <c:pt idx="947">
                  <c:v>38.28</c:v>
                </c:pt>
                <c:pt idx="948">
                  <c:v>36.47</c:v>
                </c:pt>
                <c:pt idx="949">
                  <c:v>36.31</c:v>
                </c:pt>
                <c:pt idx="950">
                  <c:v>36.200000000000003</c:v>
                </c:pt>
                <c:pt idx="951">
                  <c:v>37.020000000000003</c:v>
                </c:pt>
                <c:pt idx="952">
                  <c:v>38.03</c:v>
                </c:pt>
                <c:pt idx="953">
                  <c:v>38.229999999999997</c:v>
                </c:pt>
                <c:pt idx="954">
                  <c:v>37.97</c:v>
                </c:pt>
                <c:pt idx="955">
                  <c:v>37.450000000000003</c:v>
                </c:pt>
                <c:pt idx="956">
                  <c:v>37.67</c:v>
                </c:pt>
                <c:pt idx="957">
                  <c:v>38.97</c:v>
                </c:pt>
                <c:pt idx="958">
                  <c:v>37.15</c:v>
                </c:pt>
                <c:pt idx="959">
                  <c:v>37.56</c:v>
                </c:pt>
                <c:pt idx="960">
                  <c:v>37.68</c:v>
                </c:pt>
                <c:pt idx="961">
                  <c:v>37.32</c:v>
                </c:pt>
                <c:pt idx="962">
                  <c:v>36.75</c:v>
                </c:pt>
                <c:pt idx="963">
                  <c:v>37.58</c:v>
                </c:pt>
                <c:pt idx="964">
                  <c:v>37.799999999999997</c:v>
                </c:pt>
                <c:pt idx="965">
                  <c:v>37.71</c:v>
                </c:pt>
                <c:pt idx="966">
                  <c:v>38.22</c:v>
                </c:pt>
                <c:pt idx="967">
                  <c:v>39.130000000000003</c:v>
                </c:pt>
                <c:pt idx="968">
                  <c:v>39.229999999999997</c:v>
                </c:pt>
                <c:pt idx="969">
                  <c:v>39.36</c:v>
                </c:pt>
                <c:pt idx="970">
                  <c:v>39.07</c:v>
                </c:pt>
                <c:pt idx="971">
                  <c:v>39.619999999999997</c:v>
                </c:pt>
                <c:pt idx="972">
                  <c:v>40.07</c:v>
                </c:pt>
                <c:pt idx="973">
                  <c:v>40.08</c:v>
                </c:pt>
                <c:pt idx="974">
                  <c:v>40.19</c:v>
                </c:pt>
                <c:pt idx="975">
                  <c:v>39.64</c:v>
                </c:pt>
                <c:pt idx="976">
                  <c:v>39.83</c:v>
                </c:pt>
                <c:pt idx="977">
                  <c:v>39.909999999999997</c:v>
                </c:pt>
                <c:pt idx="978">
                  <c:v>39.44</c:v>
                </c:pt>
                <c:pt idx="979">
                  <c:v>39.67</c:v>
                </c:pt>
                <c:pt idx="980">
                  <c:v>38.96</c:v>
                </c:pt>
                <c:pt idx="981">
                  <c:v>39.36</c:v>
                </c:pt>
                <c:pt idx="982">
                  <c:v>39.61</c:v>
                </c:pt>
                <c:pt idx="983">
                  <c:v>40.5</c:v>
                </c:pt>
                <c:pt idx="984">
                  <c:v>40.049999999999997</c:v>
                </c:pt>
                <c:pt idx="985">
                  <c:v>40.78</c:v>
                </c:pt>
                <c:pt idx="986">
                  <c:v>40.5</c:v>
                </c:pt>
                <c:pt idx="987">
                  <c:v>41.48</c:v>
                </c:pt>
                <c:pt idx="988">
                  <c:v>40.83</c:v>
                </c:pt>
                <c:pt idx="989">
                  <c:v>40.299999999999997</c:v>
                </c:pt>
                <c:pt idx="990">
                  <c:v>40.049999999999997</c:v>
                </c:pt>
                <c:pt idx="991">
                  <c:v>40.36</c:v>
                </c:pt>
                <c:pt idx="992">
                  <c:v>40.299999999999997</c:v>
                </c:pt>
                <c:pt idx="993">
                  <c:v>40.67</c:v>
                </c:pt>
                <c:pt idx="994">
                  <c:v>40.909999999999997</c:v>
                </c:pt>
                <c:pt idx="995">
                  <c:v>40.520000000000003</c:v>
                </c:pt>
                <c:pt idx="996">
                  <c:v>40.18</c:v>
                </c:pt>
                <c:pt idx="997">
                  <c:v>39.520000000000003</c:v>
                </c:pt>
                <c:pt idx="998">
                  <c:v>39.85</c:v>
                </c:pt>
                <c:pt idx="999">
                  <c:v>41.1</c:v>
                </c:pt>
                <c:pt idx="1000">
                  <c:v>43.16</c:v>
                </c:pt>
                <c:pt idx="1001">
                  <c:v>45.51</c:v>
                </c:pt>
                <c:pt idx="1002">
                  <c:v>43.69</c:v>
                </c:pt>
                <c:pt idx="1003">
                  <c:v>43.35</c:v>
                </c:pt>
                <c:pt idx="1004">
                  <c:v>43.45</c:v>
                </c:pt>
                <c:pt idx="1005">
                  <c:v>43.5</c:v>
                </c:pt>
                <c:pt idx="1006">
                  <c:v>43.35</c:v>
                </c:pt>
                <c:pt idx="1007">
                  <c:v>43.44</c:v>
                </c:pt>
                <c:pt idx="1008">
                  <c:v>43.54</c:v>
                </c:pt>
                <c:pt idx="1009">
                  <c:v>43.69</c:v>
                </c:pt>
                <c:pt idx="1010">
                  <c:v>44.15</c:v>
                </c:pt>
                <c:pt idx="1011">
                  <c:v>43.78</c:v>
                </c:pt>
                <c:pt idx="1012">
                  <c:v>43.77</c:v>
                </c:pt>
                <c:pt idx="1013">
                  <c:v>43.91</c:v>
                </c:pt>
                <c:pt idx="1014">
                  <c:v>44.12</c:v>
                </c:pt>
                <c:pt idx="1015">
                  <c:v>43.94</c:v>
                </c:pt>
                <c:pt idx="1016">
                  <c:v>44.26</c:v>
                </c:pt>
                <c:pt idx="1017">
                  <c:v>45.54</c:v>
                </c:pt>
                <c:pt idx="1018">
                  <c:v>43.24</c:v>
                </c:pt>
                <c:pt idx="1019">
                  <c:v>43.8</c:v>
                </c:pt>
                <c:pt idx="1020">
                  <c:v>43.7</c:v>
                </c:pt>
                <c:pt idx="1021">
                  <c:v>45.93</c:v>
                </c:pt>
                <c:pt idx="1022">
                  <c:v>46.94</c:v>
                </c:pt>
                <c:pt idx="1023">
                  <c:v>46.86</c:v>
                </c:pt>
                <c:pt idx="1024">
                  <c:v>46.35</c:v>
                </c:pt>
                <c:pt idx="1025">
                  <c:v>46.82</c:v>
                </c:pt>
                <c:pt idx="1026">
                  <c:v>46.69</c:v>
                </c:pt>
                <c:pt idx="1027">
                  <c:v>47.1</c:v>
                </c:pt>
                <c:pt idx="1028">
                  <c:v>46.63</c:v>
                </c:pt>
                <c:pt idx="1029">
                  <c:v>47.36</c:v>
                </c:pt>
                <c:pt idx="1030">
                  <c:v>48.41</c:v>
                </c:pt>
                <c:pt idx="1031">
                  <c:v>48.07</c:v>
                </c:pt>
                <c:pt idx="1032">
                  <c:v>48.14</c:v>
                </c:pt>
                <c:pt idx="1033">
                  <c:v>47.18</c:v>
                </c:pt>
                <c:pt idx="1034">
                  <c:v>47.53</c:v>
                </c:pt>
                <c:pt idx="1035">
                  <c:v>47.37</c:v>
                </c:pt>
                <c:pt idx="1036">
                  <c:v>46.34</c:v>
                </c:pt>
                <c:pt idx="1037">
                  <c:v>46.11</c:v>
                </c:pt>
                <c:pt idx="1038">
                  <c:v>47.19</c:v>
                </c:pt>
                <c:pt idx="1039">
                  <c:v>46.99</c:v>
                </c:pt>
                <c:pt idx="1040">
                  <c:v>47.55</c:v>
                </c:pt>
                <c:pt idx="1041">
                  <c:v>48.02</c:v>
                </c:pt>
                <c:pt idx="1042">
                  <c:v>47.86</c:v>
                </c:pt>
                <c:pt idx="1043">
                  <c:v>47.19</c:v>
                </c:pt>
                <c:pt idx="1044">
                  <c:v>48.27</c:v>
                </c:pt>
                <c:pt idx="1045">
                  <c:v>48.97</c:v>
                </c:pt>
                <c:pt idx="1046">
                  <c:v>48.57</c:v>
                </c:pt>
                <c:pt idx="1047">
                  <c:v>48.41</c:v>
                </c:pt>
                <c:pt idx="1048">
                  <c:v>48.47</c:v>
                </c:pt>
                <c:pt idx="1049">
                  <c:v>47.27</c:v>
                </c:pt>
                <c:pt idx="1050">
                  <c:v>48.41</c:v>
                </c:pt>
                <c:pt idx="1051">
                  <c:v>48.88</c:v>
                </c:pt>
                <c:pt idx="1052">
                  <c:v>48.81</c:v>
                </c:pt>
                <c:pt idx="1053">
                  <c:v>49.24</c:v>
                </c:pt>
                <c:pt idx="1054">
                  <c:v>48.78</c:v>
                </c:pt>
                <c:pt idx="1055">
                  <c:v>48.71</c:v>
                </c:pt>
                <c:pt idx="1056">
                  <c:v>48.29</c:v>
                </c:pt>
                <c:pt idx="1057">
                  <c:v>48.61</c:v>
                </c:pt>
                <c:pt idx="1058">
                  <c:v>48.59</c:v>
                </c:pt>
                <c:pt idx="1059">
                  <c:v>48.85</c:v>
                </c:pt>
                <c:pt idx="1060">
                  <c:v>48.96</c:v>
                </c:pt>
                <c:pt idx="1061">
                  <c:v>49.08</c:v>
                </c:pt>
                <c:pt idx="1062">
                  <c:v>49.11</c:v>
                </c:pt>
                <c:pt idx="1063">
                  <c:v>49.3</c:v>
                </c:pt>
                <c:pt idx="1064">
                  <c:v>49.04</c:v>
                </c:pt>
                <c:pt idx="1065">
                  <c:v>49.63</c:v>
                </c:pt>
                <c:pt idx="1066">
                  <c:v>49.02</c:v>
                </c:pt>
                <c:pt idx="1067">
                  <c:v>50.56</c:v>
                </c:pt>
                <c:pt idx="1068">
                  <c:v>50.62</c:v>
                </c:pt>
                <c:pt idx="1069">
                  <c:v>50.22</c:v>
                </c:pt>
                <c:pt idx="1070">
                  <c:v>50.39</c:v>
                </c:pt>
                <c:pt idx="1071">
                  <c:v>50.39</c:v>
                </c:pt>
                <c:pt idx="1072">
                  <c:v>49.9</c:v>
                </c:pt>
                <c:pt idx="1073">
                  <c:v>50.79</c:v>
                </c:pt>
                <c:pt idx="1074">
                  <c:v>49.12</c:v>
                </c:pt>
                <c:pt idx="1075">
                  <c:v>48.22</c:v>
                </c:pt>
                <c:pt idx="1076">
                  <c:v>47.65</c:v>
                </c:pt>
                <c:pt idx="1077">
                  <c:v>48.07</c:v>
                </c:pt>
                <c:pt idx="1078">
                  <c:v>48.65</c:v>
                </c:pt>
                <c:pt idx="1079">
                  <c:v>49.15</c:v>
                </c:pt>
                <c:pt idx="1080">
                  <c:v>50.32</c:v>
                </c:pt>
                <c:pt idx="1081">
                  <c:v>50.8</c:v>
                </c:pt>
                <c:pt idx="1082">
                  <c:v>50.1</c:v>
                </c:pt>
                <c:pt idx="1083">
                  <c:v>50.66</c:v>
                </c:pt>
                <c:pt idx="1084">
                  <c:v>51.6</c:v>
                </c:pt>
                <c:pt idx="1085">
                  <c:v>52.47</c:v>
                </c:pt>
                <c:pt idx="1086">
                  <c:v>53.34</c:v>
                </c:pt>
                <c:pt idx="1087">
                  <c:v>57.23</c:v>
                </c:pt>
                <c:pt idx="1088">
                  <c:v>59.17</c:v>
                </c:pt>
                <c:pt idx="1089">
                  <c:v>60.23</c:v>
                </c:pt>
                <c:pt idx="1090">
                  <c:v>59.01</c:v>
                </c:pt>
                <c:pt idx="1091">
                  <c:v>58.82</c:v>
                </c:pt>
                <c:pt idx="1092">
                  <c:v>58.49</c:v>
                </c:pt>
                <c:pt idx="1093">
                  <c:v>58.54</c:v>
                </c:pt>
                <c:pt idx="1094">
                  <c:v>58.93</c:v>
                </c:pt>
                <c:pt idx="1095">
                  <c:v>60.87</c:v>
                </c:pt>
                <c:pt idx="1096">
                  <c:v>61.18</c:v>
                </c:pt>
                <c:pt idx="1097">
                  <c:v>60.85</c:v>
                </c:pt>
                <c:pt idx="1098">
                  <c:v>59.52</c:v>
                </c:pt>
                <c:pt idx="1099">
                  <c:v>59.26</c:v>
                </c:pt>
                <c:pt idx="1100">
                  <c:v>59.12</c:v>
                </c:pt>
                <c:pt idx="1101">
                  <c:v>59.54</c:v>
                </c:pt>
                <c:pt idx="1102">
                  <c:v>58.07</c:v>
                </c:pt>
                <c:pt idx="1103">
                  <c:v>59.13</c:v>
                </c:pt>
                <c:pt idx="1104">
                  <c:v>58.29</c:v>
                </c:pt>
                <c:pt idx="1105">
                  <c:v>57.07</c:v>
                </c:pt>
                <c:pt idx="1106">
                  <c:v>56.83</c:v>
                </c:pt>
                <c:pt idx="1107">
                  <c:v>55.27</c:v>
                </c:pt>
                <c:pt idx="1108">
                  <c:v>54.51</c:v>
                </c:pt>
                <c:pt idx="1109">
                  <c:v>55.51</c:v>
                </c:pt>
                <c:pt idx="1110">
                  <c:v>55.32</c:v>
                </c:pt>
                <c:pt idx="1111">
                  <c:v>55.15</c:v>
                </c:pt>
                <c:pt idx="1112">
                  <c:v>54.28</c:v>
                </c:pt>
                <c:pt idx="1113">
                  <c:v>53.39</c:v>
                </c:pt>
                <c:pt idx="1114">
                  <c:v>53.77</c:v>
                </c:pt>
                <c:pt idx="1115">
                  <c:v>53.41</c:v>
                </c:pt>
                <c:pt idx="1116">
                  <c:v>52.06</c:v>
                </c:pt>
                <c:pt idx="1117">
                  <c:v>52.37</c:v>
                </c:pt>
                <c:pt idx="1118">
                  <c:v>51.84</c:v>
                </c:pt>
                <c:pt idx="1119">
                  <c:v>51.99</c:v>
                </c:pt>
                <c:pt idx="1120">
                  <c:v>52.95</c:v>
                </c:pt>
                <c:pt idx="1121">
                  <c:v>54.7</c:v>
                </c:pt>
                <c:pt idx="1122">
                  <c:v>53.94</c:v>
                </c:pt>
                <c:pt idx="1123">
                  <c:v>53.84</c:v>
                </c:pt>
                <c:pt idx="1124">
                  <c:v>54.23</c:v>
                </c:pt>
                <c:pt idx="1125">
                  <c:v>55.19</c:v>
                </c:pt>
                <c:pt idx="1126">
                  <c:v>55.99</c:v>
                </c:pt>
                <c:pt idx="1127">
                  <c:v>56.69</c:v>
                </c:pt>
                <c:pt idx="1128">
                  <c:v>56.37</c:v>
                </c:pt>
                <c:pt idx="1129">
                  <c:v>55.84</c:v>
                </c:pt>
                <c:pt idx="1130">
                  <c:v>57.37</c:v>
                </c:pt>
                <c:pt idx="1131">
                  <c:v>58.36</c:v>
                </c:pt>
                <c:pt idx="1132">
                  <c:v>58.21</c:v>
                </c:pt>
                <c:pt idx="1133">
                  <c:v>58.94</c:v>
                </c:pt>
                <c:pt idx="1134">
                  <c:v>59.18</c:v>
                </c:pt>
                <c:pt idx="1135">
                  <c:v>57.81</c:v>
                </c:pt>
                <c:pt idx="1136">
                  <c:v>57.13</c:v>
                </c:pt>
                <c:pt idx="1137">
                  <c:v>58.35</c:v>
                </c:pt>
                <c:pt idx="1138">
                  <c:v>57.35</c:v>
                </c:pt>
                <c:pt idx="1139">
                  <c:v>56.12</c:v>
                </c:pt>
                <c:pt idx="1140">
                  <c:v>55.7</c:v>
                </c:pt>
                <c:pt idx="1141">
                  <c:v>55.63</c:v>
                </c:pt>
                <c:pt idx="1142">
                  <c:v>54.44</c:v>
                </c:pt>
                <c:pt idx="1143">
                  <c:v>54.22</c:v>
                </c:pt>
                <c:pt idx="1144">
                  <c:v>54.47</c:v>
                </c:pt>
                <c:pt idx="1145">
                  <c:v>51.4</c:v>
                </c:pt>
                <c:pt idx="1146">
                  <c:v>52.31</c:v>
                </c:pt>
                <c:pt idx="1147">
                  <c:v>51.61</c:v>
                </c:pt>
                <c:pt idx="1148">
                  <c:v>50.9</c:v>
                </c:pt>
                <c:pt idx="1149">
                  <c:v>50.38</c:v>
                </c:pt>
                <c:pt idx="1150">
                  <c:v>50.53</c:v>
                </c:pt>
                <c:pt idx="1151">
                  <c:v>50.5</c:v>
                </c:pt>
                <c:pt idx="1152">
                  <c:v>50.41</c:v>
                </c:pt>
                <c:pt idx="1153">
                  <c:v>49.81</c:v>
                </c:pt>
                <c:pt idx="1154">
                  <c:v>50.9</c:v>
                </c:pt>
                <c:pt idx="1155">
                  <c:v>50.99</c:v>
                </c:pt>
                <c:pt idx="1156">
                  <c:v>50.96</c:v>
                </c:pt>
                <c:pt idx="1157">
                  <c:v>49.67</c:v>
                </c:pt>
                <c:pt idx="1158">
                  <c:v>50.26</c:v>
                </c:pt>
                <c:pt idx="1159">
                  <c:v>51.05</c:v>
                </c:pt>
                <c:pt idx="1160">
                  <c:v>50.78</c:v>
                </c:pt>
                <c:pt idx="1161">
                  <c:v>51.53</c:v>
                </c:pt>
                <c:pt idx="1162">
                  <c:v>51.38</c:v>
                </c:pt>
                <c:pt idx="1163">
                  <c:v>51.5</c:v>
                </c:pt>
                <c:pt idx="1164">
                  <c:v>51.58</c:v>
                </c:pt>
                <c:pt idx="1165">
                  <c:v>51.24</c:v>
                </c:pt>
                <c:pt idx="1166">
                  <c:v>50.54</c:v>
                </c:pt>
                <c:pt idx="1167">
                  <c:v>49.31</c:v>
                </c:pt>
                <c:pt idx="1168">
                  <c:v>49</c:v>
                </c:pt>
                <c:pt idx="1169">
                  <c:v>49.72</c:v>
                </c:pt>
                <c:pt idx="1170">
                  <c:v>51.27</c:v>
                </c:pt>
                <c:pt idx="1171">
                  <c:v>51.52</c:v>
                </c:pt>
                <c:pt idx="1172">
                  <c:v>50.64</c:v>
                </c:pt>
                <c:pt idx="1173">
                  <c:v>51.25</c:v>
                </c:pt>
                <c:pt idx="1174">
                  <c:v>51.17</c:v>
                </c:pt>
                <c:pt idx="1175">
                  <c:v>52.86</c:v>
                </c:pt>
                <c:pt idx="1176">
                  <c:v>53.04</c:v>
                </c:pt>
                <c:pt idx="1177">
                  <c:v>52.23</c:v>
                </c:pt>
                <c:pt idx="1178">
                  <c:v>52.22</c:v>
                </c:pt>
                <c:pt idx="1179">
                  <c:v>52.15</c:v>
                </c:pt>
                <c:pt idx="1180">
                  <c:v>50.67</c:v>
                </c:pt>
                <c:pt idx="1181">
                  <c:v>50.74</c:v>
                </c:pt>
                <c:pt idx="1182">
                  <c:v>52.07</c:v>
                </c:pt>
                <c:pt idx="1183">
                  <c:v>51.09</c:v>
                </c:pt>
                <c:pt idx="1184">
                  <c:v>51.89</c:v>
                </c:pt>
                <c:pt idx="1185">
                  <c:v>52.5</c:v>
                </c:pt>
                <c:pt idx="1186">
                  <c:v>52.81</c:v>
                </c:pt>
                <c:pt idx="1187">
                  <c:v>52.42</c:v>
                </c:pt>
                <c:pt idx="1188">
                  <c:v>51.3</c:v>
                </c:pt>
                <c:pt idx="1189">
                  <c:v>53.66</c:v>
                </c:pt>
                <c:pt idx="1190">
                  <c:v>53.09</c:v>
                </c:pt>
                <c:pt idx="1191">
                  <c:v>53.32</c:v>
                </c:pt>
                <c:pt idx="1192">
                  <c:v>52.52</c:v>
                </c:pt>
                <c:pt idx="1193">
                  <c:v>52.47</c:v>
                </c:pt>
                <c:pt idx="1194">
                  <c:v>52.78</c:v>
                </c:pt>
                <c:pt idx="1195">
                  <c:v>52.29</c:v>
                </c:pt>
                <c:pt idx="1196">
                  <c:v>51.25</c:v>
                </c:pt>
                <c:pt idx="1197">
                  <c:v>51.45</c:v>
                </c:pt>
                <c:pt idx="1198">
                  <c:v>52.77</c:v>
                </c:pt>
                <c:pt idx="1199">
                  <c:v>51.76</c:v>
                </c:pt>
                <c:pt idx="1200">
                  <c:v>50.04</c:v>
                </c:pt>
                <c:pt idx="1201">
                  <c:v>50.78</c:v>
                </c:pt>
                <c:pt idx="1202">
                  <c:v>50.76</c:v>
                </c:pt>
                <c:pt idx="1203">
                  <c:v>50.74</c:v>
                </c:pt>
                <c:pt idx="1204">
                  <c:v>51.35</c:v>
                </c:pt>
                <c:pt idx="1205">
                  <c:v>51.98</c:v>
                </c:pt>
                <c:pt idx="1206">
                  <c:v>53.71</c:v>
                </c:pt>
                <c:pt idx="1207">
                  <c:v>53.22</c:v>
                </c:pt>
                <c:pt idx="1208">
                  <c:v>52.07</c:v>
                </c:pt>
                <c:pt idx="1209">
                  <c:v>51.69</c:v>
                </c:pt>
                <c:pt idx="1210">
                  <c:v>51.51</c:v>
                </c:pt>
                <c:pt idx="1211">
                  <c:v>51.53</c:v>
                </c:pt>
                <c:pt idx="1212">
                  <c:v>51.46</c:v>
                </c:pt>
                <c:pt idx="1213">
                  <c:v>52.17</c:v>
                </c:pt>
                <c:pt idx="1214">
                  <c:v>52.96</c:v>
                </c:pt>
                <c:pt idx="1215">
                  <c:v>52.16</c:v>
                </c:pt>
                <c:pt idx="1216">
                  <c:v>50.9</c:v>
                </c:pt>
                <c:pt idx="1217">
                  <c:v>50.3</c:v>
                </c:pt>
                <c:pt idx="1218">
                  <c:v>50.45</c:v>
                </c:pt>
                <c:pt idx="1219">
                  <c:v>49.52</c:v>
                </c:pt>
                <c:pt idx="1220">
                  <c:v>50.28</c:v>
                </c:pt>
                <c:pt idx="1221">
                  <c:v>51.15</c:v>
                </c:pt>
                <c:pt idx="1222">
                  <c:v>52.88</c:v>
                </c:pt>
                <c:pt idx="1223">
                  <c:v>51.96</c:v>
                </c:pt>
                <c:pt idx="1224">
                  <c:v>52.41</c:v>
                </c:pt>
                <c:pt idx="1225">
                  <c:v>51.78</c:v>
                </c:pt>
                <c:pt idx="1226">
                  <c:v>52.07</c:v>
                </c:pt>
                <c:pt idx="1227">
                  <c:v>51.43</c:v>
                </c:pt>
                <c:pt idx="1228">
                  <c:v>50.27</c:v>
                </c:pt>
                <c:pt idx="1229">
                  <c:v>50.82</c:v>
                </c:pt>
                <c:pt idx="1230">
                  <c:v>50.25</c:v>
                </c:pt>
                <c:pt idx="1231">
                  <c:v>50.66</c:v>
                </c:pt>
                <c:pt idx="1232">
                  <c:v>50.44</c:v>
                </c:pt>
                <c:pt idx="1233">
                  <c:v>50.87</c:v>
                </c:pt>
                <c:pt idx="1234">
                  <c:v>49.89</c:v>
                </c:pt>
                <c:pt idx="1235">
                  <c:v>48.54</c:v>
                </c:pt>
                <c:pt idx="1236">
                  <c:v>48.63</c:v>
                </c:pt>
                <c:pt idx="1237">
                  <c:v>48.12</c:v>
                </c:pt>
                <c:pt idx="1238">
                  <c:v>48.13</c:v>
                </c:pt>
                <c:pt idx="1239">
                  <c:v>50.05</c:v>
                </c:pt>
                <c:pt idx="1240">
                  <c:v>50.01</c:v>
                </c:pt>
                <c:pt idx="1241">
                  <c:v>50.29</c:v>
                </c:pt>
                <c:pt idx="1242">
                  <c:v>51.06</c:v>
                </c:pt>
                <c:pt idx="1243">
                  <c:v>50.22</c:v>
                </c:pt>
                <c:pt idx="1244">
                  <c:v>51.08</c:v>
                </c:pt>
                <c:pt idx="1245">
                  <c:v>50.72</c:v>
                </c:pt>
                <c:pt idx="1246">
                  <c:v>49.71</c:v>
                </c:pt>
                <c:pt idx="1247">
                  <c:v>49.65</c:v>
                </c:pt>
                <c:pt idx="1248">
                  <c:v>49.24</c:v>
                </c:pt>
                <c:pt idx="1249">
                  <c:v>49.7</c:v>
                </c:pt>
                <c:pt idx="1250">
                  <c:v>49.35</c:v>
                </c:pt>
                <c:pt idx="1251">
                  <c:v>48.17</c:v>
                </c:pt>
                <c:pt idx="1252">
                  <c:v>47.18</c:v>
                </c:pt>
                <c:pt idx="1253">
                  <c:v>47.03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7-4888-B3DE-DC083A5F0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733935"/>
        <c:axId val="510896304"/>
      </c:lineChart>
      <c:dateAx>
        <c:axId val="66573393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10896304"/>
        <c:crosses val="autoZero"/>
        <c:auto val="0"/>
        <c:lblOffset val="100"/>
        <c:baseTimeUnit val="days"/>
      </c:dateAx>
      <c:valAx>
        <c:axId val="510896304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573393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39-4F7A-BD4C-274F12F0AA01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39-4F7A-BD4C-274F12F0AA01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39-4F7A-BD4C-274F12F0AA01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39-4F7A-BD4C-274F12F0AA01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39-4F7A-BD4C-274F12F0AA01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39-4F7A-BD4C-274F12F0AA01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39-4F7A-BD4C-274F12F0AA01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39-4F7A-BD4C-274F12F0AA01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39-4F7A-BD4C-274F12F0AA01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39-4F7A-BD4C-274F12F0AA01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39-4F7A-BD4C-274F12F0AA01}"/>
            </c:ext>
          </c:extLst>
        </c:ser>
        <c:ser>
          <c:idx val="11"/>
          <c:order val="11"/>
          <c:tx>
            <c:v>GSK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39-4F7A-BD4C-274F12F0A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946127"/>
        <c:axId val="225553167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739-4F7A-BD4C-274F12F0AA01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739-4F7A-BD4C-274F12F0AA01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F739-4F7A-BD4C-274F12F0AA01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F739-4F7A-BD4C-274F12F0AA01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739-4F7A-BD4C-274F12F0AA01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739-4F7A-BD4C-274F12F0AA01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F739-4F7A-BD4C-274F12F0AA01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F739-4F7A-BD4C-274F12F0AA01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F739-4F7A-BD4C-274F12F0AA01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F739-4F7A-BD4C-274F12F0AA01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F739-4F7A-BD4C-274F12F0AA01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F739-4F7A-BD4C-274F12F0AA01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F739-4F7A-BD4C-274F12F0AA01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F739-4F7A-BD4C-274F12F0AA01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F739-4F7A-BD4C-274F12F0AA01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F739-4F7A-BD4C-274F12F0AA01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F739-4F7A-BD4C-274F12F0AA01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F739-4F7A-BD4C-274F12F0AA01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F739-4F7A-BD4C-274F12F0AA01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F739-4F7A-BD4C-274F12F0AA01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F739-4F7A-BD4C-274F12F0AA01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F739-4F7A-BD4C-274F12F0AA01}"/>
            </c:ext>
          </c:extLst>
        </c:ser>
        <c:ser>
          <c:idx val="34"/>
          <c:order val="34"/>
          <c:tx>
            <c:v>GSK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F739-4F7A-BD4C-274F12F0AA01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F739-4F7A-BD4C-274F12F0AA01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F739-4F7A-BD4C-274F12F0A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946127"/>
        <c:axId val="225553167"/>
      </c:scatterChart>
      <c:dateAx>
        <c:axId val="344946127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225553167"/>
        <c:crosses val="autoZero"/>
        <c:auto val="0"/>
        <c:lblOffset val="100"/>
        <c:baseTimeUnit val="days"/>
      </c:dateAx>
      <c:valAx>
        <c:axId val="225553167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34494612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GSK Price Chart">
          <a:extLst>
            <a:ext uri="{FF2B5EF4-FFF2-40B4-BE49-F238E27FC236}">
              <a16:creationId xmlns:a16="http://schemas.microsoft.com/office/drawing/2014/main" id="{F3609B59-D487-03E5-8881-B9B1B4EC1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2AEA415B-74C7-E935-0207-ABB5B181E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86B7F-F0F5-41CC-AFD5-6427BA2C6617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47.95</v>
      </c>
      <c r="C5" s="5">
        <v>48.143700000000003</v>
      </c>
      <c r="D5" s="5">
        <v>47.762500000000003</v>
      </c>
      <c r="E5" s="5">
        <v>47.774999999999999</v>
      </c>
      <c r="F5" s="6">
        <v>1896594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47.5</v>
      </c>
      <c r="C6" s="5">
        <v>47.75</v>
      </c>
      <c r="D6" s="5">
        <v>47.249899999999997</v>
      </c>
      <c r="E6" s="5">
        <v>47.662500000000001</v>
      </c>
      <c r="F6" s="6">
        <v>3568333</v>
      </c>
    </row>
    <row r="7" spans="1:10" ht="15" x14ac:dyDescent="0.25">
      <c r="A7" s="4">
        <v>44476</v>
      </c>
      <c r="B7" s="5">
        <v>47.862499999999997</v>
      </c>
      <c r="C7" s="5">
        <v>48.531300000000002</v>
      </c>
      <c r="D7" s="5">
        <v>47.8</v>
      </c>
      <c r="E7" s="5">
        <v>48.325000000000003</v>
      </c>
      <c r="F7" s="6">
        <v>2291448</v>
      </c>
      <c r="H7" s="8" t="s">
        <v>13</v>
      </c>
    </row>
    <row r="8" spans="1:10" x14ac:dyDescent="0.2">
      <c r="A8" s="4">
        <v>44477</v>
      </c>
      <c r="B8" s="5">
        <v>48.5</v>
      </c>
      <c r="C8" s="5">
        <v>48.743699999999997</v>
      </c>
      <c r="D8" s="5">
        <v>48.3</v>
      </c>
      <c r="E8" s="5">
        <v>48.387500000000003</v>
      </c>
      <c r="F8" s="6">
        <v>4284486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48.174999999999997</v>
      </c>
      <c r="C9" s="5">
        <v>48.287500000000001</v>
      </c>
      <c r="D9" s="5">
        <v>47.8</v>
      </c>
      <c r="E9" s="5">
        <v>47.8</v>
      </c>
      <c r="F9" s="6">
        <v>2827514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49</v>
      </c>
      <c r="C10" s="5">
        <v>49.075000000000003</v>
      </c>
      <c r="D10" s="5">
        <v>48.225000000000001</v>
      </c>
      <c r="E10" s="5">
        <v>48.3</v>
      </c>
      <c r="F10" s="6">
        <v>5998370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48.024999999999999</v>
      </c>
      <c r="C11" s="5">
        <v>48.8</v>
      </c>
      <c r="D11" s="5">
        <v>48.024999999999999</v>
      </c>
      <c r="E11" s="5">
        <v>48.5</v>
      </c>
      <c r="F11" s="6">
        <v>4126795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48.637500000000003</v>
      </c>
      <c r="C12" s="5">
        <v>48.668799999999997</v>
      </c>
      <c r="D12" s="5">
        <v>48.35</v>
      </c>
      <c r="E12" s="5">
        <v>48.4</v>
      </c>
      <c r="F12" s="6">
        <v>3583820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48.462499999999999</v>
      </c>
      <c r="C13" s="5">
        <v>48.787500000000001</v>
      </c>
      <c r="D13" s="5">
        <v>48.387500000000003</v>
      </c>
      <c r="E13" s="5">
        <v>48.762500000000003</v>
      </c>
      <c r="F13" s="6">
        <v>2613062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48.524999999999999</v>
      </c>
      <c r="C14" s="5">
        <v>48.563699999999997</v>
      </c>
      <c r="D14" s="5">
        <v>48.237499999999997</v>
      </c>
      <c r="E14" s="5">
        <v>48.3125</v>
      </c>
      <c r="F14" s="6">
        <v>2194203</v>
      </c>
      <c r="H14" s="10" t="s">
        <v>20</v>
      </c>
      <c r="I14" s="13">
        <f ca="1">IF($I$11="OK",INDEX(PxClose,I9),"")</f>
        <v>47.774999999999999</v>
      </c>
    </row>
    <row r="15" spans="1:10" x14ac:dyDescent="0.2">
      <c r="A15" s="4">
        <v>44488</v>
      </c>
      <c r="B15" s="5">
        <v>48.6</v>
      </c>
      <c r="C15" s="5">
        <v>49.1937</v>
      </c>
      <c r="D15" s="5">
        <v>48.5625</v>
      </c>
      <c r="E15" s="5">
        <v>48.962499999999999</v>
      </c>
      <c r="F15" s="6">
        <v>2705639</v>
      </c>
      <c r="H15" s="10" t="s">
        <v>21</v>
      </c>
      <c r="I15" s="13">
        <f ca="1">IF($I$11="OK",INDEX(PxClose,I10),"")</f>
        <v>47.03</v>
      </c>
    </row>
    <row r="16" spans="1:10" x14ac:dyDescent="0.2">
      <c r="A16" s="4">
        <v>44489</v>
      </c>
      <c r="B16" s="5">
        <v>49.0625</v>
      </c>
      <c r="C16" s="5">
        <v>49.4313</v>
      </c>
      <c r="D16" s="5">
        <v>48.95</v>
      </c>
      <c r="E16" s="5">
        <v>49.325000000000003</v>
      </c>
      <c r="F16" s="6">
        <v>2761635</v>
      </c>
      <c r="H16" s="14" t="s">
        <v>22</v>
      </c>
      <c r="I16" s="15">
        <f ca="1">IF($I$11="OK",I15/I14-1,"")</f>
        <v>-1.5593929879644142E-2</v>
      </c>
    </row>
    <row r="17" spans="1:8" x14ac:dyDescent="0.2">
      <c r="A17" s="4">
        <v>44490</v>
      </c>
      <c r="B17" s="5">
        <v>49.212499999999999</v>
      </c>
      <c r="C17" s="5">
        <v>49.45</v>
      </c>
      <c r="D17" s="5">
        <v>49.1</v>
      </c>
      <c r="E17" s="5">
        <v>49.4375</v>
      </c>
      <c r="F17" s="6">
        <v>4165224</v>
      </c>
    </row>
    <row r="18" spans="1:8" ht="15.75" x14ac:dyDescent="0.25">
      <c r="A18" s="4">
        <v>44491</v>
      </c>
      <c r="B18" s="5">
        <v>49.537500000000001</v>
      </c>
      <c r="C18" s="5">
        <v>49.762500000000003</v>
      </c>
      <c r="D18" s="5">
        <v>49.487499999999997</v>
      </c>
      <c r="E18" s="5">
        <v>49.712499999999999</v>
      </c>
      <c r="F18" s="6">
        <v>3872944</v>
      </c>
      <c r="H18" s="1" t="str">
        <f ca="1">IF($I$11&lt;&gt;"OK",$I$11,"GSK "&amp;IF(I16&gt;=0,"rose ","fell ")&amp;TEXT(ABS(I16),"0.0%")&amp;" from "&amp;TEXT(I14,"$#,##0.00")&amp;" on "&amp;TEXT(I12,"mmm d, yyyy")&amp;" to "&amp;TEXT(I15,"$#,##0.00")&amp;" on "&amp;TEXT(I13,"mmm d, yyyy")&amp;".")</f>
        <v>GSK fell 1.6% from $47.78 on Oct 5, 2021 to $47.03 on Oct 2, 2026.</v>
      </c>
    </row>
    <row r="19" spans="1:8" x14ac:dyDescent="0.2">
      <c r="A19" s="4">
        <v>44494</v>
      </c>
      <c r="B19" s="5">
        <v>49.762500000000003</v>
      </c>
      <c r="C19" s="5">
        <v>49.831299999999999</v>
      </c>
      <c r="D19" s="5">
        <v>49.568800000000003</v>
      </c>
      <c r="E19" s="5">
        <v>49.762500000000003</v>
      </c>
      <c r="F19" s="6">
        <v>3464276</v>
      </c>
    </row>
    <row r="20" spans="1:8" x14ac:dyDescent="0.2">
      <c r="A20" s="4">
        <v>44495</v>
      </c>
      <c r="B20" s="5">
        <v>49.9</v>
      </c>
      <c r="C20" s="5">
        <v>50.262500000000003</v>
      </c>
      <c r="D20" s="5">
        <v>49.825000000000003</v>
      </c>
      <c r="E20" s="5">
        <v>50.225000000000001</v>
      </c>
      <c r="F20" s="6">
        <v>3968627</v>
      </c>
    </row>
    <row r="21" spans="1:8" x14ac:dyDescent="0.2">
      <c r="A21" s="4">
        <v>44496</v>
      </c>
      <c r="B21" s="5">
        <v>50.375</v>
      </c>
      <c r="C21" s="5">
        <v>50.712499999999999</v>
      </c>
      <c r="D21" s="5">
        <v>49.95</v>
      </c>
      <c r="E21" s="5">
        <v>50.524999999999999</v>
      </c>
      <c r="F21" s="6">
        <v>6095354</v>
      </c>
    </row>
    <row r="22" spans="1:8" x14ac:dyDescent="0.2">
      <c r="A22" s="4">
        <v>44497</v>
      </c>
      <c r="B22" s="5">
        <v>51.65</v>
      </c>
      <c r="C22" s="5">
        <v>52.737499999999997</v>
      </c>
      <c r="D22" s="5">
        <v>51.612499999999997</v>
      </c>
      <c r="E22" s="5">
        <v>52.65</v>
      </c>
      <c r="F22" s="6">
        <v>7242486</v>
      </c>
    </row>
    <row r="23" spans="1:8" x14ac:dyDescent="0.2">
      <c r="A23" s="4">
        <v>44498</v>
      </c>
      <c r="B23" s="5">
        <v>52.475000000000001</v>
      </c>
      <c r="C23" s="5">
        <v>52.924999999999997</v>
      </c>
      <c r="D23" s="5">
        <v>52.3</v>
      </c>
      <c r="E23" s="5">
        <v>52.912500000000001</v>
      </c>
      <c r="F23" s="6">
        <v>4175650</v>
      </c>
    </row>
    <row r="24" spans="1:8" x14ac:dyDescent="0.2">
      <c r="A24" s="4">
        <v>44501</v>
      </c>
      <c r="B24" s="5">
        <v>52.962499999999999</v>
      </c>
      <c r="C24" s="5">
        <v>53.631300000000003</v>
      </c>
      <c r="D24" s="5">
        <v>52.906300000000002</v>
      </c>
      <c r="E24" s="5">
        <v>53.237499999999997</v>
      </c>
      <c r="F24" s="6">
        <v>5407572</v>
      </c>
    </row>
    <row r="25" spans="1:8" x14ac:dyDescent="0.2">
      <c r="A25" s="4">
        <v>44502</v>
      </c>
      <c r="B25" s="5">
        <v>53.6</v>
      </c>
      <c r="C25" s="5">
        <v>54</v>
      </c>
      <c r="D25" s="5">
        <v>53.287500000000001</v>
      </c>
      <c r="E25" s="5">
        <v>53.5</v>
      </c>
      <c r="F25" s="6">
        <v>5133848</v>
      </c>
    </row>
    <row r="26" spans="1:8" x14ac:dyDescent="0.2">
      <c r="A26" s="4">
        <v>44503</v>
      </c>
      <c r="B26" s="5">
        <v>53.9375</v>
      </c>
      <c r="C26" s="5">
        <v>54.512500000000003</v>
      </c>
      <c r="D26" s="5">
        <v>53.8125</v>
      </c>
      <c r="E26" s="5">
        <v>54.412500000000001</v>
      </c>
      <c r="F26" s="6">
        <v>4301741</v>
      </c>
    </row>
    <row r="27" spans="1:8" x14ac:dyDescent="0.2">
      <c r="A27" s="4">
        <v>44504</v>
      </c>
      <c r="B27" s="5">
        <v>53.712499999999999</v>
      </c>
      <c r="C27" s="5">
        <v>53.85</v>
      </c>
      <c r="D27" s="5">
        <v>53.475000000000001</v>
      </c>
      <c r="E27" s="5">
        <v>53.75</v>
      </c>
      <c r="F27" s="6">
        <v>3398234</v>
      </c>
    </row>
    <row r="28" spans="1:8" x14ac:dyDescent="0.2">
      <c r="A28" s="4">
        <v>44505</v>
      </c>
      <c r="B28" s="5">
        <v>53.75</v>
      </c>
      <c r="C28" s="5">
        <v>54.375</v>
      </c>
      <c r="D28" s="5">
        <v>53.512599999999999</v>
      </c>
      <c r="E28" s="5">
        <v>54.362499999999997</v>
      </c>
      <c r="F28" s="6">
        <v>4234947</v>
      </c>
    </row>
    <row r="29" spans="1:8" x14ac:dyDescent="0.2">
      <c r="A29" s="4">
        <v>44508</v>
      </c>
      <c r="B29" s="5">
        <v>53.774999999999999</v>
      </c>
      <c r="C29" s="5">
        <v>53.911200000000001</v>
      </c>
      <c r="D29" s="5">
        <v>53.45</v>
      </c>
      <c r="E29" s="5">
        <v>53.462499999999999</v>
      </c>
      <c r="F29" s="6">
        <v>3138448</v>
      </c>
    </row>
    <row r="30" spans="1:8" x14ac:dyDescent="0.2">
      <c r="A30" s="4">
        <v>44509</v>
      </c>
      <c r="B30" s="5">
        <v>53.587499999999999</v>
      </c>
      <c r="C30" s="5">
        <v>53.674999999999997</v>
      </c>
      <c r="D30" s="5">
        <v>53.387500000000003</v>
      </c>
      <c r="E30" s="5">
        <v>53.412500000000001</v>
      </c>
      <c r="F30" s="6">
        <v>2279059</v>
      </c>
    </row>
    <row r="31" spans="1:8" x14ac:dyDescent="0.2">
      <c r="A31" s="4">
        <v>44510</v>
      </c>
      <c r="B31" s="5">
        <v>54.225000000000001</v>
      </c>
      <c r="C31" s="5">
        <v>54.35</v>
      </c>
      <c r="D31" s="5">
        <v>53.975000000000001</v>
      </c>
      <c r="E31" s="5">
        <v>53.975000000000001</v>
      </c>
      <c r="F31" s="6">
        <v>3020995</v>
      </c>
    </row>
    <row r="32" spans="1:8" x14ac:dyDescent="0.2">
      <c r="A32" s="4">
        <v>44511</v>
      </c>
      <c r="B32" s="5">
        <v>53.825000000000003</v>
      </c>
      <c r="C32" s="5">
        <v>54.093800000000002</v>
      </c>
      <c r="D32" s="5">
        <v>53.756300000000003</v>
      </c>
      <c r="E32" s="5">
        <v>54.037500000000001</v>
      </c>
      <c r="F32" s="6">
        <v>1855309</v>
      </c>
    </row>
    <row r="33" spans="1:23" x14ac:dyDescent="0.2">
      <c r="A33" s="4">
        <v>44512</v>
      </c>
      <c r="B33" s="5">
        <v>54.35</v>
      </c>
      <c r="C33" s="5">
        <v>54.424999999999997</v>
      </c>
      <c r="D33" s="5">
        <v>54.037500000000001</v>
      </c>
      <c r="E33" s="5">
        <v>54.2</v>
      </c>
      <c r="F33" s="6">
        <v>2824788</v>
      </c>
    </row>
    <row r="34" spans="1:23" x14ac:dyDescent="0.2">
      <c r="A34" s="4">
        <v>44515</v>
      </c>
      <c r="B34" s="5">
        <v>53.9375</v>
      </c>
      <c r="C34" s="5">
        <v>54.225000000000001</v>
      </c>
      <c r="D34" s="5">
        <v>53.725000000000001</v>
      </c>
      <c r="E34" s="5">
        <v>53.962499999999999</v>
      </c>
      <c r="F34" s="6">
        <v>3319614</v>
      </c>
    </row>
    <row r="35" spans="1:23" x14ac:dyDescent="0.2">
      <c r="A35" s="4">
        <v>44516</v>
      </c>
      <c r="B35" s="5">
        <v>52.987499999999997</v>
      </c>
      <c r="C35" s="5">
        <v>53.369300000000003</v>
      </c>
      <c r="D35" s="5">
        <v>52.8125</v>
      </c>
      <c r="E35" s="5">
        <v>53.0625</v>
      </c>
      <c r="F35" s="6">
        <v>5477680</v>
      </c>
    </row>
    <row r="36" spans="1:23" x14ac:dyDescent="0.2">
      <c r="A36" s="4">
        <v>44517</v>
      </c>
      <c r="B36" s="5">
        <v>52.825000000000003</v>
      </c>
      <c r="C36" s="5">
        <v>53.387500000000003</v>
      </c>
      <c r="D36" s="5">
        <v>52.762500000000003</v>
      </c>
      <c r="E36" s="5">
        <v>53.1875</v>
      </c>
      <c r="F36" s="6">
        <v>3877057</v>
      </c>
    </row>
    <row r="37" spans="1:23" x14ac:dyDescent="0.2">
      <c r="A37" s="4">
        <v>44518</v>
      </c>
      <c r="B37" s="5">
        <v>51.9375</v>
      </c>
      <c r="C37" s="5">
        <v>52.0625</v>
      </c>
      <c r="D37" s="5">
        <v>51.537500000000001</v>
      </c>
      <c r="E37" s="5">
        <v>51.875</v>
      </c>
      <c r="F37" s="6">
        <v>3901601</v>
      </c>
    </row>
    <row r="38" spans="1:23" x14ac:dyDescent="0.2">
      <c r="A38" s="4">
        <v>44519</v>
      </c>
      <c r="B38" s="5">
        <v>52.262500000000003</v>
      </c>
      <c r="C38" s="5">
        <v>52.325000000000003</v>
      </c>
      <c r="D38" s="5">
        <v>51.8125</v>
      </c>
      <c r="E38" s="5">
        <v>51.987499999999997</v>
      </c>
      <c r="F38" s="6">
        <v>3484119</v>
      </c>
    </row>
    <row r="39" spans="1:23" x14ac:dyDescent="0.2">
      <c r="A39" s="4">
        <v>44522</v>
      </c>
      <c r="B39" s="5">
        <v>51.787500000000001</v>
      </c>
      <c r="C39" s="5">
        <v>52.043700000000001</v>
      </c>
      <c r="D39" s="5">
        <v>51.6</v>
      </c>
      <c r="E39" s="5">
        <v>51.612499999999997</v>
      </c>
      <c r="F39" s="6">
        <v>2452062</v>
      </c>
    </row>
    <row r="40" spans="1:23" x14ac:dyDescent="0.2">
      <c r="A40" s="4">
        <v>44523</v>
      </c>
      <c r="B40" s="5">
        <v>51.612499999999997</v>
      </c>
      <c r="C40" s="5">
        <v>52.118699999999997</v>
      </c>
      <c r="D40" s="5">
        <v>51.5625</v>
      </c>
      <c r="E40" s="5">
        <v>52</v>
      </c>
      <c r="F40" s="6">
        <v>2640678</v>
      </c>
    </row>
    <row r="41" spans="1:23" x14ac:dyDescent="0.2">
      <c r="A41" s="4">
        <v>44524</v>
      </c>
      <c r="B41" s="5">
        <v>52.087499999999999</v>
      </c>
      <c r="C41" s="5">
        <v>52.125</v>
      </c>
      <c r="D41" s="5">
        <v>51.768700000000003</v>
      </c>
      <c r="E41" s="5">
        <v>52</v>
      </c>
      <c r="F41" s="6">
        <v>2259847</v>
      </c>
    </row>
    <row r="42" spans="1:23" x14ac:dyDescent="0.2">
      <c r="A42" s="4">
        <v>44526</v>
      </c>
      <c r="B42" s="5">
        <v>51.537500000000001</v>
      </c>
      <c r="C42" s="5">
        <v>51.65</v>
      </c>
      <c r="D42" s="5">
        <v>51.012500000000003</v>
      </c>
      <c r="E42" s="5">
        <v>51.274999999999999</v>
      </c>
      <c r="F42" s="6">
        <v>2250232</v>
      </c>
    </row>
    <row r="43" spans="1:23" x14ac:dyDescent="0.2">
      <c r="A43" s="4">
        <v>44529</v>
      </c>
      <c r="B43" s="5">
        <v>51.5625</v>
      </c>
      <c r="C43" s="5">
        <v>51.85</v>
      </c>
      <c r="D43" s="5">
        <v>51.393799999999999</v>
      </c>
      <c r="E43" s="5">
        <v>51.7</v>
      </c>
      <c r="F43" s="6">
        <v>3453904</v>
      </c>
    </row>
    <row r="44" spans="1:23" x14ac:dyDescent="0.2">
      <c r="A44" s="4">
        <v>44530</v>
      </c>
      <c r="B44" s="5">
        <v>51.85</v>
      </c>
      <c r="C44" s="5">
        <v>52.087499999999999</v>
      </c>
      <c r="D44" s="5">
        <v>51.162500000000001</v>
      </c>
      <c r="E44" s="5">
        <v>51.4</v>
      </c>
      <c r="F44" s="6">
        <v>3175825</v>
      </c>
    </row>
    <row r="45" spans="1:23" x14ac:dyDescent="0.2">
      <c r="A45" s="4">
        <v>44531</v>
      </c>
      <c r="B45" s="5">
        <v>51.75</v>
      </c>
      <c r="C45" s="5">
        <v>52.181199999999997</v>
      </c>
      <c r="D45" s="5">
        <v>51.6</v>
      </c>
      <c r="E45" s="5">
        <v>51.712499999999999</v>
      </c>
      <c r="F45" s="6">
        <v>3130088</v>
      </c>
    </row>
    <row r="46" spans="1:23" ht="15.75" x14ac:dyDescent="0.25">
      <c r="A46" s="4">
        <v>44532</v>
      </c>
      <c r="B46" s="5">
        <v>52.024999999999999</v>
      </c>
      <c r="C46" s="5">
        <v>52.287500000000001</v>
      </c>
      <c r="D46" s="5">
        <v>51.7</v>
      </c>
      <c r="E46" s="5">
        <v>51.837499999999999</v>
      </c>
      <c r="F46" s="6">
        <v>3668907</v>
      </c>
      <c r="U46" s="1" t="s">
        <v>49</v>
      </c>
    </row>
    <row r="47" spans="1:23" x14ac:dyDescent="0.2">
      <c r="A47" s="4">
        <v>44533</v>
      </c>
      <c r="B47" s="5">
        <v>51.774999999999999</v>
      </c>
      <c r="C47" s="5">
        <v>51.887500000000003</v>
      </c>
      <c r="D47" s="5">
        <v>51.274999999999999</v>
      </c>
      <c r="E47" s="5">
        <v>51.5625</v>
      </c>
      <c r="F47" s="6">
        <v>3269007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52.362499999999997</v>
      </c>
      <c r="C48" s="5">
        <v>52.65</v>
      </c>
      <c r="D48" s="5">
        <v>52.1875</v>
      </c>
      <c r="E48" s="5">
        <v>52.2</v>
      </c>
      <c r="F48" s="6">
        <v>2476378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52.424999999999997</v>
      </c>
      <c r="C49" s="5">
        <v>53.024999999999999</v>
      </c>
      <c r="D49" s="5">
        <v>52.262500000000003</v>
      </c>
      <c r="E49" s="5">
        <v>52.975000000000001</v>
      </c>
      <c r="F49" s="6">
        <v>4405559</v>
      </c>
      <c r="U49" s="23" t="s">
        <v>52</v>
      </c>
      <c r="V49" s="24">
        <f ca="1">IF($I$11="OK",INDEX('Peer Data'!$O$5:$O$1258,$I$10),"")</f>
        <v>-1.5593929879644142E-2</v>
      </c>
      <c r="W49" s="25">
        <f ca="1">IF($I$11="OK",RANK(V49,$V$49:$V$60),"")</f>
        <v>9</v>
      </c>
    </row>
    <row r="50" spans="1:23" x14ac:dyDescent="0.2">
      <c r="A50" s="4">
        <v>44538</v>
      </c>
      <c r="B50" s="5">
        <v>53.262500000000003</v>
      </c>
      <c r="C50" s="5">
        <v>53.487499999999997</v>
      </c>
      <c r="D50" s="5">
        <v>52.975000000000001</v>
      </c>
      <c r="E50" s="5">
        <v>53.35</v>
      </c>
      <c r="F50" s="6">
        <v>2850453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53.625</v>
      </c>
      <c r="C51" s="5">
        <v>53.668799999999997</v>
      </c>
      <c r="D51" s="5">
        <v>53.262500000000003</v>
      </c>
      <c r="E51" s="5">
        <v>53.5</v>
      </c>
      <c r="F51" s="6">
        <v>2334356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53.5</v>
      </c>
      <c r="C52" s="5">
        <v>54.087499999999999</v>
      </c>
      <c r="D52" s="5">
        <v>53.462499999999999</v>
      </c>
      <c r="E52" s="5">
        <v>53.962499999999999</v>
      </c>
      <c r="F52" s="6">
        <v>3070053</v>
      </c>
      <c r="U52" s="26" t="s">
        <v>55</v>
      </c>
      <c r="V52" s="27">
        <f ca="1">IF($I$11="OK",INDEX('Peer Data'!$R$5:$R$1258,$I$10),"")</f>
        <v>0.11884368308351179</v>
      </c>
      <c r="W52" s="28">
        <f ca="1">IF($I$11="OK",RANK(V52,$V$49:$V$60),"")</f>
        <v>7</v>
      </c>
    </row>
    <row r="53" spans="1:23" x14ac:dyDescent="0.2">
      <c r="A53" s="4">
        <v>44543</v>
      </c>
      <c r="B53" s="5">
        <v>53.837499999999999</v>
      </c>
      <c r="C53" s="5">
        <v>54.0625</v>
      </c>
      <c r="D53" s="5">
        <v>53.6937</v>
      </c>
      <c r="E53" s="5">
        <v>53.887500000000003</v>
      </c>
      <c r="F53" s="6">
        <v>2142167</v>
      </c>
      <c r="U53" s="26" t="s">
        <v>56</v>
      </c>
      <c r="V53" s="27">
        <f ca="1">IF($I$11="OK",INDEX('Peer Data'!$S$5:$S$1258,$I$10),"")</f>
        <v>-0.17384105960264895</v>
      </c>
      <c r="W53" s="28">
        <f ca="1">IF($I$11="OK",RANK(V53,$V$49:$V$60),"")</f>
        <v>11</v>
      </c>
    </row>
    <row r="54" spans="1:23" x14ac:dyDescent="0.2">
      <c r="A54" s="4">
        <v>44544</v>
      </c>
      <c r="B54" s="5">
        <v>53.5</v>
      </c>
      <c r="C54" s="5">
        <v>53.822499999999998</v>
      </c>
      <c r="D54" s="5">
        <v>53.362499999999997</v>
      </c>
      <c r="E54" s="5">
        <v>53.625</v>
      </c>
      <c r="F54" s="6">
        <v>2239083</v>
      </c>
      <c r="U54" s="26" t="s">
        <v>57</v>
      </c>
      <c r="V54" s="27">
        <f ca="1">IF($I$11="OK",INDEX('Peer Data'!$T$5:$T$1258,$I$10),"")</f>
        <v>-2.6535253980288109E-2</v>
      </c>
      <c r="W54" s="28">
        <f ca="1">IF($I$11="OK",RANK(V54,$V$49:$V$60),"")</f>
        <v>10</v>
      </c>
    </row>
    <row r="55" spans="1:23" x14ac:dyDescent="0.2">
      <c r="A55" s="4">
        <v>44545</v>
      </c>
      <c r="B55" s="5">
        <v>53.6</v>
      </c>
      <c r="C55" s="5">
        <v>54.637500000000003</v>
      </c>
      <c r="D55" s="5">
        <v>53.499600000000001</v>
      </c>
      <c r="E55" s="5">
        <v>54.575000000000003</v>
      </c>
      <c r="F55" s="6">
        <v>3766781</v>
      </c>
      <c r="U55" s="26" t="s">
        <v>58</v>
      </c>
      <c r="V55" s="27">
        <f ca="1">IF($I$11="OK",INDEX('Peer Data'!$U$5:$U$1258,$I$10),"")</f>
        <v>0.76838235294117663</v>
      </c>
      <c r="W55" s="28">
        <f ca="1">IF($I$11="OK",RANK(V55,$V$49:$V$60),"")</f>
        <v>4</v>
      </c>
    </row>
    <row r="56" spans="1:23" x14ac:dyDescent="0.2">
      <c r="A56" s="4">
        <v>44546</v>
      </c>
      <c r="B56" s="5">
        <v>54.0625</v>
      </c>
      <c r="C56" s="5">
        <v>54.862499999999997</v>
      </c>
      <c r="D56" s="5">
        <v>54.018799999999999</v>
      </c>
      <c r="E56" s="5">
        <v>54.774999999999999</v>
      </c>
      <c r="F56" s="6">
        <v>4724715</v>
      </c>
      <c r="U56" s="26" t="s">
        <v>59</v>
      </c>
      <c r="V56" s="27">
        <f ca="1">IF($I$11="OK",INDEX('Peer Data'!$V$5:$V$1258,$I$10),"")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44547</v>
      </c>
      <c r="B57" s="5">
        <v>54.5</v>
      </c>
      <c r="C57" s="5">
        <v>54.787500000000001</v>
      </c>
      <c r="D57" s="5">
        <v>53.875</v>
      </c>
      <c r="E57" s="5">
        <v>53.875</v>
      </c>
      <c r="F57" s="6">
        <v>4218913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53.487499999999997</v>
      </c>
      <c r="C58" s="5">
        <v>53.85</v>
      </c>
      <c r="D58" s="5">
        <v>53.3063</v>
      </c>
      <c r="E58" s="5">
        <v>53.825000000000003</v>
      </c>
      <c r="F58" s="6">
        <v>3645766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53.837499999999999</v>
      </c>
      <c r="C59" s="5">
        <v>54.3125</v>
      </c>
      <c r="D59" s="5">
        <v>53.631300000000003</v>
      </c>
      <c r="E59" s="5">
        <v>54.2</v>
      </c>
      <c r="F59" s="6">
        <v>3520466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54.237499999999997</v>
      </c>
      <c r="C60" s="5">
        <v>54.774999999999999</v>
      </c>
      <c r="D60" s="5">
        <v>54.125</v>
      </c>
      <c r="E60" s="5">
        <v>54.712499999999999</v>
      </c>
      <c r="F60" s="6">
        <v>2508502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54.725000000000001</v>
      </c>
      <c r="C61" s="5">
        <v>55.112499999999997</v>
      </c>
      <c r="D61" s="5">
        <v>54.6875</v>
      </c>
      <c r="E61" s="5">
        <v>54.7</v>
      </c>
      <c r="F61" s="6">
        <v>2412351</v>
      </c>
    </row>
    <row r="62" spans="1:23" x14ac:dyDescent="0.2">
      <c r="A62" s="4">
        <v>44557</v>
      </c>
      <c r="B62" s="5">
        <v>54.912500000000001</v>
      </c>
      <c r="C62" s="5">
        <v>55.15</v>
      </c>
      <c r="D62" s="5">
        <v>54.7286</v>
      </c>
      <c r="E62" s="5">
        <v>55.112499999999997</v>
      </c>
      <c r="F62" s="6">
        <v>1637469</v>
      </c>
    </row>
    <row r="63" spans="1:23" x14ac:dyDescent="0.2">
      <c r="A63" s="4">
        <v>44558</v>
      </c>
      <c r="B63" s="5">
        <v>54.987499999999997</v>
      </c>
      <c r="C63" s="5">
        <v>55.1875</v>
      </c>
      <c r="D63" s="5">
        <v>54.85</v>
      </c>
      <c r="E63" s="5">
        <v>55.137500000000003</v>
      </c>
      <c r="F63" s="6">
        <v>1766348</v>
      </c>
    </row>
    <row r="64" spans="1:23" x14ac:dyDescent="0.2">
      <c r="A64" s="4">
        <v>44559</v>
      </c>
      <c r="B64" s="5">
        <v>55.2</v>
      </c>
      <c r="C64" s="5">
        <v>55.581299999999999</v>
      </c>
      <c r="D64" s="5">
        <v>55.125</v>
      </c>
      <c r="E64" s="5">
        <v>55.55</v>
      </c>
      <c r="F64" s="6">
        <v>2189348</v>
      </c>
    </row>
    <row r="65" spans="1:6" x14ac:dyDescent="0.2">
      <c r="A65" s="4">
        <v>44560</v>
      </c>
      <c r="B65" s="5">
        <v>55.537500000000001</v>
      </c>
      <c r="C65" s="5">
        <v>55.693800000000003</v>
      </c>
      <c r="D65" s="5">
        <v>55.15</v>
      </c>
      <c r="E65" s="5">
        <v>55.15</v>
      </c>
      <c r="F65" s="6">
        <v>1778427</v>
      </c>
    </row>
    <row r="66" spans="1:6" x14ac:dyDescent="0.2">
      <c r="A66" s="4">
        <v>44561</v>
      </c>
      <c r="B66" s="5">
        <v>55.1</v>
      </c>
      <c r="C66" s="5">
        <v>55.320700000000002</v>
      </c>
      <c r="D66" s="5">
        <v>54.988700000000001</v>
      </c>
      <c r="E66" s="5">
        <v>55.125</v>
      </c>
      <c r="F66" s="6">
        <v>1806135</v>
      </c>
    </row>
    <row r="67" spans="1:6" x14ac:dyDescent="0.2">
      <c r="A67" s="4">
        <v>44564</v>
      </c>
      <c r="B67" s="5">
        <v>55.137500000000003</v>
      </c>
      <c r="C67" s="5">
        <v>55.225000000000001</v>
      </c>
      <c r="D67" s="5">
        <v>54.337499999999999</v>
      </c>
      <c r="E67" s="5">
        <v>54.587499999999999</v>
      </c>
      <c r="F67" s="6">
        <v>1889322</v>
      </c>
    </row>
    <row r="68" spans="1:6" x14ac:dyDescent="0.2">
      <c r="A68" s="4">
        <v>44565</v>
      </c>
      <c r="B68" s="5">
        <v>54.462499999999999</v>
      </c>
      <c r="C68" s="5">
        <v>54.8</v>
      </c>
      <c r="D68" s="5">
        <v>54.262500000000003</v>
      </c>
      <c r="E68" s="5">
        <v>54.424999999999997</v>
      </c>
      <c r="F68" s="6">
        <v>2531342</v>
      </c>
    </row>
    <row r="69" spans="1:6" x14ac:dyDescent="0.2">
      <c r="A69" s="4">
        <v>44566</v>
      </c>
      <c r="B69" s="5">
        <v>54.9375</v>
      </c>
      <c r="C69" s="5">
        <v>55.274999999999999</v>
      </c>
      <c r="D69" s="5">
        <v>54.487499999999997</v>
      </c>
      <c r="E69" s="5">
        <v>54.5</v>
      </c>
      <c r="F69" s="6">
        <v>2953005</v>
      </c>
    </row>
    <row r="70" spans="1:6" x14ac:dyDescent="0.2">
      <c r="A70" s="4">
        <v>44567</v>
      </c>
      <c r="B70" s="5">
        <v>54.424999999999997</v>
      </c>
      <c r="C70" s="5">
        <v>54.55</v>
      </c>
      <c r="D70" s="5">
        <v>54.093800000000002</v>
      </c>
      <c r="E70" s="5">
        <v>54.212499999999999</v>
      </c>
      <c r="F70" s="6">
        <v>2079195</v>
      </c>
    </row>
    <row r="71" spans="1:6" x14ac:dyDescent="0.2">
      <c r="A71" s="4">
        <v>44568</v>
      </c>
      <c r="B71" s="5">
        <v>54.5</v>
      </c>
      <c r="C71" s="5">
        <v>55.012500000000003</v>
      </c>
      <c r="D71" s="5">
        <v>54.4375</v>
      </c>
      <c r="E71" s="5">
        <v>54.8125</v>
      </c>
      <c r="F71" s="6">
        <v>2264670</v>
      </c>
    </row>
    <row r="72" spans="1:6" x14ac:dyDescent="0.2">
      <c r="A72" s="4">
        <v>44571</v>
      </c>
      <c r="B72" s="5">
        <v>54.837499999999999</v>
      </c>
      <c r="C72" s="5">
        <v>56.05</v>
      </c>
      <c r="D72" s="5">
        <v>54.8125</v>
      </c>
      <c r="E72" s="5">
        <v>56.05</v>
      </c>
      <c r="F72" s="6">
        <v>3258224</v>
      </c>
    </row>
    <row r="73" spans="1:6" x14ac:dyDescent="0.2">
      <c r="A73" s="4">
        <v>44572</v>
      </c>
      <c r="B73" s="5">
        <v>55.837499999999999</v>
      </c>
      <c r="C73" s="5">
        <v>56.35</v>
      </c>
      <c r="D73" s="5">
        <v>55.656300000000002</v>
      </c>
      <c r="E73" s="5">
        <v>56.3</v>
      </c>
      <c r="F73" s="6">
        <v>3300834</v>
      </c>
    </row>
    <row r="74" spans="1:6" x14ac:dyDescent="0.2">
      <c r="A74" s="4">
        <v>44573</v>
      </c>
      <c r="B74" s="5">
        <v>56.612499999999997</v>
      </c>
      <c r="C74" s="5">
        <v>56.65</v>
      </c>
      <c r="D74" s="5">
        <v>56.368699999999997</v>
      </c>
      <c r="E74" s="5">
        <v>56.55</v>
      </c>
      <c r="F74" s="6">
        <v>2884223</v>
      </c>
    </row>
    <row r="75" spans="1:6" x14ac:dyDescent="0.2">
      <c r="A75" s="4">
        <v>44574</v>
      </c>
      <c r="B75" s="5">
        <v>56.787500000000001</v>
      </c>
      <c r="C75" s="5">
        <v>56.8</v>
      </c>
      <c r="D75" s="5">
        <v>56.262500000000003</v>
      </c>
      <c r="E75" s="5">
        <v>56.325000000000003</v>
      </c>
      <c r="F75" s="6">
        <v>2684234</v>
      </c>
    </row>
    <row r="76" spans="1:6" x14ac:dyDescent="0.2">
      <c r="A76" s="4">
        <v>44575</v>
      </c>
      <c r="B76" s="5">
        <v>56.637500000000003</v>
      </c>
      <c r="C76" s="5">
        <v>57.086100000000002</v>
      </c>
      <c r="D76" s="5">
        <v>56.516199999999998</v>
      </c>
      <c r="E76" s="5">
        <v>56.837499999999999</v>
      </c>
      <c r="F76" s="6">
        <v>2716777</v>
      </c>
    </row>
    <row r="77" spans="1:6" x14ac:dyDescent="0.2">
      <c r="A77" s="4">
        <v>44579</v>
      </c>
      <c r="B77" s="5">
        <v>57.962499999999999</v>
      </c>
      <c r="C77" s="5">
        <v>58.5687</v>
      </c>
      <c r="D77" s="5">
        <v>57.875</v>
      </c>
      <c r="E77" s="5">
        <v>58.524999999999999</v>
      </c>
      <c r="F77" s="6">
        <v>7232675</v>
      </c>
    </row>
    <row r="78" spans="1:6" x14ac:dyDescent="0.2">
      <c r="A78" s="4">
        <v>44580</v>
      </c>
      <c r="B78" s="5">
        <v>57.45</v>
      </c>
      <c r="C78" s="5">
        <v>57.918799999999997</v>
      </c>
      <c r="D78" s="5">
        <v>56.9</v>
      </c>
      <c r="E78" s="5">
        <v>57.112499999999997</v>
      </c>
      <c r="F78" s="6">
        <v>6695841</v>
      </c>
    </row>
    <row r="79" spans="1:6" x14ac:dyDescent="0.2">
      <c r="A79" s="4">
        <v>44581</v>
      </c>
      <c r="B79" s="5">
        <v>56.462499999999999</v>
      </c>
      <c r="C79" s="5">
        <v>56.606200000000001</v>
      </c>
      <c r="D79" s="5">
        <v>55.987499999999997</v>
      </c>
      <c r="E79" s="5">
        <v>56.1</v>
      </c>
      <c r="F79" s="6">
        <v>4510690</v>
      </c>
    </row>
    <row r="80" spans="1:6" x14ac:dyDescent="0.2">
      <c r="A80" s="4">
        <v>44582</v>
      </c>
      <c r="B80" s="5">
        <v>56.35</v>
      </c>
      <c r="C80" s="5">
        <v>56.831299999999999</v>
      </c>
      <c r="D80" s="5">
        <v>56.05</v>
      </c>
      <c r="E80" s="5">
        <v>56.375</v>
      </c>
      <c r="F80" s="6">
        <v>4373970</v>
      </c>
    </row>
    <row r="81" spans="1:6" x14ac:dyDescent="0.2">
      <c r="A81" s="4">
        <v>44585</v>
      </c>
      <c r="B81" s="5">
        <v>55.725000000000001</v>
      </c>
      <c r="C81" s="5">
        <v>55.8</v>
      </c>
      <c r="D81" s="5">
        <v>54.462499999999999</v>
      </c>
      <c r="E81" s="5">
        <v>55.475000000000001</v>
      </c>
      <c r="F81" s="6">
        <v>7202538</v>
      </c>
    </row>
    <row r="82" spans="1:6" x14ac:dyDescent="0.2">
      <c r="A82" s="4">
        <v>44586</v>
      </c>
      <c r="B82" s="5">
        <v>55.012500000000003</v>
      </c>
      <c r="C82" s="5">
        <v>55.65</v>
      </c>
      <c r="D82" s="5">
        <v>54.65</v>
      </c>
      <c r="E82" s="5">
        <v>55.462499999999999</v>
      </c>
      <c r="F82" s="6">
        <v>3630298</v>
      </c>
    </row>
    <row r="83" spans="1:6" x14ac:dyDescent="0.2">
      <c r="A83" s="4">
        <v>44587</v>
      </c>
      <c r="B83" s="5">
        <v>55.612499999999997</v>
      </c>
      <c r="C83" s="5">
        <v>55.85</v>
      </c>
      <c r="D83" s="5">
        <v>54.993699999999997</v>
      </c>
      <c r="E83" s="5">
        <v>55.1875</v>
      </c>
      <c r="F83" s="6">
        <v>3232045</v>
      </c>
    </row>
    <row r="84" spans="1:6" x14ac:dyDescent="0.2">
      <c r="A84" s="4">
        <v>44588</v>
      </c>
      <c r="B84" s="5">
        <v>55.774999999999999</v>
      </c>
      <c r="C84" s="5">
        <v>57.3</v>
      </c>
      <c r="D84" s="5">
        <v>55.737499999999997</v>
      </c>
      <c r="E84" s="5">
        <v>57.174999999999997</v>
      </c>
      <c r="F84" s="6">
        <v>6333110</v>
      </c>
    </row>
    <row r="85" spans="1:6" x14ac:dyDescent="0.2">
      <c r="A85" s="4">
        <v>44589</v>
      </c>
      <c r="B85" s="5">
        <v>56.55</v>
      </c>
      <c r="C85" s="5">
        <v>56.637500000000003</v>
      </c>
      <c r="D85" s="5">
        <v>56.024999999999999</v>
      </c>
      <c r="E85" s="5">
        <v>56.5625</v>
      </c>
      <c r="F85" s="6">
        <v>3102282</v>
      </c>
    </row>
    <row r="86" spans="1:6" x14ac:dyDescent="0.2">
      <c r="A86" s="4">
        <v>44592</v>
      </c>
      <c r="B86" s="5">
        <v>55.962499999999999</v>
      </c>
      <c r="C86" s="5">
        <v>56.174999999999997</v>
      </c>
      <c r="D86" s="5">
        <v>55.668700000000001</v>
      </c>
      <c r="E86" s="5">
        <v>56.024999999999999</v>
      </c>
      <c r="F86" s="6">
        <v>2331284</v>
      </c>
    </row>
    <row r="87" spans="1:6" x14ac:dyDescent="0.2">
      <c r="A87" s="4">
        <v>44593</v>
      </c>
      <c r="B87" s="5">
        <v>56.25</v>
      </c>
      <c r="C87" s="5">
        <v>56.55</v>
      </c>
      <c r="D87" s="5">
        <v>56.058100000000003</v>
      </c>
      <c r="E87" s="5">
        <v>56.487499999999997</v>
      </c>
      <c r="F87" s="6">
        <v>2462199</v>
      </c>
    </row>
    <row r="88" spans="1:6" x14ac:dyDescent="0.2">
      <c r="A88" s="4">
        <v>44594</v>
      </c>
      <c r="B88" s="5">
        <v>56.3125</v>
      </c>
      <c r="C88" s="5">
        <v>57.199199999999998</v>
      </c>
      <c r="D88" s="5">
        <v>56.212499999999999</v>
      </c>
      <c r="E88" s="5">
        <v>57.125</v>
      </c>
      <c r="F88" s="6">
        <v>3127316</v>
      </c>
    </row>
    <row r="89" spans="1:6" x14ac:dyDescent="0.2">
      <c r="A89" s="4">
        <v>44595</v>
      </c>
      <c r="B89" s="5">
        <v>56.65</v>
      </c>
      <c r="C89" s="5">
        <v>56.725000000000001</v>
      </c>
      <c r="D89" s="5">
        <v>56.15</v>
      </c>
      <c r="E89" s="5">
        <v>56.15</v>
      </c>
      <c r="F89" s="6">
        <v>3956210</v>
      </c>
    </row>
    <row r="90" spans="1:6" x14ac:dyDescent="0.2">
      <c r="A90" s="4">
        <v>44596</v>
      </c>
      <c r="B90" s="5">
        <v>56.162500000000001</v>
      </c>
      <c r="C90" s="5">
        <v>56.475000000000001</v>
      </c>
      <c r="D90" s="5">
        <v>55.975000000000001</v>
      </c>
      <c r="E90" s="5">
        <v>56</v>
      </c>
      <c r="F90" s="6">
        <v>5381359</v>
      </c>
    </row>
    <row r="91" spans="1:6" x14ac:dyDescent="0.2">
      <c r="A91" s="4">
        <v>44599</v>
      </c>
      <c r="B91" s="5">
        <v>55.962499999999999</v>
      </c>
      <c r="C91" s="5">
        <v>56.356299999999997</v>
      </c>
      <c r="D91" s="5">
        <v>55.924999999999997</v>
      </c>
      <c r="E91" s="5">
        <v>56.237499999999997</v>
      </c>
      <c r="F91" s="6">
        <v>2678056</v>
      </c>
    </row>
    <row r="92" spans="1:6" x14ac:dyDescent="0.2">
      <c r="A92" s="4">
        <v>44600</v>
      </c>
      <c r="B92" s="5">
        <v>56.612499999999997</v>
      </c>
      <c r="C92" s="5">
        <v>56.612499999999997</v>
      </c>
      <c r="D92" s="5">
        <v>56.075000000000003</v>
      </c>
      <c r="E92" s="5">
        <v>56.524999999999999</v>
      </c>
      <c r="F92" s="6">
        <v>5516199</v>
      </c>
    </row>
    <row r="93" spans="1:6" x14ac:dyDescent="0.2">
      <c r="A93" s="4">
        <v>44601</v>
      </c>
      <c r="B93" s="5">
        <v>55.8125</v>
      </c>
      <c r="C93" s="5">
        <v>56.125</v>
      </c>
      <c r="D93" s="5">
        <v>55.237499999999997</v>
      </c>
      <c r="E93" s="5">
        <v>55.325000000000003</v>
      </c>
      <c r="F93" s="6">
        <v>3110146</v>
      </c>
    </row>
    <row r="94" spans="1:6" x14ac:dyDescent="0.2">
      <c r="A94" s="4">
        <v>44602</v>
      </c>
      <c r="B94" s="5">
        <v>55.887500000000003</v>
      </c>
      <c r="C94" s="5">
        <v>56.881300000000003</v>
      </c>
      <c r="D94" s="5">
        <v>55.412500000000001</v>
      </c>
      <c r="E94" s="5">
        <v>55.55</v>
      </c>
      <c r="F94" s="6">
        <v>6073914</v>
      </c>
    </row>
    <row r="95" spans="1:6" x14ac:dyDescent="0.2">
      <c r="A95" s="4">
        <v>44603</v>
      </c>
      <c r="B95" s="5">
        <v>55.462499999999999</v>
      </c>
      <c r="C95" s="5">
        <v>55.856299999999997</v>
      </c>
      <c r="D95" s="5">
        <v>55.325000000000003</v>
      </c>
      <c r="E95" s="5">
        <v>55.375</v>
      </c>
      <c r="F95" s="6">
        <v>2520152</v>
      </c>
    </row>
    <row r="96" spans="1:6" x14ac:dyDescent="0.2">
      <c r="A96" s="4">
        <v>44606</v>
      </c>
      <c r="B96" s="5">
        <v>55.05</v>
      </c>
      <c r="C96" s="5">
        <v>55.075000000000003</v>
      </c>
      <c r="D96" s="5">
        <v>53.337499999999999</v>
      </c>
      <c r="E96" s="5">
        <v>53.587499999999999</v>
      </c>
      <c r="F96" s="6">
        <v>6472094</v>
      </c>
    </row>
    <row r="97" spans="1:6" x14ac:dyDescent="0.2">
      <c r="A97" s="4">
        <v>44607</v>
      </c>
      <c r="B97" s="5">
        <v>54.012500000000003</v>
      </c>
      <c r="C97" s="5">
        <v>54.737499999999997</v>
      </c>
      <c r="D97" s="5">
        <v>53.987499999999997</v>
      </c>
      <c r="E97" s="5">
        <v>54.524999999999999</v>
      </c>
      <c r="F97" s="6">
        <v>4458393</v>
      </c>
    </row>
    <row r="98" spans="1:6" x14ac:dyDescent="0.2">
      <c r="A98" s="4">
        <v>44608</v>
      </c>
      <c r="B98" s="5">
        <v>54.125</v>
      </c>
      <c r="C98" s="5">
        <v>54.35</v>
      </c>
      <c r="D98" s="5">
        <v>53.95</v>
      </c>
      <c r="E98" s="5">
        <v>54.237499999999997</v>
      </c>
      <c r="F98" s="6">
        <v>2934005</v>
      </c>
    </row>
    <row r="99" spans="1:6" x14ac:dyDescent="0.2">
      <c r="A99" s="4">
        <v>44609</v>
      </c>
      <c r="B99" s="5">
        <v>54.3</v>
      </c>
      <c r="C99" s="5">
        <v>54.4375</v>
      </c>
      <c r="D99" s="5">
        <v>53.837499999999999</v>
      </c>
      <c r="E99" s="5">
        <v>54.15</v>
      </c>
      <c r="F99" s="6">
        <v>2043026</v>
      </c>
    </row>
    <row r="100" spans="1:6" x14ac:dyDescent="0.2">
      <c r="A100" s="4">
        <v>44610</v>
      </c>
      <c r="B100" s="5">
        <v>53.9</v>
      </c>
      <c r="C100" s="5">
        <v>54.15</v>
      </c>
      <c r="D100" s="5">
        <v>53.651200000000003</v>
      </c>
      <c r="E100" s="5">
        <v>53.8</v>
      </c>
      <c r="F100" s="6">
        <v>4144202</v>
      </c>
    </row>
    <row r="101" spans="1:6" x14ac:dyDescent="0.2">
      <c r="A101" s="4">
        <v>44614</v>
      </c>
      <c r="B101" s="5">
        <v>53.3</v>
      </c>
      <c r="C101" s="5">
        <v>53.712499999999999</v>
      </c>
      <c r="D101" s="5">
        <v>53.0625</v>
      </c>
      <c r="E101" s="5">
        <v>53.362499999999997</v>
      </c>
      <c r="F101" s="6">
        <v>7075498</v>
      </c>
    </row>
    <row r="102" spans="1:6" x14ac:dyDescent="0.2">
      <c r="A102" s="4">
        <v>44615</v>
      </c>
      <c r="B102" s="5">
        <v>54.375</v>
      </c>
      <c r="C102" s="5">
        <v>54.412500000000001</v>
      </c>
      <c r="D102" s="5">
        <v>53.8063</v>
      </c>
      <c r="E102" s="5">
        <v>53.9</v>
      </c>
      <c r="F102" s="6">
        <v>2992720</v>
      </c>
    </row>
    <row r="103" spans="1:6" x14ac:dyDescent="0.2">
      <c r="A103" s="4">
        <v>44616</v>
      </c>
      <c r="B103" s="5">
        <v>51.662500000000001</v>
      </c>
      <c r="C103" s="5">
        <v>52</v>
      </c>
      <c r="D103" s="5">
        <v>50.706200000000003</v>
      </c>
      <c r="E103" s="5">
        <v>51.487499999999997</v>
      </c>
      <c r="F103" s="6">
        <v>5129436</v>
      </c>
    </row>
    <row r="104" spans="1:6" x14ac:dyDescent="0.2">
      <c r="A104" s="4">
        <v>44617</v>
      </c>
      <c r="B104" s="5">
        <v>52.537500000000001</v>
      </c>
      <c r="C104" s="5">
        <v>53.537500000000001</v>
      </c>
      <c r="D104" s="5">
        <v>52.424999999999997</v>
      </c>
      <c r="E104" s="5">
        <v>53.35</v>
      </c>
      <c r="F104" s="6">
        <v>3498916</v>
      </c>
    </row>
    <row r="105" spans="1:6" x14ac:dyDescent="0.2">
      <c r="A105" s="4">
        <v>44620</v>
      </c>
      <c r="B105" s="5">
        <v>52.412500000000001</v>
      </c>
      <c r="C105" s="5">
        <v>52.625</v>
      </c>
      <c r="D105" s="5">
        <v>51.737499999999997</v>
      </c>
      <c r="E105" s="5">
        <v>52.325000000000003</v>
      </c>
      <c r="F105" s="6">
        <v>4427602</v>
      </c>
    </row>
    <row r="106" spans="1:6" x14ac:dyDescent="0.2">
      <c r="A106" s="4">
        <v>44621</v>
      </c>
      <c r="B106" s="5">
        <v>52.412500000000001</v>
      </c>
      <c r="C106" s="5">
        <v>52.837499999999999</v>
      </c>
      <c r="D106" s="5">
        <v>51.774999999999999</v>
      </c>
      <c r="E106" s="5">
        <v>51.9375</v>
      </c>
      <c r="F106" s="6">
        <v>3725853</v>
      </c>
    </row>
    <row r="107" spans="1:6" x14ac:dyDescent="0.2">
      <c r="A107" s="4">
        <v>44622</v>
      </c>
      <c r="B107" s="5">
        <v>51.837499999999999</v>
      </c>
      <c r="C107" s="5">
        <v>52.75</v>
      </c>
      <c r="D107" s="5">
        <v>51.762500000000003</v>
      </c>
      <c r="E107" s="5">
        <v>52.537500000000001</v>
      </c>
      <c r="F107" s="6">
        <v>3533213</v>
      </c>
    </row>
    <row r="108" spans="1:6" x14ac:dyDescent="0.2">
      <c r="A108" s="4">
        <v>44623</v>
      </c>
      <c r="B108" s="5">
        <v>52.112499999999997</v>
      </c>
      <c r="C108" s="5">
        <v>52.343800000000002</v>
      </c>
      <c r="D108" s="5">
        <v>51.487499999999997</v>
      </c>
      <c r="E108" s="5">
        <v>51.8125</v>
      </c>
      <c r="F108" s="6">
        <v>6010486</v>
      </c>
    </row>
    <row r="109" spans="1:6" x14ac:dyDescent="0.2">
      <c r="A109" s="4">
        <v>44624</v>
      </c>
      <c r="B109" s="5">
        <v>49.987499999999997</v>
      </c>
      <c r="C109" s="5">
        <v>50.481200000000001</v>
      </c>
      <c r="D109" s="5">
        <v>49.8</v>
      </c>
      <c r="E109" s="5">
        <v>50.225000000000001</v>
      </c>
      <c r="F109" s="6">
        <v>6376932</v>
      </c>
    </row>
    <row r="110" spans="1:6" x14ac:dyDescent="0.2">
      <c r="A110" s="4">
        <v>44627</v>
      </c>
      <c r="B110" s="5">
        <v>49.6</v>
      </c>
      <c r="C110" s="5">
        <v>49.843800000000002</v>
      </c>
      <c r="D110" s="5">
        <v>49.018799999999999</v>
      </c>
      <c r="E110" s="5">
        <v>49.325000000000003</v>
      </c>
      <c r="F110" s="6">
        <v>4580473</v>
      </c>
    </row>
    <row r="111" spans="1:6" x14ac:dyDescent="0.2">
      <c r="A111" s="4">
        <v>44628</v>
      </c>
      <c r="B111" s="5">
        <v>49.837499999999999</v>
      </c>
      <c r="C111" s="5">
        <v>50.737499999999997</v>
      </c>
      <c r="D111" s="5">
        <v>49.524999999999999</v>
      </c>
      <c r="E111" s="5">
        <v>49.975000000000001</v>
      </c>
      <c r="F111" s="6">
        <v>5507202</v>
      </c>
    </row>
    <row r="112" spans="1:6" x14ac:dyDescent="0.2">
      <c r="A112" s="4">
        <v>44629</v>
      </c>
      <c r="B112" s="5">
        <v>51.274999999999999</v>
      </c>
      <c r="C112" s="5">
        <v>51.943800000000003</v>
      </c>
      <c r="D112" s="5">
        <v>51.024999999999999</v>
      </c>
      <c r="E112" s="5">
        <v>51.674999999999997</v>
      </c>
      <c r="F112" s="6">
        <v>8372432</v>
      </c>
    </row>
    <row r="113" spans="1:6" x14ac:dyDescent="0.2">
      <c r="A113" s="4">
        <v>44630</v>
      </c>
      <c r="B113" s="5">
        <v>50.9</v>
      </c>
      <c r="C113" s="5">
        <v>51.372599999999998</v>
      </c>
      <c r="D113" s="5">
        <v>50.55</v>
      </c>
      <c r="E113" s="5">
        <v>51.037500000000001</v>
      </c>
      <c r="F113" s="6">
        <v>3887182</v>
      </c>
    </row>
    <row r="114" spans="1:6" x14ac:dyDescent="0.2">
      <c r="A114" s="4">
        <v>44631</v>
      </c>
      <c r="B114" s="5">
        <v>51.0625</v>
      </c>
      <c r="C114" s="5">
        <v>51.406300000000002</v>
      </c>
      <c r="D114" s="5">
        <v>50.674999999999997</v>
      </c>
      <c r="E114" s="5">
        <v>50.7</v>
      </c>
      <c r="F114" s="6">
        <v>3749435</v>
      </c>
    </row>
    <row r="115" spans="1:6" x14ac:dyDescent="0.2">
      <c r="A115" s="4">
        <v>44634</v>
      </c>
      <c r="B115" s="5">
        <v>51.274999999999999</v>
      </c>
      <c r="C115" s="5">
        <v>51.946100000000001</v>
      </c>
      <c r="D115" s="5">
        <v>50.95</v>
      </c>
      <c r="E115" s="5">
        <v>50.962499999999999</v>
      </c>
      <c r="F115" s="6">
        <v>3674971</v>
      </c>
    </row>
    <row r="116" spans="1:6" x14ac:dyDescent="0.2">
      <c r="A116" s="4">
        <v>44635</v>
      </c>
      <c r="B116" s="5">
        <v>51.55</v>
      </c>
      <c r="C116" s="5">
        <v>52.218800000000002</v>
      </c>
      <c r="D116" s="5">
        <v>51.318800000000003</v>
      </c>
      <c r="E116" s="5">
        <v>52.125</v>
      </c>
      <c r="F116" s="6">
        <v>3382890</v>
      </c>
    </row>
    <row r="117" spans="1:6" x14ac:dyDescent="0.2">
      <c r="A117" s="4">
        <v>44636</v>
      </c>
      <c r="B117" s="5">
        <v>52.337499999999999</v>
      </c>
      <c r="C117" s="5">
        <v>52.8</v>
      </c>
      <c r="D117" s="5">
        <v>51.962499999999999</v>
      </c>
      <c r="E117" s="5">
        <v>52.625</v>
      </c>
      <c r="F117" s="6">
        <v>3873913</v>
      </c>
    </row>
    <row r="118" spans="1:6" x14ac:dyDescent="0.2">
      <c r="A118" s="4">
        <v>44637</v>
      </c>
      <c r="B118" s="5">
        <v>52.65</v>
      </c>
      <c r="C118" s="5">
        <v>54.1875</v>
      </c>
      <c r="D118" s="5">
        <v>52.65</v>
      </c>
      <c r="E118" s="5">
        <v>53.8125</v>
      </c>
      <c r="F118" s="6">
        <v>3645189</v>
      </c>
    </row>
    <row r="119" spans="1:6" x14ac:dyDescent="0.2">
      <c r="A119" s="4">
        <v>44638</v>
      </c>
      <c r="B119" s="5">
        <v>53.337499999999999</v>
      </c>
      <c r="C119" s="5">
        <v>53.818800000000003</v>
      </c>
      <c r="D119" s="5">
        <v>53.2562</v>
      </c>
      <c r="E119" s="5">
        <v>53.774999999999999</v>
      </c>
      <c r="F119" s="6">
        <v>3334960</v>
      </c>
    </row>
    <row r="120" spans="1:6" x14ac:dyDescent="0.2">
      <c r="A120" s="4">
        <v>44641</v>
      </c>
      <c r="B120" s="5">
        <v>53.862499999999997</v>
      </c>
      <c r="C120" s="5">
        <v>54.068899999999999</v>
      </c>
      <c r="D120" s="5">
        <v>53.4375</v>
      </c>
      <c r="E120" s="5">
        <v>53.55</v>
      </c>
      <c r="F120" s="6">
        <v>3783822</v>
      </c>
    </row>
    <row r="121" spans="1:6" x14ac:dyDescent="0.2">
      <c r="A121" s="4">
        <v>44642</v>
      </c>
      <c r="B121" s="5">
        <v>54.4</v>
      </c>
      <c r="C121" s="5">
        <v>54.4</v>
      </c>
      <c r="D121" s="5">
        <v>53.843800000000002</v>
      </c>
      <c r="E121" s="5">
        <v>54.037500000000001</v>
      </c>
      <c r="F121" s="6">
        <v>4585294</v>
      </c>
    </row>
    <row r="122" spans="1:6" x14ac:dyDescent="0.2">
      <c r="A122" s="4">
        <v>44643</v>
      </c>
      <c r="B122" s="5">
        <v>53.825000000000003</v>
      </c>
      <c r="C122" s="5">
        <v>54.112499999999997</v>
      </c>
      <c r="D122" s="5">
        <v>53.637500000000003</v>
      </c>
      <c r="E122" s="5">
        <v>53.637500000000003</v>
      </c>
      <c r="F122" s="6">
        <v>2283842</v>
      </c>
    </row>
    <row r="123" spans="1:6" x14ac:dyDescent="0.2">
      <c r="A123" s="4">
        <v>44644</v>
      </c>
      <c r="B123" s="5">
        <v>54.024999999999999</v>
      </c>
      <c r="C123" s="5">
        <v>54.375</v>
      </c>
      <c r="D123" s="5">
        <v>53.837499999999999</v>
      </c>
      <c r="E123" s="5">
        <v>54.125</v>
      </c>
      <c r="F123" s="6">
        <v>2504591</v>
      </c>
    </row>
    <row r="124" spans="1:6" x14ac:dyDescent="0.2">
      <c r="A124" s="4">
        <v>44645</v>
      </c>
      <c r="B124" s="5">
        <v>53.95</v>
      </c>
      <c r="C124" s="5">
        <v>54.368699999999997</v>
      </c>
      <c r="D124" s="5">
        <v>53.943800000000003</v>
      </c>
      <c r="E124" s="5">
        <v>54.1</v>
      </c>
      <c r="F124" s="6">
        <v>7691124</v>
      </c>
    </row>
    <row r="125" spans="1:6" x14ac:dyDescent="0.2">
      <c r="A125" s="4">
        <v>44648</v>
      </c>
      <c r="B125" s="5">
        <v>54.274999999999999</v>
      </c>
      <c r="C125" s="5">
        <v>54.375</v>
      </c>
      <c r="D125" s="5">
        <v>53.981299999999997</v>
      </c>
      <c r="E125" s="5">
        <v>54.212499999999999</v>
      </c>
      <c r="F125" s="6">
        <v>2411888</v>
      </c>
    </row>
    <row r="126" spans="1:6" x14ac:dyDescent="0.2">
      <c r="A126" s="4">
        <v>44649</v>
      </c>
      <c r="B126" s="5">
        <v>54.887500000000003</v>
      </c>
      <c r="C126" s="5">
        <v>54.993699999999997</v>
      </c>
      <c r="D126" s="5">
        <v>53.825000000000003</v>
      </c>
      <c r="E126" s="5">
        <v>54.112499999999997</v>
      </c>
      <c r="F126" s="6">
        <v>3756073</v>
      </c>
    </row>
    <row r="127" spans="1:6" x14ac:dyDescent="0.2">
      <c r="A127" s="4">
        <v>44650</v>
      </c>
      <c r="B127" s="5">
        <v>54.462499999999999</v>
      </c>
      <c r="C127" s="5">
        <v>55.024999999999999</v>
      </c>
      <c r="D127" s="5">
        <v>54.331299999999999</v>
      </c>
      <c r="E127" s="5">
        <v>54.625</v>
      </c>
      <c r="F127" s="6">
        <v>4123478</v>
      </c>
    </row>
    <row r="128" spans="1:6" x14ac:dyDescent="0.2">
      <c r="A128" s="4">
        <v>44651</v>
      </c>
      <c r="B128" s="5">
        <v>54.912500000000001</v>
      </c>
      <c r="C128" s="5">
        <v>54.956299999999999</v>
      </c>
      <c r="D128" s="5">
        <v>54.375</v>
      </c>
      <c r="E128" s="5">
        <v>54.45</v>
      </c>
      <c r="F128" s="6">
        <v>2489705</v>
      </c>
    </row>
    <row r="129" spans="1:6" x14ac:dyDescent="0.2">
      <c r="A129" s="4">
        <v>44652</v>
      </c>
      <c r="B129" s="5">
        <v>54.45</v>
      </c>
      <c r="C129" s="5">
        <v>54.9</v>
      </c>
      <c r="D129" s="5">
        <v>54.3187</v>
      </c>
      <c r="E129" s="5">
        <v>54.862499999999997</v>
      </c>
      <c r="F129" s="6">
        <v>3245915</v>
      </c>
    </row>
    <row r="130" spans="1:6" x14ac:dyDescent="0.2">
      <c r="A130" s="4">
        <v>44655</v>
      </c>
      <c r="B130" s="5">
        <v>54.625</v>
      </c>
      <c r="C130" s="5">
        <v>54.725000000000001</v>
      </c>
      <c r="D130" s="5">
        <v>54.375</v>
      </c>
      <c r="E130" s="5">
        <v>54.6875</v>
      </c>
      <c r="F130" s="6">
        <v>2745825</v>
      </c>
    </row>
    <row r="131" spans="1:6" x14ac:dyDescent="0.2">
      <c r="A131" s="4">
        <v>44656</v>
      </c>
      <c r="B131" s="5">
        <v>55.337499999999999</v>
      </c>
      <c r="C131" s="5">
        <v>56.344999999999999</v>
      </c>
      <c r="D131" s="5">
        <v>55.274999999999999</v>
      </c>
      <c r="E131" s="5">
        <v>55.712499999999999</v>
      </c>
      <c r="F131" s="6">
        <v>3908821</v>
      </c>
    </row>
    <row r="132" spans="1:6" x14ac:dyDescent="0.2">
      <c r="A132" s="4">
        <v>44657</v>
      </c>
      <c r="B132" s="5">
        <v>56.225000000000001</v>
      </c>
      <c r="C132" s="5">
        <v>57.174999999999997</v>
      </c>
      <c r="D132" s="5">
        <v>55.968800000000002</v>
      </c>
      <c r="E132" s="5">
        <v>57.15</v>
      </c>
      <c r="F132" s="6">
        <v>4311141</v>
      </c>
    </row>
    <row r="133" spans="1:6" x14ac:dyDescent="0.2">
      <c r="A133" s="4">
        <v>44658</v>
      </c>
      <c r="B133" s="5">
        <v>56.8125</v>
      </c>
      <c r="C133" s="5">
        <v>57.875</v>
      </c>
      <c r="D133" s="5">
        <v>56.737499999999997</v>
      </c>
      <c r="E133" s="5">
        <v>57.787500000000001</v>
      </c>
      <c r="F133" s="6">
        <v>5132693</v>
      </c>
    </row>
    <row r="134" spans="1:6" x14ac:dyDescent="0.2">
      <c r="A134" s="4">
        <v>44659</v>
      </c>
      <c r="B134" s="5">
        <v>57.862499999999997</v>
      </c>
      <c r="C134" s="5">
        <v>58.424999999999997</v>
      </c>
      <c r="D134" s="5">
        <v>57.8</v>
      </c>
      <c r="E134" s="5">
        <v>58.3</v>
      </c>
      <c r="F134" s="6">
        <v>3106761</v>
      </c>
    </row>
    <row r="135" spans="1:6" x14ac:dyDescent="0.2">
      <c r="A135" s="4">
        <v>44662</v>
      </c>
      <c r="B135" s="5">
        <v>58.587499999999999</v>
      </c>
      <c r="C135" s="5">
        <v>58.712499999999999</v>
      </c>
      <c r="D135" s="5">
        <v>57.968800000000002</v>
      </c>
      <c r="E135" s="5">
        <v>58.1</v>
      </c>
      <c r="F135" s="6">
        <v>4090953</v>
      </c>
    </row>
    <row r="136" spans="1:6" x14ac:dyDescent="0.2">
      <c r="A136" s="4">
        <v>44663</v>
      </c>
      <c r="B136" s="5">
        <v>58.475000000000001</v>
      </c>
      <c r="C136" s="5">
        <v>58.5</v>
      </c>
      <c r="D136" s="5">
        <v>57.95</v>
      </c>
      <c r="E136" s="5">
        <v>58.162500000000001</v>
      </c>
      <c r="F136" s="6">
        <v>4724220</v>
      </c>
    </row>
    <row r="137" spans="1:6" x14ac:dyDescent="0.2">
      <c r="A137" s="4">
        <v>44664</v>
      </c>
      <c r="B137" s="5">
        <v>58.337499999999999</v>
      </c>
      <c r="C137" s="5">
        <v>58.6</v>
      </c>
      <c r="D137" s="5">
        <v>57.774999999999999</v>
      </c>
      <c r="E137" s="5">
        <v>58.5625</v>
      </c>
      <c r="F137" s="6">
        <v>3803745</v>
      </c>
    </row>
    <row r="138" spans="1:6" x14ac:dyDescent="0.2">
      <c r="A138" s="4">
        <v>44665</v>
      </c>
      <c r="B138" s="5">
        <v>58.325000000000003</v>
      </c>
      <c r="C138" s="5">
        <v>58.418799999999997</v>
      </c>
      <c r="D138" s="5">
        <v>57.825000000000003</v>
      </c>
      <c r="E138" s="5">
        <v>57.9</v>
      </c>
      <c r="F138" s="6">
        <v>2986014</v>
      </c>
    </row>
    <row r="139" spans="1:6" x14ac:dyDescent="0.2">
      <c r="A139" s="4">
        <v>44669</v>
      </c>
      <c r="B139" s="5">
        <v>57.637500000000003</v>
      </c>
      <c r="C139" s="5">
        <v>58.1</v>
      </c>
      <c r="D139" s="5">
        <v>57.568800000000003</v>
      </c>
      <c r="E139" s="5">
        <v>57.75</v>
      </c>
      <c r="F139" s="6">
        <v>1945562</v>
      </c>
    </row>
    <row r="140" spans="1:6" x14ac:dyDescent="0.2">
      <c r="A140" s="4">
        <v>44670</v>
      </c>
      <c r="B140" s="5">
        <v>57.45</v>
      </c>
      <c r="C140" s="5">
        <v>57.8125</v>
      </c>
      <c r="D140" s="5">
        <v>57.287500000000001</v>
      </c>
      <c r="E140" s="5">
        <v>57.362499999999997</v>
      </c>
      <c r="F140" s="6">
        <v>2548440</v>
      </c>
    </row>
    <row r="141" spans="1:6" x14ac:dyDescent="0.2">
      <c r="A141" s="4">
        <v>44671</v>
      </c>
      <c r="B141" s="5">
        <v>57.1875</v>
      </c>
      <c r="C141" s="5">
        <v>57.531300000000002</v>
      </c>
      <c r="D141" s="5">
        <v>56.9</v>
      </c>
      <c r="E141" s="5">
        <v>57.3</v>
      </c>
      <c r="F141" s="6">
        <v>3569519</v>
      </c>
    </row>
    <row r="142" spans="1:6" x14ac:dyDescent="0.2">
      <c r="A142" s="4">
        <v>44672</v>
      </c>
      <c r="B142" s="5">
        <v>57.2</v>
      </c>
      <c r="C142" s="5">
        <v>57.456299999999999</v>
      </c>
      <c r="D142" s="5">
        <v>56.856299999999997</v>
      </c>
      <c r="E142" s="5">
        <v>57.112499999999997</v>
      </c>
      <c r="F142" s="6">
        <v>4494140</v>
      </c>
    </row>
    <row r="143" spans="1:6" x14ac:dyDescent="0.2">
      <c r="A143" s="4">
        <v>44673</v>
      </c>
      <c r="B143" s="5">
        <v>56.512500000000003</v>
      </c>
      <c r="C143" s="5">
        <v>56.706299999999999</v>
      </c>
      <c r="D143" s="5">
        <v>56.037500000000001</v>
      </c>
      <c r="E143" s="5">
        <v>56.087499999999999</v>
      </c>
      <c r="F143" s="6">
        <v>3557233</v>
      </c>
    </row>
    <row r="144" spans="1:6" x14ac:dyDescent="0.2">
      <c r="A144" s="4">
        <v>44676</v>
      </c>
      <c r="B144" s="5">
        <v>55.65</v>
      </c>
      <c r="C144" s="5">
        <v>56.487499999999997</v>
      </c>
      <c r="D144" s="5">
        <v>55.506300000000003</v>
      </c>
      <c r="E144" s="5">
        <v>56.424999999999997</v>
      </c>
      <c r="F144" s="6">
        <v>3399992</v>
      </c>
    </row>
    <row r="145" spans="1:6" x14ac:dyDescent="0.2">
      <c r="A145" s="4">
        <v>44677</v>
      </c>
      <c r="B145" s="5">
        <v>56.162500000000001</v>
      </c>
      <c r="C145" s="5">
        <v>56.456200000000003</v>
      </c>
      <c r="D145" s="5">
        <v>55.45</v>
      </c>
      <c r="E145" s="5">
        <v>55.487499999999997</v>
      </c>
      <c r="F145" s="6">
        <v>3787912</v>
      </c>
    </row>
    <row r="146" spans="1:6" x14ac:dyDescent="0.2">
      <c r="A146" s="4">
        <v>44678</v>
      </c>
      <c r="B146" s="5">
        <v>56.45</v>
      </c>
      <c r="C146" s="5">
        <v>57.3125</v>
      </c>
      <c r="D146" s="5">
        <v>56.15</v>
      </c>
      <c r="E146" s="5">
        <v>56.8</v>
      </c>
      <c r="F146" s="6">
        <v>4779805</v>
      </c>
    </row>
    <row r="147" spans="1:6" x14ac:dyDescent="0.2">
      <c r="A147" s="4">
        <v>44679</v>
      </c>
      <c r="B147" s="5">
        <v>56.475000000000001</v>
      </c>
      <c r="C147" s="5">
        <v>57.287500000000001</v>
      </c>
      <c r="D147" s="5">
        <v>56.375</v>
      </c>
      <c r="E147" s="5">
        <v>57.174999999999997</v>
      </c>
      <c r="F147" s="6">
        <v>4086012</v>
      </c>
    </row>
    <row r="148" spans="1:6" x14ac:dyDescent="0.2">
      <c r="A148" s="4">
        <v>44680</v>
      </c>
      <c r="B148" s="5">
        <v>56.9375</v>
      </c>
      <c r="C148" s="5">
        <v>57.075000000000003</v>
      </c>
      <c r="D148" s="5">
        <v>56.512500000000003</v>
      </c>
      <c r="E148" s="5">
        <v>56.6</v>
      </c>
      <c r="F148" s="6">
        <v>3528014</v>
      </c>
    </row>
    <row r="149" spans="1:6" x14ac:dyDescent="0.2">
      <c r="A149" s="4">
        <v>44683</v>
      </c>
      <c r="B149" s="5">
        <v>56.4375</v>
      </c>
      <c r="C149" s="5">
        <v>56.6</v>
      </c>
      <c r="D149" s="5">
        <v>55.325000000000003</v>
      </c>
      <c r="E149" s="5">
        <v>55.9</v>
      </c>
      <c r="F149" s="6">
        <v>3065343</v>
      </c>
    </row>
    <row r="150" spans="1:6" x14ac:dyDescent="0.2">
      <c r="A150" s="4">
        <v>44684</v>
      </c>
      <c r="B150" s="5">
        <v>56.537500000000001</v>
      </c>
      <c r="C150" s="5">
        <v>56.718800000000002</v>
      </c>
      <c r="D150" s="5">
        <v>56.075000000000003</v>
      </c>
      <c r="E150" s="5">
        <v>56.4</v>
      </c>
      <c r="F150" s="6">
        <v>4144841</v>
      </c>
    </row>
    <row r="151" spans="1:6" x14ac:dyDescent="0.2">
      <c r="A151" s="4">
        <v>44685</v>
      </c>
      <c r="B151" s="5">
        <v>56.287500000000001</v>
      </c>
      <c r="C151" s="5">
        <v>56.606200000000001</v>
      </c>
      <c r="D151" s="5">
        <v>55.511499999999998</v>
      </c>
      <c r="E151" s="5">
        <v>56.45</v>
      </c>
      <c r="F151" s="6">
        <v>4349414</v>
      </c>
    </row>
    <row r="152" spans="1:6" x14ac:dyDescent="0.2">
      <c r="A152" s="4">
        <v>44686</v>
      </c>
      <c r="B152" s="5">
        <v>55.85</v>
      </c>
      <c r="C152" s="5">
        <v>55.975000000000001</v>
      </c>
      <c r="D152" s="5">
        <v>55.174999999999997</v>
      </c>
      <c r="E152" s="5">
        <v>55.487499999999997</v>
      </c>
      <c r="F152" s="6">
        <v>3733970</v>
      </c>
    </row>
    <row r="153" spans="1:6" x14ac:dyDescent="0.2">
      <c r="A153" s="4">
        <v>44687</v>
      </c>
      <c r="B153" s="5">
        <v>55</v>
      </c>
      <c r="C153" s="5">
        <v>55.412500000000001</v>
      </c>
      <c r="D153" s="5">
        <v>54.7438</v>
      </c>
      <c r="E153" s="5">
        <v>55.112499999999997</v>
      </c>
      <c r="F153" s="6">
        <v>4545654</v>
      </c>
    </row>
    <row r="154" spans="1:6" x14ac:dyDescent="0.2">
      <c r="A154" s="4">
        <v>44690</v>
      </c>
      <c r="B154" s="5">
        <v>54.3125</v>
      </c>
      <c r="C154" s="5">
        <v>54.424999999999997</v>
      </c>
      <c r="D154" s="5">
        <v>53.8125</v>
      </c>
      <c r="E154" s="5">
        <v>53.95</v>
      </c>
      <c r="F154" s="6">
        <v>3410818</v>
      </c>
    </row>
    <row r="155" spans="1:6" x14ac:dyDescent="0.2">
      <c r="A155" s="4">
        <v>44691</v>
      </c>
      <c r="B155" s="5">
        <v>54.15</v>
      </c>
      <c r="C155" s="5">
        <v>54.537500000000001</v>
      </c>
      <c r="D155" s="5">
        <v>54.018799999999999</v>
      </c>
      <c r="E155" s="5">
        <v>54.274999999999999</v>
      </c>
      <c r="F155" s="6">
        <v>6275902</v>
      </c>
    </row>
    <row r="156" spans="1:6" x14ac:dyDescent="0.2">
      <c r="A156" s="4">
        <v>44692</v>
      </c>
      <c r="B156" s="5">
        <v>53.774999999999999</v>
      </c>
      <c r="C156" s="5">
        <v>54.387500000000003</v>
      </c>
      <c r="D156" s="5">
        <v>53.15</v>
      </c>
      <c r="E156" s="5">
        <v>53.162500000000001</v>
      </c>
      <c r="F156" s="6">
        <v>7197733</v>
      </c>
    </row>
    <row r="157" spans="1:6" x14ac:dyDescent="0.2">
      <c r="A157" s="4">
        <v>44693</v>
      </c>
      <c r="B157" s="5">
        <v>52.912500000000001</v>
      </c>
      <c r="C157" s="5">
        <v>53.262500000000003</v>
      </c>
      <c r="D157" s="5">
        <v>52.668700000000001</v>
      </c>
      <c r="E157" s="5">
        <v>53.087499999999999</v>
      </c>
      <c r="F157" s="6">
        <v>4953057</v>
      </c>
    </row>
    <row r="158" spans="1:6" x14ac:dyDescent="0.2">
      <c r="A158" s="4">
        <v>44694</v>
      </c>
      <c r="B158" s="5">
        <v>53.612499999999997</v>
      </c>
      <c r="C158" s="5">
        <v>54.174999999999997</v>
      </c>
      <c r="D158" s="5">
        <v>53.475000000000001</v>
      </c>
      <c r="E158" s="5">
        <v>54.15</v>
      </c>
      <c r="F158" s="6">
        <v>4812689</v>
      </c>
    </row>
    <row r="159" spans="1:6" x14ac:dyDescent="0.2">
      <c r="A159" s="4">
        <v>44697</v>
      </c>
      <c r="B159" s="5">
        <v>54.737499999999997</v>
      </c>
      <c r="C159" s="5">
        <v>55.606299999999997</v>
      </c>
      <c r="D159" s="5">
        <v>54.693800000000003</v>
      </c>
      <c r="E159" s="5">
        <v>55.462499999999999</v>
      </c>
      <c r="F159" s="6">
        <v>2904938</v>
      </c>
    </row>
    <row r="160" spans="1:6" x14ac:dyDescent="0.2">
      <c r="A160" s="4">
        <v>44698</v>
      </c>
      <c r="B160" s="5">
        <v>55.8</v>
      </c>
      <c r="C160" s="5">
        <v>56.131300000000003</v>
      </c>
      <c r="D160" s="5">
        <v>55.5</v>
      </c>
      <c r="E160" s="5">
        <v>55.887500000000003</v>
      </c>
      <c r="F160" s="6">
        <v>3574727</v>
      </c>
    </row>
    <row r="161" spans="1:6" x14ac:dyDescent="0.2">
      <c r="A161" s="4">
        <v>44699</v>
      </c>
      <c r="B161" s="5">
        <v>55.475000000000001</v>
      </c>
      <c r="C161" s="5">
        <v>55.6</v>
      </c>
      <c r="D161" s="5">
        <v>54.5</v>
      </c>
      <c r="E161" s="5">
        <v>54.537500000000001</v>
      </c>
      <c r="F161" s="6">
        <v>3834344</v>
      </c>
    </row>
    <row r="162" spans="1:6" x14ac:dyDescent="0.2">
      <c r="A162" s="4">
        <v>44700</v>
      </c>
      <c r="B162" s="5">
        <v>53.85</v>
      </c>
      <c r="C162" s="5">
        <v>54.7</v>
      </c>
      <c r="D162" s="5">
        <v>53.825000000000003</v>
      </c>
      <c r="E162" s="5">
        <v>54.45</v>
      </c>
      <c r="F162" s="6">
        <v>6284083</v>
      </c>
    </row>
    <row r="163" spans="1:6" x14ac:dyDescent="0.2">
      <c r="A163" s="4">
        <v>44701</v>
      </c>
      <c r="B163" s="5">
        <v>55.237499999999997</v>
      </c>
      <c r="C163" s="5">
        <v>55.674999999999997</v>
      </c>
      <c r="D163" s="5">
        <v>54.762500000000003</v>
      </c>
      <c r="E163" s="5">
        <v>55.65</v>
      </c>
      <c r="F163" s="6">
        <v>5987570</v>
      </c>
    </row>
    <row r="164" spans="1:6" x14ac:dyDescent="0.2">
      <c r="A164" s="4">
        <v>44704</v>
      </c>
      <c r="B164" s="5">
        <v>56.0625</v>
      </c>
      <c r="C164" s="5">
        <v>56.424999999999997</v>
      </c>
      <c r="D164" s="5">
        <v>55.85</v>
      </c>
      <c r="E164" s="5">
        <v>55.9375</v>
      </c>
      <c r="F164" s="6">
        <v>5418762</v>
      </c>
    </row>
    <row r="165" spans="1:6" x14ac:dyDescent="0.2">
      <c r="A165" s="4">
        <v>44705</v>
      </c>
      <c r="B165" s="5">
        <v>55.912500000000001</v>
      </c>
      <c r="C165" s="5">
        <v>56.368699999999997</v>
      </c>
      <c r="D165" s="5">
        <v>55.875</v>
      </c>
      <c r="E165" s="5">
        <v>56.25</v>
      </c>
      <c r="F165" s="6">
        <v>5273941</v>
      </c>
    </row>
    <row r="166" spans="1:6" x14ac:dyDescent="0.2">
      <c r="A166" s="4">
        <v>44706</v>
      </c>
      <c r="B166" s="5">
        <v>56.212499999999999</v>
      </c>
      <c r="C166" s="5">
        <v>56.362499999999997</v>
      </c>
      <c r="D166" s="5">
        <v>55.776299999999999</v>
      </c>
      <c r="E166" s="5">
        <v>56.212499999999999</v>
      </c>
      <c r="F166" s="6">
        <v>5186138</v>
      </c>
    </row>
    <row r="167" spans="1:6" x14ac:dyDescent="0.2">
      <c r="A167" s="4">
        <v>44707</v>
      </c>
      <c r="B167" s="5">
        <v>55.95</v>
      </c>
      <c r="C167" s="5">
        <v>56.156300000000002</v>
      </c>
      <c r="D167" s="5">
        <v>55.3688</v>
      </c>
      <c r="E167" s="5">
        <v>55.524999999999999</v>
      </c>
      <c r="F167" s="6">
        <v>5103947</v>
      </c>
    </row>
    <row r="168" spans="1:6" x14ac:dyDescent="0.2">
      <c r="A168" s="4">
        <v>44708</v>
      </c>
      <c r="B168" s="5">
        <v>55.274999999999999</v>
      </c>
      <c r="C168" s="5">
        <v>55.274999999999999</v>
      </c>
      <c r="D168" s="5">
        <v>54.825000000000003</v>
      </c>
      <c r="E168" s="5">
        <v>55.075000000000003</v>
      </c>
      <c r="F168" s="6">
        <v>4595712</v>
      </c>
    </row>
    <row r="169" spans="1:6" x14ac:dyDescent="0.2">
      <c r="A169" s="4">
        <v>44712</v>
      </c>
      <c r="B169" s="5">
        <v>54.912500000000001</v>
      </c>
      <c r="C169" s="5">
        <v>55.15</v>
      </c>
      <c r="D169" s="5">
        <v>54.718800000000002</v>
      </c>
      <c r="E169" s="5">
        <v>54.875</v>
      </c>
      <c r="F169" s="6">
        <v>6355810</v>
      </c>
    </row>
    <row r="170" spans="1:6" x14ac:dyDescent="0.2">
      <c r="A170" s="4">
        <v>44713</v>
      </c>
      <c r="B170" s="5">
        <v>54.674999999999997</v>
      </c>
      <c r="C170" s="5">
        <v>54.7</v>
      </c>
      <c r="D170" s="5">
        <v>53.506300000000003</v>
      </c>
      <c r="E170" s="5">
        <v>53.8</v>
      </c>
      <c r="F170" s="6">
        <v>4900350</v>
      </c>
    </row>
    <row r="171" spans="1:6" x14ac:dyDescent="0.2">
      <c r="A171" s="4">
        <v>44714</v>
      </c>
      <c r="B171" s="5">
        <v>54.112499999999997</v>
      </c>
      <c r="C171" s="5">
        <v>54.25</v>
      </c>
      <c r="D171" s="5">
        <v>53.356299999999997</v>
      </c>
      <c r="E171" s="5">
        <v>54.237499999999997</v>
      </c>
      <c r="F171" s="6">
        <v>3439149</v>
      </c>
    </row>
    <row r="172" spans="1:6" x14ac:dyDescent="0.2">
      <c r="A172" s="4">
        <v>44715</v>
      </c>
      <c r="B172" s="5">
        <v>53.924999999999997</v>
      </c>
      <c r="C172" s="5">
        <v>54.2</v>
      </c>
      <c r="D172" s="5">
        <v>53.387500000000003</v>
      </c>
      <c r="E172" s="5">
        <v>53.4</v>
      </c>
      <c r="F172" s="6">
        <v>3993266</v>
      </c>
    </row>
    <row r="173" spans="1:6" x14ac:dyDescent="0.2">
      <c r="A173" s="4">
        <v>44718</v>
      </c>
      <c r="B173" s="5">
        <v>54.012500000000003</v>
      </c>
      <c r="C173" s="5">
        <v>54.012500000000003</v>
      </c>
      <c r="D173" s="5">
        <v>53.331200000000003</v>
      </c>
      <c r="E173" s="5">
        <v>53.512500000000003</v>
      </c>
      <c r="F173" s="6">
        <v>3039009</v>
      </c>
    </row>
    <row r="174" spans="1:6" x14ac:dyDescent="0.2">
      <c r="A174" s="4">
        <v>44719</v>
      </c>
      <c r="B174" s="5">
        <v>53.712499999999999</v>
      </c>
      <c r="C174" s="5">
        <v>55.337499999999999</v>
      </c>
      <c r="D174" s="5">
        <v>53.712499999999999</v>
      </c>
      <c r="E174" s="5">
        <v>55.3125</v>
      </c>
      <c r="F174" s="6">
        <v>10883800</v>
      </c>
    </row>
    <row r="175" spans="1:6" x14ac:dyDescent="0.2">
      <c r="A175" s="4">
        <v>44720</v>
      </c>
      <c r="B175" s="5">
        <v>55</v>
      </c>
      <c r="C175" s="5">
        <v>55.887500000000003</v>
      </c>
      <c r="D175" s="5">
        <v>54.862499999999997</v>
      </c>
      <c r="E175" s="5">
        <v>55.25</v>
      </c>
      <c r="F175" s="6">
        <v>9164736</v>
      </c>
    </row>
    <row r="176" spans="1:6" x14ac:dyDescent="0.2">
      <c r="A176" s="4">
        <v>44721</v>
      </c>
      <c r="B176" s="5">
        <v>54.75</v>
      </c>
      <c r="C176" s="5">
        <v>55.037399999999998</v>
      </c>
      <c r="D176" s="5">
        <v>53.787500000000001</v>
      </c>
      <c r="E176" s="5">
        <v>53.8</v>
      </c>
      <c r="F176" s="6">
        <v>4665270</v>
      </c>
    </row>
    <row r="177" spans="1:6" x14ac:dyDescent="0.2">
      <c r="A177" s="4">
        <v>44722</v>
      </c>
      <c r="B177" s="5">
        <v>54.162500000000001</v>
      </c>
      <c r="C177" s="5">
        <v>54.956299999999999</v>
      </c>
      <c r="D177" s="5">
        <v>53.7</v>
      </c>
      <c r="E177" s="5">
        <v>54.75</v>
      </c>
      <c r="F177" s="6">
        <v>8593136</v>
      </c>
    </row>
    <row r="178" spans="1:6" x14ac:dyDescent="0.2">
      <c r="A178" s="4">
        <v>44725</v>
      </c>
      <c r="B178" s="5">
        <v>53.887500000000003</v>
      </c>
      <c r="C178" s="5">
        <v>54</v>
      </c>
      <c r="D178" s="5">
        <v>53.006300000000003</v>
      </c>
      <c r="E178" s="5">
        <v>53.125</v>
      </c>
      <c r="F178" s="6">
        <v>8229192</v>
      </c>
    </row>
    <row r="179" spans="1:6" x14ac:dyDescent="0.2">
      <c r="A179" s="4">
        <v>44726</v>
      </c>
      <c r="B179" s="5">
        <v>52.412500000000001</v>
      </c>
      <c r="C179" s="5">
        <v>52.625</v>
      </c>
      <c r="D179" s="5">
        <v>51.33</v>
      </c>
      <c r="E179" s="5">
        <v>51.55</v>
      </c>
      <c r="F179" s="6">
        <v>6397826</v>
      </c>
    </row>
    <row r="180" spans="1:6" x14ac:dyDescent="0.2">
      <c r="A180" s="4">
        <v>44727</v>
      </c>
      <c r="B180" s="5">
        <v>52.325000000000003</v>
      </c>
      <c r="C180" s="5">
        <v>52.6813</v>
      </c>
      <c r="D180" s="5">
        <v>51.587499999999999</v>
      </c>
      <c r="E180" s="5">
        <v>52.4375</v>
      </c>
      <c r="F180" s="6">
        <v>6750785</v>
      </c>
    </row>
    <row r="181" spans="1:6" x14ac:dyDescent="0.2">
      <c r="A181" s="4">
        <v>44728</v>
      </c>
      <c r="B181" s="5">
        <v>51.8</v>
      </c>
      <c r="C181" s="5">
        <v>52.362499999999997</v>
      </c>
      <c r="D181" s="5">
        <v>51.65</v>
      </c>
      <c r="E181" s="5">
        <v>52.05</v>
      </c>
      <c r="F181" s="6">
        <v>4048417</v>
      </c>
    </row>
    <row r="182" spans="1:6" x14ac:dyDescent="0.2">
      <c r="A182" s="4">
        <v>44729</v>
      </c>
      <c r="B182" s="5">
        <v>51.774999999999999</v>
      </c>
      <c r="C182" s="5">
        <v>52.068800000000003</v>
      </c>
      <c r="D182" s="5">
        <v>51.456200000000003</v>
      </c>
      <c r="E182" s="5">
        <v>51.587499999999999</v>
      </c>
      <c r="F182" s="6">
        <v>3443856</v>
      </c>
    </row>
    <row r="183" spans="1:6" x14ac:dyDescent="0.2">
      <c r="A183" s="4">
        <v>44733</v>
      </c>
      <c r="B183" s="5">
        <v>52.487499999999997</v>
      </c>
      <c r="C183" s="5">
        <v>52.5625</v>
      </c>
      <c r="D183" s="5">
        <v>52.068800000000003</v>
      </c>
      <c r="E183" s="5">
        <v>52.212499999999999</v>
      </c>
      <c r="F183" s="6">
        <v>3330401</v>
      </c>
    </row>
    <row r="184" spans="1:6" x14ac:dyDescent="0.2">
      <c r="A184" s="4">
        <v>44734</v>
      </c>
      <c r="B184" s="5">
        <v>52.412500000000001</v>
      </c>
      <c r="C184" s="5">
        <v>52.95</v>
      </c>
      <c r="D184" s="5">
        <v>52.375</v>
      </c>
      <c r="E184" s="5">
        <v>52.462499999999999</v>
      </c>
      <c r="F184" s="6">
        <v>3957356</v>
      </c>
    </row>
    <row r="185" spans="1:6" x14ac:dyDescent="0.2">
      <c r="A185" s="4">
        <v>44735</v>
      </c>
      <c r="B185" s="5">
        <v>53.15</v>
      </c>
      <c r="C185" s="5">
        <v>53.462499999999999</v>
      </c>
      <c r="D185" s="5">
        <v>52.937600000000003</v>
      </c>
      <c r="E185" s="5">
        <v>53.4375</v>
      </c>
      <c r="F185" s="6">
        <v>5061754</v>
      </c>
    </row>
    <row r="186" spans="1:6" x14ac:dyDescent="0.2">
      <c r="A186" s="4">
        <v>44736</v>
      </c>
      <c r="B186" s="5">
        <v>54.112499999999997</v>
      </c>
      <c r="C186" s="5">
        <v>54.625</v>
      </c>
      <c r="D186" s="5">
        <v>53.749299999999998</v>
      </c>
      <c r="E186" s="5">
        <v>54.612499999999997</v>
      </c>
      <c r="F186" s="6">
        <v>3148802</v>
      </c>
    </row>
    <row r="187" spans="1:6" x14ac:dyDescent="0.2">
      <c r="A187" s="4">
        <v>44739</v>
      </c>
      <c r="B187" s="5">
        <v>54.524999999999999</v>
      </c>
      <c r="C187" s="5">
        <v>54.856200000000001</v>
      </c>
      <c r="D187" s="5">
        <v>54.325000000000003</v>
      </c>
      <c r="E187" s="5">
        <v>54.625</v>
      </c>
      <c r="F187" s="6">
        <v>2877834</v>
      </c>
    </row>
    <row r="188" spans="1:6" x14ac:dyDescent="0.2">
      <c r="A188" s="4">
        <v>44740</v>
      </c>
      <c r="B188" s="5">
        <v>54.487499999999997</v>
      </c>
      <c r="C188" s="5">
        <v>54.6875</v>
      </c>
      <c r="D188" s="5">
        <v>54.075000000000003</v>
      </c>
      <c r="E188" s="5">
        <v>54.1875</v>
      </c>
      <c r="F188" s="6">
        <v>3095637</v>
      </c>
    </row>
    <row r="189" spans="1:6" x14ac:dyDescent="0.2">
      <c r="A189" s="4">
        <v>44741</v>
      </c>
      <c r="B189" s="5">
        <v>54.35</v>
      </c>
      <c r="C189" s="5">
        <v>54.9375</v>
      </c>
      <c r="D189" s="5">
        <v>54.266199999999998</v>
      </c>
      <c r="E189" s="5">
        <v>54.712499999999999</v>
      </c>
      <c r="F189" s="6">
        <v>3031954</v>
      </c>
    </row>
    <row r="190" spans="1:6" x14ac:dyDescent="0.2">
      <c r="A190" s="4">
        <v>44742</v>
      </c>
      <c r="B190" s="5">
        <v>54.024999999999999</v>
      </c>
      <c r="C190" s="5">
        <v>54.532699999999998</v>
      </c>
      <c r="D190" s="5">
        <v>53.6875</v>
      </c>
      <c r="E190" s="5">
        <v>54.412500000000001</v>
      </c>
      <c r="F190" s="6">
        <v>4819049</v>
      </c>
    </row>
    <row r="191" spans="1:6" x14ac:dyDescent="0.2">
      <c r="A191" s="4">
        <v>44743</v>
      </c>
      <c r="B191" s="5">
        <v>53.674999999999997</v>
      </c>
      <c r="C191" s="5">
        <v>54.712499999999999</v>
      </c>
      <c r="D191" s="5">
        <v>53.637500000000003</v>
      </c>
      <c r="E191" s="5">
        <v>54.6875</v>
      </c>
      <c r="F191" s="6">
        <v>2469417</v>
      </c>
    </row>
    <row r="192" spans="1:6" x14ac:dyDescent="0.2">
      <c r="A192" s="4">
        <v>44747</v>
      </c>
      <c r="B192" s="5">
        <v>53.962499999999999</v>
      </c>
      <c r="C192" s="5">
        <v>54.156300000000002</v>
      </c>
      <c r="D192" s="5">
        <v>53.4</v>
      </c>
      <c r="E192" s="5">
        <v>54.125</v>
      </c>
      <c r="F192" s="6">
        <v>3788969</v>
      </c>
    </row>
    <row r="193" spans="1:6" x14ac:dyDescent="0.2">
      <c r="A193" s="4">
        <v>44748</v>
      </c>
      <c r="B193" s="5">
        <v>53.85</v>
      </c>
      <c r="C193" s="5">
        <v>54.2438</v>
      </c>
      <c r="D193" s="5">
        <v>53.587499999999999</v>
      </c>
      <c r="E193" s="5">
        <v>53.887500000000003</v>
      </c>
      <c r="F193" s="6">
        <v>3646773</v>
      </c>
    </row>
    <row r="194" spans="1:6" x14ac:dyDescent="0.2">
      <c r="A194" s="4">
        <v>44749</v>
      </c>
      <c r="B194" s="5">
        <v>54.137500000000003</v>
      </c>
      <c r="C194" s="5">
        <v>54.412500000000001</v>
      </c>
      <c r="D194" s="5">
        <v>54.012500000000003</v>
      </c>
      <c r="E194" s="5">
        <v>54.15</v>
      </c>
      <c r="F194" s="6">
        <v>4070521</v>
      </c>
    </row>
    <row r="195" spans="1:6" x14ac:dyDescent="0.2">
      <c r="A195" s="4">
        <v>44750</v>
      </c>
      <c r="B195" s="5">
        <v>53.037500000000001</v>
      </c>
      <c r="C195" s="5">
        <v>53.462499999999999</v>
      </c>
      <c r="D195" s="5">
        <v>52.774999999999999</v>
      </c>
      <c r="E195" s="5">
        <v>52.924999999999997</v>
      </c>
      <c r="F195" s="6">
        <v>4006117</v>
      </c>
    </row>
    <row r="196" spans="1:6" x14ac:dyDescent="0.2">
      <c r="A196" s="4">
        <v>44753</v>
      </c>
      <c r="B196" s="5">
        <v>52.8</v>
      </c>
      <c r="C196" s="5">
        <v>53.244900000000001</v>
      </c>
      <c r="D196" s="5">
        <v>52.731299999999997</v>
      </c>
      <c r="E196" s="5">
        <v>52.837499999999999</v>
      </c>
      <c r="F196" s="6">
        <v>3269029</v>
      </c>
    </row>
    <row r="197" spans="1:6" x14ac:dyDescent="0.2">
      <c r="A197" s="4">
        <v>44754</v>
      </c>
      <c r="B197" s="5">
        <v>52.6875</v>
      </c>
      <c r="C197" s="5">
        <v>52.75</v>
      </c>
      <c r="D197" s="5">
        <v>51.712499999999999</v>
      </c>
      <c r="E197" s="5">
        <v>51.8</v>
      </c>
      <c r="F197" s="6">
        <v>4473310</v>
      </c>
    </row>
    <row r="198" spans="1:6" x14ac:dyDescent="0.2">
      <c r="A198" s="4">
        <v>44755</v>
      </c>
      <c r="B198" s="5">
        <v>50.962499999999999</v>
      </c>
      <c r="C198" s="5">
        <v>51.387500000000003</v>
      </c>
      <c r="D198" s="5">
        <v>50.8</v>
      </c>
      <c r="E198" s="5">
        <v>51.15</v>
      </c>
      <c r="F198" s="6">
        <v>8206480</v>
      </c>
    </row>
    <row r="199" spans="1:6" x14ac:dyDescent="0.2">
      <c r="A199" s="4">
        <v>44756</v>
      </c>
      <c r="B199" s="5">
        <v>50.15</v>
      </c>
      <c r="C199" s="5">
        <v>50.324199999999998</v>
      </c>
      <c r="D199" s="5">
        <v>49.825000000000003</v>
      </c>
      <c r="E199" s="5">
        <v>50.274999999999999</v>
      </c>
      <c r="F199" s="6">
        <v>6762038</v>
      </c>
    </row>
    <row r="200" spans="1:6" x14ac:dyDescent="0.2">
      <c r="A200" s="4">
        <v>44757</v>
      </c>
      <c r="B200" s="5">
        <v>50.75</v>
      </c>
      <c r="C200" s="5">
        <v>51.575000000000003</v>
      </c>
      <c r="D200" s="5">
        <v>50.575000000000003</v>
      </c>
      <c r="E200" s="5">
        <v>51.5625</v>
      </c>
      <c r="F200" s="6">
        <v>7355547</v>
      </c>
    </row>
    <row r="201" spans="1:6" x14ac:dyDescent="0.2">
      <c r="A201" s="4">
        <v>44760</v>
      </c>
      <c r="B201" s="5">
        <v>51.518799999999999</v>
      </c>
      <c r="C201" s="5">
        <v>51.8125</v>
      </c>
      <c r="D201" s="5">
        <v>50.418799999999997</v>
      </c>
      <c r="E201" s="5">
        <v>50.512500000000003</v>
      </c>
      <c r="F201" s="6">
        <v>3730067</v>
      </c>
    </row>
    <row r="202" spans="1:6" x14ac:dyDescent="0.2">
      <c r="A202" s="4">
        <v>44761</v>
      </c>
      <c r="B202" s="5">
        <v>44.34</v>
      </c>
      <c r="C202" s="5">
        <v>44.75</v>
      </c>
      <c r="D202" s="5">
        <v>42.09</v>
      </c>
      <c r="E202" s="5">
        <v>43.91</v>
      </c>
      <c r="F202" s="6">
        <v>519518</v>
      </c>
    </row>
    <row r="203" spans="1:6" x14ac:dyDescent="0.2">
      <c r="A203" s="4">
        <v>44762</v>
      </c>
      <c r="B203" s="5">
        <v>43.7</v>
      </c>
      <c r="C203" s="5">
        <v>43.7</v>
      </c>
      <c r="D203" s="5">
        <v>41.6</v>
      </c>
      <c r="E203" s="5">
        <v>41.6</v>
      </c>
      <c r="F203" s="6">
        <v>617725</v>
      </c>
    </row>
    <row r="204" spans="1:6" x14ac:dyDescent="0.2">
      <c r="A204" s="4">
        <v>44763</v>
      </c>
      <c r="B204" s="5">
        <v>42.14</v>
      </c>
      <c r="C204" s="5">
        <v>42.3</v>
      </c>
      <c r="D204" s="5">
        <v>41.68</v>
      </c>
      <c r="E204" s="5">
        <v>41.98</v>
      </c>
      <c r="F204" s="6">
        <v>218279</v>
      </c>
    </row>
    <row r="205" spans="1:6" x14ac:dyDescent="0.2">
      <c r="A205" s="4">
        <v>44764</v>
      </c>
      <c r="B205" s="5">
        <v>41.95</v>
      </c>
      <c r="C205" s="5">
        <v>42.43</v>
      </c>
      <c r="D205" s="5">
        <v>41.89</v>
      </c>
      <c r="E205" s="5">
        <v>42.29</v>
      </c>
      <c r="F205" s="6">
        <v>3341690</v>
      </c>
    </row>
    <row r="206" spans="1:6" x14ac:dyDescent="0.2">
      <c r="A206" s="4">
        <v>44767</v>
      </c>
      <c r="B206" s="5">
        <v>42.61</v>
      </c>
      <c r="C206" s="5">
        <v>42.69</v>
      </c>
      <c r="D206" s="5">
        <v>42.02</v>
      </c>
      <c r="E206" s="5">
        <v>42.16</v>
      </c>
      <c r="F206" s="6">
        <v>4837035</v>
      </c>
    </row>
    <row r="207" spans="1:6" x14ac:dyDescent="0.2">
      <c r="A207" s="4">
        <v>44768</v>
      </c>
      <c r="B207" s="5">
        <v>42.05</v>
      </c>
      <c r="C207" s="5">
        <v>42.68</v>
      </c>
      <c r="D207" s="5">
        <v>41.98</v>
      </c>
      <c r="E207" s="5">
        <v>42.52</v>
      </c>
      <c r="F207" s="6">
        <v>5246446</v>
      </c>
    </row>
    <row r="208" spans="1:6" x14ac:dyDescent="0.2">
      <c r="A208" s="4">
        <v>44769</v>
      </c>
      <c r="B208" s="5">
        <v>42.28</v>
      </c>
      <c r="C208" s="5">
        <v>43.7</v>
      </c>
      <c r="D208" s="5">
        <v>42.08</v>
      </c>
      <c r="E208" s="5">
        <v>43.54</v>
      </c>
      <c r="F208" s="6">
        <v>4885153</v>
      </c>
    </row>
    <row r="209" spans="1:6" x14ac:dyDescent="0.2">
      <c r="A209" s="4">
        <v>44770</v>
      </c>
      <c r="B209" s="5">
        <v>42.87</v>
      </c>
      <c r="C209" s="5">
        <v>43.26</v>
      </c>
      <c r="D209" s="5">
        <v>42.255000000000003</v>
      </c>
      <c r="E209" s="5">
        <v>42.93</v>
      </c>
      <c r="F209" s="6">
        <v>6326394</v>
      </c>
    </row>
    <row r="210" spans="1:6" x14ac:dyDescent="0.2">
      <c r="A210" s="4">
        <v>44771</v>
      </c>
      <c r="B210" s="5">
        <v>42.32</v>
      </c>
      <c r="C210" s="5">
        <v>42.58</v>
      </c>
      <c r="D210" s="5">
        <v>41.96</v>
      </c>
      <c r="E210" s="5">
        <v>42.17</v>
      </c>
      <c r="F210" s="6">
        <v>5022739</v>
      </c>
    </row>
    <row r="211" spans="1:6" x14ac:dyDescent="0.2">
      <c r="A211" s="4">
        <v>44774</v>
      </c>
      <c r="B211" s="5">
        <v>42.16</v>
      </c>
      <c r="C211" s="5">
        <v>42.25</v>
      </c>
      <c r="D211" s="5">
        <v>41.49</v>
      </c>
      <c r="E211" s="5">
        <v>41.63</v>
      </c>
      <c r="F211" s="6">
        <v>5712520</v>
      </c>
    </row>
    <row r="212" spans="1:6" x14ac:dyDescent="0.2">
      <c r="A212" s="4">
        <v>44775</v>
      </c>
      <c r="B212" s="5">
        <v>41.67</v>
      </c>
      <c r="C212" s="5">
        <v>41.91</v>
      </c>
      <c r="D212" s="5">
        <v>41.11</v>
      </c>
      <c r="E212" s="5">
        <v>41.18</v>
      </c>
      <c r="F212" s="6">
        <v>4398076</v>
      </c>
    </row>
    <row r="213" spans="1:6" x14ac:dyDescent="0.2">
      <c r="A213" s="4">
        <v>44776</v>
      </c>
      <c r="B213" s="5">
        <v>41.06</v>
      </c>
      <c r="C213" s="5">
        <v>41.1601</v>
      </c>
      <c r="D213" s="5">
        <v>40.770000000000003</v>
      </c>
      <c r="E213" s="5">
        <v>40.82</v>
      </c>
      <c r="F213" s="6">
        <v>2911416</v>
      </c>
    </row>
    <row r="214" spans="1:6" x14ac:dyDescent="0.2">
      <c r="A214" s="4">
        <v>44777</v>
      </c>
      <c r="B214" s="5">
        <v>40.93</v>
      </c>
      <c r="C214" s="5">
        <v>40.97</v>
      </c>
      <c r="D214" s="5">
        <v>40.49</v>
      </c>
      <c r="E214" s="5">
        <v>40.6</v>
      </c>
      <c r="F214" s="6">
        <v>3254597</v>
      </c>
    </row>
    <row r="215" spans="1:6" x14ac:dyDescent="0.2">
      <c r="A215" s="4">
        <v>44778</v>
      </c>
      <c r="B215" s="5">
        <v>40.090000000000003</v>
      </c>
      <c r="C215" s="5">
        <v>40.634999999999998</v>
      </c>
      <c r="D215" s="5">
        <v>40.07</v>
      </c>
      <c r="E215" s="5">
        <v>40.57</v>
      </c>
      <c r="F215" s="6">
        <v>3820916</v>
      </c>
    </row>
    <row r="216" spans="1:6" x14ac:dyDescent="0.2">
      <c r="A216" s="4">
        <v>44781</v>
      </c>
      <c r="B216" s="5">
        <v>40.56</v>
      </c>
      <c r="C216" s="5">
        <v>40.656399999999998</v>
      </c>
      <c r="D216" s="5">
        <v>40.18</v>
      </c>
      <c r="E216" s="5">
        <v>40.31</v>
      </c>
      <c r="F216" s="6">
        <v>2890956</v>
      </c>
    </row>
    <row r="217" spans="1:6" x14ac:dyDescent="0.2">
      <c r="A217" s="4">
        <v>44782</v>
      </c>
      <c r="B217" s="5">
        <v>40.21</v>
      </c>
      <c r="C217" s="5">
        <v>40.33</v>
      </c>
      <c r="D217" s="5">
        <v>39.950000000000003</v>
      </c>
      <c r="E217" s="5">
        <v>40.03</v>
      </c>
      <c r="F217" s="6">
        <v>6337325</v>
      </c>
    </row>
    <row r="218" spans="1:6" x14ac:dyDescent="0.2">
      <c r="A218" s="4">
        <v>44783</v>
      </c>
      <c r="B218" s="5">
        <v>39.17</v>
      </c>
      <c r="C218" s="5">
        <v>39.33</v>
      </c>
      <c r="D218" s="5">
        <v>37.774999999999999</v>
      </c>
      <c r="E218" s="5">
        <v>38.299999999999997</v>
      </c>
      <c r="F218" s="6">
        <v>15665260</v>
      </c>
    </row>
    <row r="219" spans="1:6" x14ac:dyDescent="0.2">
      <c r="A219" s="4">
        <v>44784</v>
      </c>
      <c r="B219" s="5">
        <v>34.979999999999997</v>
      </c>
      <c r="C219" s="5">
        <v>35.99</v>
      </c>
      <c r="D219" s="5">
        <v>34.5</v>
      </c>
      <c r="E219" s="5">
        <v>35.729999999999997</v>
      </c>
      <c r="F219" s="6">
        <v>35389910</v>
      </c>
    </row>
    <row r="220" spans="1:6" x14ac:dyDescent="0.2">
      <c r="A220" s="4">
        <v>44785</v>
      </c>
      <c r="B220" s="5">
        <v>35.99</v>
      </c>
      <c r="C220" s="5">
        <v>36.15</v>
      </c>
      <c r="D220" s="5">
        <v>35.26</v>
      </c>
      <c r="E220" s="5">
        <v>36.03</v>
      </c>
      <c r="F220" s="6">
        <v>11969300</v>
      </c>
    </row>
    <row r="221" spans="1:6" x14ac:dyDescent="0.2">
      <c r="A221" s="4">
        <v>44788</v>
      </c>
      <c r="B221" s="5">
        <v>34.53</v>
      </c>
      <c r="C221" s="5">
        <v>35.229999999999997</v>
      </c>
      <c r="D221" s="5">
        <v>34.414999999999999</v>
      </c>
      <c r="E221" s="5">
        <v>34.950000000000003</v>
      </c>
      <c r="F221" s="6">
        <v>15402890</v>
      </c>
    </row>
    <row r="222" spans="1:6" x14ac:dyDescent="0.2">
      <c r="A222" s="4">
        <v>44789</v>
      </c>
      <c r="B222" s="5">
        <v>35.03</v>
      </c>
      <c r="C222" s="5">
        <v>35.54</v>
      </c>
      <c r="D222" s="5">
        <v>34.86</v>
      </c>
      <c r="E222" s="5">
        <v>35.26</v>
      </c>
      <c r="F222" s="6">
        <v>11687460</v>
      </c>
    </row>
    <row r="223" spans="1:6" x14ac:dyDescent="0.2">
      <c r="A223" s="4">
        <v>44790</v>
      </c>
      <c r="B223" s="5">
        <v>34.58</v>
      </c>
      <c r="C223" s="5">
        <v>34.93</v>
      </c>
      <c r="D223" s="5">
        <v>34.25</v>
      </c>
      <c r="E223" s="5">
        <v>34.700000000000003</v>
      </c>
      <c r="F223" s="6">
        <v>11519100</v>
      </c>
    </row>
    <row r="224" spans="1:6" x14ac:dyDescent="0.2">
      <c r="A224" s="4">
        <v>44791</v>
      </c>
      <c r="B224" s="5">
        <v>34.590000000000003</v>
      </c>
      <c r="C224" s="5">
        <v>34.6</v>
      </c>
      <c r="D224" s="5">
        <v>33.89</v>
      </c>
      <c r="E224" s="5">
        <v>34.25</v>
      </c>
      <c r="F224" s="6">
        <v>6992063</v>
      </c>
    </row>
    <row r="225" spans="1:6" x14ac:dyDescent="0.2">
      <c r="A225" s="4">
        <v>44792</v>
      </c>
      <c r="B225" s="5">
        <v>34.28</v>
      </c>
      <c r="C225" s="5">
        <v>34.49</v>
      </c>
      <c r="D225" s="5">
        <v>34.04</v>
      </c>
      <c r="E225" s="5">
        <v>34.06</v>
      </c>
      <c r="F225" s="6">
        <v>4888867</v>
      </c>
    </row>
    <row r="226" spans="1:6" x14ac:dyDescent="0.2">
      <c r="A226" s="4">
        <v>44795</v>
      </c>
      <c r="B226" s="5">
        <v>34.020000000000003</v>
      </c>
      <c r="C226" s="5">
        <v>34.25</v>
      </c>
      <c r="D226" s="5">
        <v>33.94</v>
      </c>
      <c r="E226" s="5">
        <v>34.049999999999997</v>
      </c>
      <c r="F226" s="6">
        <v>5461909</v>
      </c>
    </row>
    <row r="227" spans="1:6" x14ac:dyDescent="0.2">
      <c r="A227" s="4">
        <v>44796</v>
      </c>
      <c r="B227" s="5">
        <v>33.75</v>
      </c>
      <c r="C227" s="5">
        <v>33.85</v>
      </c>
      <c r="D227" s="5">
        <v>33.53</v>
      </c>
      <c r="E227" s="5">
        <v>33.729999999999997</v>
      </c>
      <c r="F227" s="6">
        <v>6075138</v>
      </c>
    </row>
    <row r="228" spans="1:6" x14ac:dyDescent="0.2">
      <c r="A228" s="4">
        <v>44797</v>
      </c>
      <c r="B228" s="5">
        <v>33.299999999999997</v>
      </c>
      <c r="C228" s="5">
        <v>33.630000000000003</v>
      </c>
      <c r="D228" s="5">
        <v>33.17</v>
      </c>
      <c r="E228" s="5">
        <v>33.53</v>
      </c>
      <c r="F228" s="6">
        <v>5800551</v>
      </c>
    </row>
    <row r="229" spans="1:6" x14ac:dyDescent="0.2">
      <c r="A229" s="4">
        <v>44798</v>
      </c>
      <c r="B229" s="5">
        <v>33.53</v>
      </c>
      <c r="C229" s="5">
        <v>33.74</v>
      </c>
      <c r="D229" s="5">
        <v>33.255000000000003</v>
      </c>
      <c r="E229" s="5">
        <v>33.729999999999997</v>
      </c>
      <c r="F229" s="6">
        <v>6393338</v>
      </c>
    </row>
    <row r="230" spans="1:6" x14ac:dyDescent="0.2">
      <c r="A230" s="4">
        <v>44799</v>
      </c>
      <c r="B230" s="5">
        <v>33.78</v>
      </c>
      <c r="C230" s="5">
        <v>34.06</v>
      </c>
      <c r="D230" s="5">
        <v>33.1</v>
      </c>
      <c r="E230" s="5">
        <v>33.19</v>
      </c>
      <c r="F230" s="6">
        <v>8173645</v>
      </c>
    </row>
    <row r="231" spans="1:6" x14ac:dyDescent="0.2">
      <c r="A231" s="4">
        <v>44802</v>
      </c>
      <c r="B231" s="5">
        <v>33.08</v>
      </c>
      <c r="C231" s="5">
        <v>33.229999999999997</v>
      </c>
      <c r="D231" s="5">
        <v>32.979999999999997</v>
      </c>
      <c r="E231" s="5">
        <v>33.11</v>
      </c>
      <c r="F231" s="6">
        <v>3794604</v>
      </c>
    </row>
    <row r="232" spans="1:6" x14ac:dyDescent="0.2">
      <c r="A232" s="4">
        <v>44803</v>
      </c>
      <c r="B232" s="5">
        <v>33.229999999999997</v>
      </c>
      <c r="C232" s="5">
        <v>33.29</v>
      </c>
      <c r="D232" s="5">
        <v>32.914999999999999</v>
      </c>
      <c r="E232" s="5">
        <v>32.96</v>
      </c>
      <c r="F232" s="6">
        <v>3994687</v>
      </c>
    </row>
    <row r="233" spans="1:6" x14ac:dyDescent="0.2">
      <c r="A233" s="4">
        <v>44804</v>
      </c>
      <c r="B233" s="5">
        <v>32.79</v>
      </c>
      <c r="C233" s="5">
        <v>32.880499999999998</v>
      </c>
      <c r="D233" s="5">
        <v>32.46</v>
      </c>
      <c r="E233" s="5">
        <v>32.479999999999997</v>
      </c>
      <c r="F233" s="6">
        <v>4291830</v>
      </c>
    </row>
    <row r="234" spans="1:6" x14ac:dyDescent="0.2">
      <c r="A234" s="4">
        <v>44805</v>
      </c>
      <c r="B234" s="5">
        <v>31.83</v>
      </c>
      <c r="C234" s="5">
        <v>31.99</v>
      </c>
      <c r="D234" s="5">
        <v>31.61</v>
      </c>
      <c r="E234" s="5">
        <v>31.69</v>
      </c>
      <c r="F234" s="6">
        <v>12390910</v>
      </c>
    </row>
    <row r="235" spans="1:6" x14ac:dyDescent="0.2">
      <c r="A235" s="4">
        <v>44806</v>
      </c>
      <c r="B235" s="5">
        <v>31.6</v>
      </c>
      <c r="C235" s="5">
        <v>31.97</v>
      </c>
      <c r="D235" s="5">
        <v>31.47</v>
      </c>
      <c r="E235" s="5">
        <v>31.85</v>
      </c>
      <c r="F235" s="6">
        <v>8153482</v>
      </c>
    </row>
    <row r="236" spans="1:6" x14ac:dyDescent="0.2">
      <c r="A236" s="4">
        <v>44810</v>
      </c>
      <c r="B236" s="5">
        <v>31.65</v>
      </c>
      <c r="C236" s="5">
        <v>31.76</v>
      </c>
      <c r="D236" s="5">
        <v>31.37</v>
      </c>
      <c r="E236" s="5">
        <v>31.47</v>
      </c>
      <c r="F236" s="6">
        <v>5613948</v>
      </c>
    </row>
    <row r="237" spans="1:6" x14ac:dyDescent="0.2">
      <c r="A237" s="4">
        <v>44811</v>
      </c>
      <c r="B237" s="5">
        <v>31.21</v>
      </c>
      <c r="C237" s="5">
        <v>31.59</v>
      </c>
      <c r="D237" s="5">
        <v>31.155000000000001</v>
      </c>
      <c r="E237" s="5">
        <v>31.49</v>
      </c>
      <c r="F237" s="6">
        <v>4821980</v>
      </c>
    </row>
    <row r="238" spans="1:6" x14ac:dyDescent="0.2">
      <c r="A238" s="4">
        <v>44812</v>
      </c>
      <c r="B238" s="5">
        <v>30.91</v>
      </c>
      <c r="C238" s="5">
        <v>31.54</v>
      </c>
      <c r="D238" s="5">
        <v>30.83</v>
      </c>
      <c r="E238" s="5">
        <v>31.51</v>
      </c>
      <c r="F238" s="6">
        <v>6620860</v>
      </c>
    </row>
    <row r="239" spans="1:6" x14ac:dyDescent="0.2">
      <c r="A239" s="4">
        <v>44813</v>
      </c>
      <c r="B239" s="5">
        <v>31.95</v>
      </c>
      <c r="C239" s="5">
        <v>31.97</v>
      </c>
      <c r="D239" s="5">
        <v>31.73</v>
      </c>
      <c r="E239" s="5">
        <v>31.89</v>
      </c>
      <c r="F239" s="6">
        <v>3558135</v>
      </c>
    </row>
    <row r="240" spans="1:6" x14ac:dyDescent="0.2">
      <c r="A240" s="4">
        <v>44816</v>
      </c>
      <c r="B240" s="5">
        <v>32.35</v>
      </c>
      <c r="C240" s="5">
        <v>32.89</v>
      </c>
      <c r="D240" s="5">
        <v>32.32</v>
      </c>
      <c r="E240" s="5">
        <v>32.450000000000003</v>
      </c>
      <c r="F240" s="6">
        <v>7797599</v>
      </c>
    </row>
    <row r="241" spans="1:6" x14ac:dyDescent="0.2">
      <c r="A241" s="4">
        <v>44817</v>
      </c>
      <c r="B241" s="5">
        <v>32</v>
      </c>
      <c r="C241" s="5">
        <v>32.1</v>
      </c>
      <c r="D241" s="5">
        <v>31.61</v>
      </c>
      <c r="E241" s="5">
        <v>31.63</v>
      </c>
      <c r="F241" s="6">
        <v>5225519</v>
      </c>
    </row>
    <row r="242" spans="1:6" x14ac:dyDescent="0.2">
      <c r="A242" s="4">
        <v>44818</v>
      </c>
      <c r="B242" s="5">
        <v>31.44</v>
      </c>
      <c r="C242" s="5">
        <v>31.57</v>
      </c>
      <c r="D242" s="5">
        <v>31.05</v>
      </c>
      <c r="E242" s="5">
        <v>31.2</v>
      </c>
      <c r="F242" s="6">
        <v>5313748</v>
      </c>
    </row>
    <row r="243" spans="1:6" x14ac:dyDescent="0.2">
      <c r="A243" s="4">
        <v>44819</v>
      </c>
      <c r="B243" s="5">
        <v>31.1</v>
      </c>
      <c r="C243" s="5">
        <v>31.39</v>
      </c>
      <c r="D243" s="5">
        <v>30.95</v>
      </c>
      <c r="E243" s="5">
        <v>31.02</v>
      </c>
      <c r="F243" s="6">
        <v>7691042</v>
      </c>
    </row>
    <row r="244" spans="1:6" x14ac:dyDescent="0.2">
      <c r="A244" s="4">
        <v>44820</v>
      </c>
      <c r="B244" s="5">
        <v>30.76</v>
      </c>
      <c r="C244" s="5">
        <v>30.97</v>
      </c>
      <c r="D244" s="5">
        <v>30.49</v>
      </c>
      <c r="E244" s="5">
        <v>30.83</v>
      </c>
      <c r="F244" s="6">
        <v>9665974</v>
      </c>
    </row>
    <row r="245" spans="1:6" x14ac:dyDescent="0.2">
      <c r="A245" s="4">
        <v>44823</v>
      </c>
      <c r="B245" s="5">
        <v>30.66</v>
      </c>
      <c r="C245" s="5">
        <v>30.855</v>
      </c>
      <c r="D245" s="5">
        <v>30.53</v>
      </c>
      <c r="E245" s="5">
        <v>30.78</v>
      </c>
      <c r="F245" s="6">
        <v>5832750</v>
      </c>
    </row>
    <row r="246" spans="1:6" x14ac:dyDescent="0.2">
      <c r="A246" s="4">
        <v>44824</v>
      </c>
      <c r="B246" s="5">
        <v>30.56</v>
      </c>
      <c r="C246" s="5">
        <v>30.62</v>
      </c>
      <c r="D246" s="5">
        <v>30.26</v>
      </c>
      <c r="E246" s="5">
        <v>30.49</v>
      </c>
      <c r="F246" s="6">
        <v>5313930</v>
      </c>
    </row>
    <row r="247" spans="1:6" x14ac:dyDescent="0.2">
      <c r="A247" s="4">
        <v>44825</v>
      </c>
      <c r="B247" s="5">
        <v>30.34</v>
      </c>
      <c r="C247" s="5">
        <v>30.36</v>
      </c>
      <c r="D247" s="5">
        <v>29.725000000000001</v>
      </c>
      <c r="E247" s="5">
        <v>29.77</v>
      </c>
      <c r="F247" s="6">
        <v>6286689</v>
      </c>
    </row>
    <row r="248" spans="1:6" x14ac:dyDescent="0.2">
      <c r="A248" s="4">
        <v>44826</v>
      </c>
      <c r="B248" s="5">
        <v>29.56</v>
      </c>
      <c r="C248" s="5">
        <v>30.16</v>
      </c>
      <c r="D248" s="5">
        <v>29.535</v>
      </c>
      <c r="E248" s="5">
        <v>30.01</v>
      </c>
      <c r="F248" s="6">
        <v>7544519</v>
      </c>
    </row>
    <row r="249" spans="1:6" x14ac:dyDescent="0.2">
      <c r="A249" s="4">
        <v>44827</v>
      </c>
      <c r="B249" s="5">
        <v>29.45</v>
      </c>
      <c r="C249" s="5">
        <v>29.63</v>
      </c>
      <c r="D249" s="5">
        <v>29.09</v>
      </c>
      <c r="E249" s="5">
        <v>29.36</v>
      </c>
      <c r="F249" s="6">
        <v>9076338</v>
      </c>
    </row>
    <row r="250" spans="1:6" x14ac:dyDescent="0.2">
      <c r="A250" s="4">
        <v>44830</v>
      </c>
      <c r="B250" s="5">
        <v>29.06</v>
      </c>
      <c r="C250" s="5">
        <v>29.27</v>
      </c>
      <c r="D250" s="5">
        <v>28.465</v>
      </c>
      <c r="E250" s="5">
        <v>28.82</v>
      </c>
      <c r="F250" s="6">
        <v>12328930</v>
      </c>
    </row>
    <row r="251" spans="1:6" x14ac:dyDescent="0.2">
      <c r="A251" s="4">
        <v>44831</v>
      </c>
      <c r="B251" s="5">
        <v>29.2</v>
      </c>
      <c r="C251" s="5">
        <v>29.38</v>
      </c>
      <c r="D251" s="5">
        <v>28.6</v>
      </c>
      <c r="E251" s="5">
        <v>28.66</v>
      </c>
      <c r="F251" s="6">
        <v>6662009</v>
      </c>
    </row>
    <row r="252" spans="1:6" x14ac:dyDescent="0.2">
      <c r="A252" s="4">
        <v>44832</v>
      </c>
      <c r="B252" s="5">
        <v>28.98</v>
      </c>
      <c r="C252" s="5">
        <v>29.6</v>
      </c>
      <c r="D252" s="5">
        <v>28.774999999999999</v>
      </c>
      <c r="E252" s="5">
        <v>29.46</v>
      </c>
      <c r="F252" s="6">
        <v>8868378</v>
      </c>
    </row>
    <row r="253" spans="1:6" x14ac:dyDescent="0.2">
      <c r="A253" s="4">
        <v>44833</v>
      </c>
      <c r="B253" s="5">
        <v>29.42</v>
      </c>
      <c r="C253" s="5">
        <v>29.574999999999999</v>
      </c>
      <c r="D253" s="5">
        <v>29.07</v>
      </c>
      <c r="E253" s="5">
        <v>29.36</v>
      </c>
      <c r="F253" s="6">
        <v>7718987</v>
      </c>
    </row>
    <row r="254" spans="1:6" x14ac:dyDescent="0.2">
      <c r="A254" s="4">
        <v>44834</v>
      </c>
      <c r="B254" s="5">
        <v>29.46</v>
      </c>
      <c r="C254" s="5">
        <v>29.695</v>
      </c>
      <c r="D254" s="5">
        <v>29.38</v>
      </c>
      <c r="E254" s="5">
        <v>29.43</v>
      </c>
      <c r="F254" s="6">
        <v>6652396</v>
      </c>
    </row>
    <row r="255" spans="1:6" x14ac:dyDescent="0.2">
      <c r="A255" s="4">
        <v>44837</v>
      </c>
      <c r="B255" s="5">
        <v>29.9</v>
      </c>
      <c r="C255" s="5">
        <v>30.41</v>
      </c>
      <c r="D255" s="5">
        <v>29.76</v>
      </c>
      <c r="E255" s="5">
        <v>30.25</v>
      </c>
      <c r="F255" s="6">
        <v>6139676</v>
      </c>
    </row>
    <row r="256" spans="1:6" x14ac:dyDescent="0.2">
      <c r="A256" s="4">
        <v>44838</v>
      </c>
      <c r="B256" s="5">
        <v>30.73</v>
      </c>
      <c r="C256" s="5">
        <v>31.014500000000002</v>
      </c>
      <c r="D256" s="5">
        <v>30.57</v>
      </c>
      <c r="E256" s="5">
        <v>30.71</v>
      </c>
      <c r="F256" s="6">
        <v>7889212</v>
      </c>
    </row>
    <row r="257" spans="1:6" x14ac:dyDescent="0.2">
      <c r="A257" s="4">
        <v>44839</v>
      </c>
      <c r="B257" s="5">
        <v>30.21</v>
      </c>
      <c r="C257" s="5">
        <v>30.59</v>
      </c>
      <c r="D257" s="5">
        <v>30.170999999999999</v>
      </c>
      <c r="E257" s="5">
        <v>30.41</v>
      </c>
      <c r="F257" s="6">
        <v>5803829</v>
      </c>
    </row>
    <row r="258" spans="1:6" x14ac:dyDescent="0.2">
      <c r="A258" s="4">
        <v>44840</v>
      </c>
      <c r="B258" s="5">
        <v>30.03</v>
      </c>
      <c r="C258" s="5">
        <v>30.19</v>
      </c>
      <c r="D258" s="5">
        <v>29.84</v>
      </c>
      <c r="E258" s="5">
        <v>30</v>
      </c>
      <c r="F258" s="6">
        <v>6231970</v>
      </c>
    </row>
    <row r="259" spans="1:6" x14ac:dyDescent="0.2">
      <c r="A259" s="4">
        <v>44841</v>
      </c>
      <c r="B259" s="5">
        <v>30.19</v>
      </c>
      <c r="C259" s="5">
        <v>30.42</v>
      </c>
      <c r="D259" s="5">
        <v>30.04</v>
      </c>
      <c r="E259" s="5">
        <v>30.11</v>
      </c>
      <c r="F259" s="6">
        <v>5487173</v>
      </c>
    </row>
    <row r="260" spans="1:6" x14ac:dyDescent="0.2">
      <c r="A260" s="4">
        <v>44844</v>
      </c>
      <c r="B260" s="5">
        <v>30.1</v>
      </c>
      <c r="C260" s="5">
        <v>30.29</v>
      </c>
      <c r="D260" s="5">
        <v>30.015000000000001</v>
      </c>
      <c r="E260" s="5">
        <v>30.19</v>
      </c>
      <c r="F260" s="6">
        <v>4554711</v>
      </c>
    </row>
    <row r="261" spans="1:6" x14ac:dyDescent="0.2">
      <c r="A261" s="4">
        <v>44845</v>
      </c>
      <c r="B261" s="5">
        <v>30.44</v>
      </c>
      <c r="C261" s="5">
        <v>31.07</v>
      </c>
      <c r="D261" s="5">
        <v>30.335000000000001</v>
      </c>
      <c r="E261" s="5">
        <v>30.43</v>
      </c>
      <c r="F261" s="6">
        <v>5941819</v>
      </c>
    </row>
    <row r="262" spans="1:6" x14ac:dyDescent="0.2">
      <c r="A262" s="4">
        <v>44846</v>
      </c>
      <c r="B262" s="5">
        <v>30.43</v>
      </c>
      <c r="C262" s="5">
        <v>30.635000000000002</v>
      </c>
      <c r="D262" s="5">
        <v>30.32</v>
      </c>
      <c r="E262" s="5">
        <v>30.37</v>
      </c>
      <c r="F262" s="6">
        <v>6058468</v>
      </c>
    </row>
    <row r="263" spans="1:6" x14ac:dyDescent="0.2">
      <c r="A263" s="4">
        <v>44847</v>
      </c>
      <c r="B263" s="5">
        <v>29.98</v>
      </c>
      <c r="C263" s="5">
        <v>30.86</v>
      </c>
      <c r="D263" s="5">
        <v>29.76</v>
      </c>
      <c r="E263" s="5">
        <v>30.65</v>
      </c>
      <c r="F263" s="6">
        <v>6199522</v>
      </c>
    </row>
    <row r="264" spans="1:6" x14ac:dyDescent="0.2">
      <c r="A264" s="4">
        <v>44848</v>
      </c>
      <c r="B264" s="5">
        <v>30.83</v>
      </c>
      <c r="C264" s="5">
        <v>31.035</v>
      </c>
      <c r="D264" s="5">
        <v>30.6</v>
      </c>
      <c r="E264" s="5">
        <v>30.71</v>
      </c>
      <c r="F264" s="6">
        <v>5553531</v>
      </c>
    </row>
    <row r="265" spans="1:6" x14ac:dyDescent="0.2">
      <c r="A265" s="4">
        <v>44851</v>
      </c>
      <c r="B265" s="5">
        <v>31.37</v>
      </c>
      <c r="C265" s="5">
        <v>31.58</v>
      </c>
      <c r="D265" s="5">
        <v>31.21</v>
      </c>
      <c r="E265" s="5">
        <v>31.3</v>
      </c>
      <c r="F265" s="6">
        <v>5061729</v>
      </c>
    </row>
    <row r="266" spans="1:6" x14ac:dyDescent="0.2">
      <c r="A266" s="4">
        <v>44852</v>
      </c>
      <c r="B266" s="5">
        <v>31.28</v>
      </c>
      <c r="C266" s="5">
        <v>31.35</v>
      </c>
      <c r="D266" s="5">
        <v>31.06</v>
      </c>
      <c r="E266" s="5">
        <v>31.25</v>
      </c>
      <c r="F266" s="6">
        <v>4094509</v>
      </c>
    </row>
    <row r="267" spans="1:6" x14ac:dyDescent="0.2">
      <c r="A267" s="4">
        <v>44853</v>
      </c>
      <c r="B267" s="5">
        <v>31.55</v>
      </c>
      <c r="C267" s="5">
        <v>31.62</v>
      </c>
      <c r="D267" s="5">
        <v>31.1</v>
      </c>
      <c r="E267" s="5">
        <v>31.31</v>
      </c>
      <c r="F267" s="6">
        <v>6404352</v>
      </c>
    </row>
    <row r="268" spans="1:6" x14ac:dyDescent="0.2">
      <c r="A268" s="4">
        <v>44854</v>
      </c>
      <c r="B268" s="5">
        <v>31.18</v>
      </c>
      <c r="C268" s="5">
        <v>31.38</v>
      </c>
      <c r="D268" s="5">
        <v>30.93</v>
      </c>
      <c r="E268" s="5">
        <v>31.06</v>
      </c>
      <c r="F268" s="6">
        <v>4433716</v>
      </c>
    </row>
    <row r="269" spans="1:6" x14ac:dyDescent="0.2">
      <c r="A269" s="4">
        <v>44855</v>
      </c>
      <c r="B269" s="5">
        <v>31.19</v>
      </c>
      <c r="C269" s="5">
        <v>32.024999999999999</v>
      </c>
      <c r="D269" s="5">
        <v>31.1</v>
      </c>
      <c r="E269" s="5">
        <v>31.87</v>
      </c>
      <c r="F269" s="6">
        <v>7179725</v>
      </c>
    </row>
    <row r="270" spans="1:6" x14ac:dyDescent="0.2">
      <c r="A270" s="4">
        <v>44858</v>
      </c>
      <c r="B270" s="5">
        <v>31.64</v>
      </c>
      <c r="C270" s="5">
        <v>32.01</v>
      </c>
      <c r="D270" s="5">
        <v>31.5824</v>
      </c>
      <c r="E270" s="5">
        <v>31.76</v>
      </c>
      <c r="F270" s="6">
        <v>5601527</v>
      </c>
    </row>
    <row r="271" spans="1:6" x14ac:dyDescent="0.2">
      <c r="A271" s="4">
        <v>44859</v>
      </c>
      <c r="B271" s="5">
        <v>31.94</v>
      </c>
      <c r="C271" s="5">
        <v>32.31</v>
      </c>
      <c r="D271" s="5">
        <v>31.93</v>
      </c>
      <c r="E271" s="5">
        <v>32.24</v>
      </c>
      <c r="F271" s="6">
        <v>3578073</v>
      </c>
    </row>
    <row r="272" spans="1:6" x14ac:dyDescent="0.2">
      <c r="A272" s="4">
        <v>44860</v>
      </c>
      <c r="B272" s="5">
        <v>32.42</v>
      </c>
      <c r="C272" s="5">
        <v>32.89</v>
      </c>
      <c r="D272" s="5">
        <v>32.409999999999997</v>
      </c>
      <c r="E272" s="5">
        <v>32.69</v>
      </c>
      <c r="F272" s="6">
        <v>6538687</v>
      </c>
    </row>
    <row r="273" spans="1:6" x14ac:dyDescent="0.2">
      <c r="A273" s="4">
        <v>44861</v>
      </c>
      <c r="B273" s="5">
        <v>32.65</v>
      </c>
      <c r="C273" s="5">
        <v>32.805</v>
      </c>
      <c r="D273" s="5">
        <v>32.534999999999997</v>
      </c>
      <c r="E273" s="5">
        <v>32.72</v>
      </c>
      <c r="F273" s="6">
        <v>6020271</v>
      </c>
    </row>
    <row r="274" spans="1:6" x14ac:dyDescent="0.2">
      <c r="A274" s="4">
        <v>44862</v>
      </c>
      <c r="B274" s="5">
        <v>33.01</v>
      </c>
      <c r="C274" s="5">
        <v>33.44</v>
      </c>
      <c r="D274" s="5">
        <v>32.909999999999997</v>
      </c>
      <c r="E274" s="5">
        <v>33.270000000000003</v>
      </c>
      <c r="F274" s="6">
        <v>7602346</v>
      </c>
    </row>
    <row r="275" spans="1:6" x14ac:dyDescent="0.2">
      <c r="A275" s="4">
        <v>44865</v>
      </c>
      <c r="B275" s="5">
        <v>33.14</v>
      </c>
      <c r="C275" s="5">
        <v>33.47</v>
      </c>
      <c r="D275" s="5">
        <v>33.064999999999998</v>
      </c>
      <c r="E275" s="5">
        <v>33.17</v>
      </c>
      <c r="F275" s="6">
        <v>8704109</v>
      </c>
    </row>
    <row r="276" spans="1:6" x14ac:dyDescent="0.2">
      <c r="A276" s="4">
        <v>44866</v>
      </c>
      <c r="B276" s="5">
        <v>33.74</v>
      </c>
      <c r="C276" s="5">
        <v>33.870899999999999</v>
      </c>
      <c r="D276" s="5">
        <v>33.335000000000001</v>
      </c>
      <c r="E276" s="5">
        <v>33.46</v>
      </c>
      <c r="F276" s="6">
        <v>7928084</v>
      </c>
    </row>
    <row r="277" spans="1:6" x14ac:dyDescent="0.2">
      <c r="A277" s="4">
        <v>44867</v>
      </c>
      <c r="B277" s="5">
        <v>34.1</v>
      </c>
      <c r="C277" s="5">
        <v>34.1</v>
      </c>
      <c r="D277" s="5">
        <v>33.085000000000001</v>
      </c>
      <c r="E277" s="5">
        <v>33.119999999999997</v>
      </c>
      <c r="F277" s="6">
        <v>7007655</v>
      </c>
    </row>
    <row r="278" spans="1:6" x14ac:dyDescent="0.2">
      <c r="A278" s="4">
        <v>44868</v>
      </c>
      <c r="B278" s="5">
        <v>32.67</v>
      </c>
      <c r="C278" s="5">
        <v>32.979999999999997</v>
      </c>
      <c r="D278" s="5">
        <v>32.520000000000003</v>
      </c>
      <c r="E278" s="5">
        <v>32.840000000000003</v>
      </c>
      <c r="F278" s="6">
        <v>5478754</v>
      </c>
    </row>
    <row r="279" spans="1:6" x14ac:dyDescent="0.2">
      <c r="A279" s="4">
        <v>44869</v>
      </c>
      <c r="B279" s="5">
        <v>33.25</v>
      </c>
      <c r="C279" s="5">
        <v>33.26</v>
      </c>
      <c r="D279" s="5">
        <v>32.700000000000003</v>
      </c>
      <c r="E279" s="5">
        <v>32.99</v>
      </c>
      <c r="F279" s="6">
        <v>5385946</v>
      </c>
    </row>
    <row r="280" spans="1:6" x14ac:dyDescent="0.2">
      <c r="A280" s="4">
        <v>44872</v>
      </c>
      <c r="B280" s="5">
        <v>31.97</v>
      </c>
      <c r="C280" s="5">
        <v>32.200000000000003</v>
      </c>
      <c r="D280" s="5">
        <v>31.67</v>
      </c>
      <c r="E280" s="5">
        <v>31.94</v>
      </c>
      <c r="F280" s="6">
        <v>8028357</v>
      </c>
    </row>
    <row r="281" spans="1:6" x14ac:dyDescent="0.2">
      <c r="A281" s="4">
        <v>44873</v>
      </c>
      <c r="B281" s="5">
        <v>32.11</v>
      </c>
      <c r="C281" s="5">
        <v>32.494999999999997</v>
      </c>
      <c r="D281" s="5">
        <v>32</v>
      </c>
      <c r="E281" s="5">
        <v>32.22</v>
      </c>
      <c r="F281" s="6">
        <v>6438737</v>
      </c>
    </row>
    <row r="282" spans="1:6" x14ac:dyDescent="0.2">
      <c r="A282" s="4">
        <v>44874</v>
      </c>
      <c r="B282" s="5">
        <v>32.24</v>
      </c>
      <c r="C282" s="5">
        <v>32.65</v>
      </c>
      <c r="D282" s="5">
        <v>32.200000000000003</v>
      </c>
      <c r="E282" s="5">
        <v>32.42</v>
      </c>
      <c r="F282" s="6">
        <v>5991700</v>
      </c>
    </row>
    <row r="283" spans="1:6" x14ac:dyDescent="0.2">
      <c r="A283" s="4">
        <v>44875</v>
      </c>
      <c r="B283" s="5">
        <v>33.26</v>
      </c>
      <c r="C283" s="5">
        <v>33.5</v>
      </c>
      <c r="D283" s="5">
        <v>32.93</v>
      </c>
      <c r="E283" s="5">
        <v>33.47</v>
      </c>
      <c r="F283" s="6">
        <v>4680903</v>
      </c>
    </row>
    <row r="284" spans="1:6" x14ac:dyDescent="0.2">
      <c r="A284" s="4">
        <v>44876</v>
      </c>
      <c r="B284" s="5">
        <v>31.81</v>
      </c>
      <c r="C284" s="5">
        <v>31.9</v>
      </c>
      <c r="D284" s="5">
        <v>31.22</v>
      </c>
      <c r="E284" s="5">
        <v>31.58</v>
      </c>
      <c r="F284" s="6">
        <v>13085540</v>
      </c>
    </row>
    <row r="285" spans="1:6" x14ac:dyDescent="0.2">
      <c r="A285" s="4">
        <v>44879</v>
      </c>
      <c r="B285" s="5">
        <v>32.479999999999997</v>
      </c>
      <c r="C285" s="5">
        <v>32.938000000000002</v>
      </c>
      <c r="D285" s="5">
        <v>32.43</v>
      </c>
      <c r="E285" s="5">
        <v>32.54</v>
      </c>
      <c r="F285" s="6">
        <v>7709730</v>
      </c>
    </row>
    <row r="286" spans="1:6" x14ac:dyDescent="0.2">
      <c r="A286" s="4">
        <v>44880</v>
      </c>
      <c r="B286" s="5">
        <v>32.64</v>
      </c>
      <c r="C286" s="5">
        <v>32.704999999999998</v>
      </c>
      <c r="D286" s="5">
        <v>32.064999999999998</v>
      </c>
      <c r="E286" s="5">
        <v>32.29</v>
      </c>
      <c r="F286" s="6">
        <v>5492706</v>
      </c>
    </row>
    <row r="287" spans="1:6" x14ac:dyDescent="0.2">
      <c r="A287" s="4">
        <v>44881</v>
      </c>
      <c r="B287" s="5">
        <v>33.159999999999997</v>
      </c>
      <c r="C287" s="5">
        <v>33.25</v>
      </c>
      <c r="D287" s="5">
        <v>32.765000000000001</v>
      </c>
      <c r="E287" s="5">
        <v>32.909999999999997</v>
      </c>
      <c r="F287" s="6">
        <v>5308789</v>
      </c>
    </row>
    <row r="288" spans="1:6" x14ac:dyDescent="0.2">
      <c r="A288" s="4">
        <v>44882</v>
      </c>
      <c r="B288" s="5">
        <v>32.24</v>
      </c>
      <c r="C288" s="5">
        <v>32.630000000000003</v>
      </c>
      <c r="D288" s="5">
        <v>32.15</v>
      </c>
      <c r="E288" s="5">
        <v>32.590000000000003</v>
      </c>
      <c r="F288" s="6">
        <v>3529016</v>
      </c>
    </row>
    <row r="289" spans="1:6" x14ac:dyDescent="0.2">
      <c r="A289" s="4">
        <v>44883</v>
      </c>
      <c r="B289" s="5">
        <v>32.75</v>
      </c>
      <c r="C289" s="5">
        <v>33.029899999999998</v>
      </c>
      <c r="D289" s="5">
        <v>32.695</v>
      </c>
      <c r="E289" s="5">
        <v>32.89</v>
      </c>
      <c r="F289" s="6">
        <v>4007570</v>
      </c>
    </row>
    <row r="290" spans="1:6" x14ac:dyDescent="0.2">
      <c r="A290" s="4">
        <v>44886</v>
      </c>
      <c r="B290" s="5">
        <v>33.56</v>
      </c>
      <c r="C290" s="5">
        <v>33.58</v>
      </c>
      <c r="D290" s="5">
        <v>33.17</v>
      </c>
      <c r="E290" s="5">
        <v>33.44</v>
      </c>
      <c r="F290" s="6">
        <v>4000954</v>
      </c>
    </row>
    <row r="291" spans="1:6" x14ac:dyDescent="0.2">
      <c r="A291" s="4">
        <v>44887</v>
      </c>
      <c r="B291" s="5">
        <v>33.619999999999997</v>
      </c>
      <c r="C291" s="5">
        <v>33.86</v>
      </c>
      <c r="D291" s="5">
        <v>33.57</v>
      </c>
      <c r="E291" s="5">
        <v>33.85</v>
      </c>
      <c r="F291" s="6">
        <v>3355690</v>
      </c>
    </row>
    <row r="292" spans="1:6" x14ac:dyDescent="0.2">
      <c r="A292" s="4">
        <v>44888</v>
      </c>
      <c r="B292" s="5">
        <v>33.67</v>
      </c>
      <c r="C292" s="5">
        <v>33.869199999999999</v>
      </c>
      <c r="D292" s="5">
        <v>33.450000000000003</v>
      </c>
      <c r="E292" s="5">
        <v>33.69</v>
      </c>
      <c r="F292" s="6">
        <v>3453778</v>
      </c>
    </row>
    <row r="293" spans="1:6" x14ac:dyDescent="0.2">
      <c r="A293" s="4">
        <v>44890</v>
      </c>
      <c r="B293" s="5">
        <v>33.799999999999997</v>
      </c>
      <c r="C293" s="5">
        <v>34.049999999999997</v>
      </c>
      <c r="D293" s="5">
        <v>33.770000000000003</v>
      </c>
      <c r="E293" s="5">
        <v>33.99</v>
      </c>
      <c r="F293" s="6">
        <v>1645002</v>
      </c>
    </row>
    <row r="294" spans="1:6" x14ac:dyDescent="0.2">
      <c r="A294" s="4">
        <v>44893</v>
      </c>
      <c r="B294" s="5">
        <v>33.770000000000003</v>
      </c>
      <c r="C294" s="5">
        <v>34.049999999999997</v>
      </c>
      <c r="D294" s="5">
        <v>33.704999999999998</v>
      </c>
      <c r="E294" s="5">
        <v>33.76</v>
      </c>
      <c r="F294" s="6">
        <v>7149513</v>
      </c>
    </row>
    <row r="295" spans="1:6" x14ac:dyDescent="0.2">
      <c r="A295" s="4">
        <v>44894</v>
      </c>
      <c r="B295" s="5">
        <v>34.31</v>
      </c>
      <c r="C295" s="5">
        <v>34.619999999999997</v>
      </c>
      <c r="D295" s="5">
        <v>34.19</v>
      </c>
      <c r="E295" s="5">
        <v>34.36</v>
      </c>
      <c r="F295" s="6">
        <v>4067544</v>
      </c>
    </row>
    <row r="296" spans="1:6" x14ac:dyDescent="0.2">
      <c r="A296" s="4">
        <v>44895</v>
      </c>
      <c r="B296" s="5">
        <v>34.39</v>
      </c>
      <c r="C296" s="5">
        <v>34.590000000000003</v>
      </c>
      <c r="D296" s="5">
        <v>33.89</v>
      </c>
      <c r="E296" s="5">
        <v>34.590000000000003</v>
      </c>
      <c r="F296" s="6">
        <v>4091994</v>
      </c>
    </row>
    <row r="297" spans="1:6" x14ac:dyDescent="0.2">
      <c r="A297" s="4">
        <v>44896</v>
      </c>
      <c r="B297" s="5">
        <v>34.799999999999997</v>
      </c>
      <c r="C297" s="5">
        <v>35.225000000000001</v>
      </c>
      <c r="D297" s="5">
        <v>34.76</v>
      </c>
      <c r="E297" s="5">
        <v>35.03</v>
      </c>
      <c r="F297" s="6">
        <v>3865947</v>
      </c>
    </row>
    <row r="298" spans="1:6" x14ac:dyDescent="0.2">
      <c r="A298" s="4">
        <v>44897</v>
      </c>
      <c r="B298" s="5">
        <v>34.93</v>
      </c>
      <c r="C298" s="5">
        <v>35.47</v>
      </c>
      <c r="D298" s="5">
        <v>34.909999999999997</v>
      </c>
      <c r="E298" s="5">
        <v>35.35</v>
      </c>
      <c r="F298" s="6">
        <v>4894069</v>
      </c>
    </row>
    <row r="299" spans="1:6" x14ac:dyDescent="0.2">
      <c r="A299" s="4">
        <v>44900</v>
      </c>
      <c r="B299" s="5">
        <v>35.04</v>
      </c>
      <c r="C299" s="5">
        <v>35.484999999999999</v>
      </c>
      <c r="D299" s="5">
        <v>35.03</v>
      </c>
      <c r="E299" s="5">
        <v>35.159999999999997</v>
      </c>
      <c r="F299" s="6">
        <v>5319071</v>
      </c>
    </row>
    <row r="300" spans="1:6" x14ac:dyDescent="0.2">
      <c r="A300" s="4">
        <v>44901</v>
      </c>
      <c r="B300" s="5">
        <v>34.74</v>
      </c>
      <c r="C300" s="5">
        <v>39.74</v>
      </c>
      <c r="D300" s="5">
        <v>34.24</v>
      </c>
      <c r="E300" s="5">
        <v>37.92</v>
      </c>
      <c r="F300" s="6">
        <v>30761040</v>
      </c>
    </row>
    <row r="301" spans="1:6" x14ac:dyDescent="0.2">
      <c r="A301" s="4">
        <v>44902</v>
      </c>
      <c r="B301" s="5">
        <v>37.549999999999997</v>
      </c>
      <c r="C301" s="5">
        <v>37.64</v>
      </c>
      <c r="D301" s="5">
        <v>36.78</v>
      </c>
      <c r="E301" s="5">
        <v>36.880000000000003</v>
      </c>
      <c r="F301" s="6">
        <v>14161490</v>
      </c>
    </row>
    <row r="302" spans="1:6" x14ac:dyDescent="0.2">
      <c r="A302" s="4">
        <v>44903</v>
      </c>
      <c r="B302" s="5">
        <v>36.36</v>
      </c>
      <c r="C302" s="5">
        <v>36.994999999999997</v>
      </c>
      <c r="D302" s="5">
        <v>36.31</v>
      </c>
      <c r="E302" s="5">
        <v>36.6</v>
      </c>
      <c r="F302" s="6">
        <v>8568436</v>
      </c>
    </row>
    <row r="303" spans="1:6" x14ac:dyDescent="0.2">
      <c r="A303" s="4">
        <v>44904</v>
      </c>
      <c r="B303" s="5">
        <v>36.380000000000003</v>
      </c>
      <c r="C303" s="5">
        <v>36.5</v>
      </c>
      <c r="D303" s="5">
        <v>35.935000000000002</v>
      </c>
      <c r="E303" s="5">
        <v>35.97</v>
      </c>
      <c r="F303" s="6">
        <v>4533211</v>
      </c>
    </row>
    <row r="304" spans="1:6" x14ac:dyDescent="0.2">
      <c r="A304" s="4">
        <v>44907</v>
      </c>
      <c r="B304" s="5">
        <v>35.880000000000003</v>
      </c>
      <c r="C304" s="5">
        <v>36.1</v>
      </c>
      <c r="D304" s="5">
        <v>35.68</v>
      </c>
      <c r="E304" s="5">
        <v>35.71</v>
      </c>
      <c r="F304" s="6">
        <v>4446796</v>
      </c>
    </row>
    <row r="305" spans="1:6" x14ac:dyDescent="0.2">
      <c r="A305" s="4">
        <v>44908</v>
      </c>
      <c r="B305" s="5">
        <v>36.53</v>
      </c>
      <c r="C305" s="5">
        <v>36.770000000000003</v>
      </c>
      <c r="D305" s="5">
        <v>35.93</v>
      </c>
      <c r="E305" s="5">
        <v>36.15</v>
      </c>
      <c r="F305" s="6">
        <v>7205860</v>
      </c>
    </row>
    <row r="306" spans="1:6" x14ac:dyDescent="0.2">
      <c r="A306" s="4">
        <v>44909</v>
      </c>
      <c r="B306" s="5">
        <v>36.08</v>
      </c>
      <c r="C306" s="5">
        <v>36.29</v>
      </c>
      <c r="D306" s="5">
        <v>35.729999999999997</v>
      </c>
      <c r="E306" s="5">
        <v>35.92</v>
      </c>
      <c r="F306" s="6">
        <v>6694595</v>
      </c>
    </row>
    <row r="307" spans="1:6" x14ac:dyDescent="0.2">
      <c r="A307" s="4">
        <v>44910</v>
      </c>
      <c r="B307" s="5">
        <v>36.049999999999997</v>
      </c>
      <c r="C307" s="5">
        <v>36.15</v>
      </c>
      <c r="D307" s="5">
        <v>35.591999999999999</v>
      </c>
      <c r="E307" s="5">
        <v>35.630000000000003</v>
      </c>
      <c r="F307" s="6">
        <v>3711970</v>
      </c>
    </row>
    <row r="308" spans="1:6" x14ac:dyDescent="0.2">
      <c r="A308" s="4">
        <v>44911</v>
      </c>
      <c r="B308" s="5">
        <v>35.200000000000003</v>
      </c>
      <c r="C308" s="5">
        <v>35.284999999999997</v>
      </c>
      <c r="D308" s="5">
        <v>34.869999999999997</v>
      </c>
      <c r="E308" s="5">
        <v>34.950000000000003</v>
      </c>
      <c r="F308" s="6">
        <v>6353246</v>
      </c>
    </row>
    <row r="309" spans="1:6" x14ac:dyDescent="0.2">
      <c r="A309" s="4">
        <v>44914</v>
      </c>
      <c r="B309" s="5">
        <v>35.020000000000003</v>
      </c>
      <c r="C309" s="5">
        <v>35.14</v>
      </c>
      <c r="D309" s="5">
        <v>34.729999999999997</v>
      </c>
      <c r="E309" s="5">
        <v>34.869999999999997</v>
      </c>
      <c r="F309" s="6">
        <v>3149767</v>
      </c>
    </row>
    <row r="310" spans="1:6" x14ac:dyDescent="0.2">
      <c r="A310" s="4">
        <v>44915</v>
      </c>
      <c r="B310" s="5">
        <v>34.82</v>
      </c>
      <c r="C310" s="5">
        <v>35.145000000000003</v>
      </c>
      <c r="D310" s="5">
        <v>34.82</v>
      </c>
      <c r="E310" s="5">
        <v>34.99</v>
      </c>
      <c r="F310" s="6">
        <v>3714319</v>
      </c>
    </row>
    <row r="311" spans="1:6" x14ac:dyDescent="0.2">
      <c r="A311" s="4">
        <v>44916</v>
      </c>
      <c r="B311" s="5">
        <v>35.21</v>
      </c>
      <c r="C311" s="5">
        <v>35.844999999999999</v>
      </c>
      <c r="D311" s="5">
        <v>35.145000000000003</v>
      </c>
      <c r="E311" s="5">
        <v>35.299999999999997</v>
      </c>
      <c r="F311" s="6">
        <v>5608327</v>
      </c>
    </row>
    <row r="312" spans="1:6" x14ac:dyDescent="0.2">
      <c r="A312" s="4">
        <v>44917</v>
      </c>
      <c r="B312" s="5">
        <v>35.19</v>
      </c>
      <c r="C312" s="5">
        <v>35.369999999999997</v>
      </c>
      <c r="D312" s="5">
        <v>35.06</v>
      </c>
      <c r="E312" s="5">
        <v>35.31</v>
      </c>
      <c r="F312" s="6">
        <v>3333881</v>
      </c>
    </row>
    <row r="313" spans="1:6" x14ac:dyDescent="0.2">
      <c r="A313" s="4">
        <v>44918</v>
      </c>
      <c r="B313" s="5">
        <v>35.26</v>
      </c>
      <c r="C313" s="5">
        <v>35.36</v>
      </c>
      <c r="D313" s="5">
        <v>35.01</v>
      </c>
      <c r="E313" s="5">
        <v>35.22</v>
      </c>
      <c r="F313" s="6">
        <v>3348240</v>
      </c>
    </row>
    <row r="314" spans="1:6" x14ac:dyDescent="0.2">
      <c r="A314" s="4">
        <v>44922</v>
      </c>
      <c r="B314" s="5">
        <v>35.24</v>
      </c>
      <c r="C314" s="5">
        <v>35.26</v>
      </c>
      <c r="D314" s="5">
        <v>35.024999999999999</v>
      </c>
      <c r="E314" s="5">
        <v>35.07</v>
      </c>
      <c r="F314" s="6">
        <v>2503107</v>
      </c>
    </row>
    <row r="315" spans="1:6" x14ac:dyDescent="0.2">
      <c r="A315" s="4">
        <v>44923</v>
      </c>
      <c r="B315" s="5">
        <v>35.21</v>
      </c>
      <c r="C315" s="5">
        <v>35.33</v>
      </c>
      <c r="D315" s="5">
        <v>34.76</v>
      </c>
      <c r="E315" s="5">
        <v>34.78</v>
      </c>
      <c r="F315" s="6">
        <v>3173991</v>
      </c>
    </row>
    <row r="316" spans="1:6" x14ac:dyDescent="0.2">
      <c r="A316" s="4">
        <v>44924</v>
      </c>
      <c r="B316" s="5">
        <v>34.96</v>
      </c>
      <c r="C316" s="5">
        <v>35.24</v>
      </c>
      <c r="D316" s="5">
        <v>34.93</v>
      </c>
      <c r="E316" s="5">
        <v>35.130000000000003</v>
      </c>
      <c r="F316" s="6">
        <v>2395110</v>
      </c>
    </row>
    <row r="317" spans="1:6" x14ac:dyDescent="0.2">
      <c r="A317" s="4">
        <v>44925</v>
      </c>
      <c r="B317" s="5">
        <v>35</v>
      </c>
      <c r="C317" s="5">
        <v>35.31</v>
      </c>
      <c r="D317" s="5">
        <v>34.86</v>
      </c>
      <c r="E317" s="5">
        <v>35.14</v>
      </c>
      <c r="F317" s="6">
        <v>2643437</v>
      </c>
    </row>
    <row r="318" spans="1:6" x14ac:dyDescent="0.2">
      <c r="A318" s="4">
        <v>44929</v>
      </c>
      <c r="B318" s="5">
        <v>34.94</v>
      </c>
      <c r="C318" s="5">
        <v>35.409999999999997</v>
      </c>
      <c r="D318" s="5">
        <v>34.9</v>
      </c>
      <c r="E318" s="5">
        <v>35.29</v>
      </c>
      <c r="F318" s="6">
        <v>3145036</v>
      </c>
    </row>
    <row r="319" spans="1:6" x14ac:dyDescent="0.2">
      <c r="A319" s="4">
        <v>44930</v>
      </c>
      <c r="B319" s="5">
        <v>35.57</v>
      </c>
      <c r="C319" s="5">
        <v>35.590000000000003</v>
      </c>
      <c r="D319" s="5">
        <v>34.942599999999999</v>
      </c>
      <c r="E319" s="5">
        <v>35.03</v>
      </c>
      <c r="F319" s="6">
        <v>2752480</v>
      </c>
    </row>
    <row r="320" spans="1:6" x14ac:dyDescent="0.2">
      <c r="A320" s="4">
        <v>44931</v>
      </c>
      <c r="B320" s="5">
        <v>34.58</v>
      </c>
      <c r="C320" s="5">
        <v>34.700000000000003</v>
      </c>
      <c r="D320" s="5">
        <v>34.340000000000003</v>
      </c>
      <c r="E320" s="5">
        <v>34.479999999999997</v>
      </c>
      <c r="F320" s="6">
        <v>4352675</v>
      </c>
    </row>
    <row r="321" spans="1:6" x14ac:dyDescent="0.2">
      <c r="A321" s="4">
        <v>44932</v>
      </c>
      <c r="B321" s="5">
        <v>34.33</v>
      </c>
      <c r="C321" s="5">
        <v>34.965000000000003</v>
      </c>
      <c r="D321" s="5">
        <v>34.229999999999997</v>
      </c>
      <c r="E321" s="5">
        <v>34.92</v>
      </c>
      <c r="F321" s="6">
        <v>2940431</v>
      </c>
    </row>
    <row r="322" spans="1:6" x14ac:dyDescent="0.2">
      <c r="A322" s="4">
        <v>44935</v>
      </c>
      <c r="B322" s="5">
        <v>34.96</v>
      </c>
      <c r="C322" s="5">
        <v>35.200000000000003</v>
      </c>
      <c r="D322" s="5">
        <v>34.51</v>
      </c>
      <c r="E322" s="5">
        <v>34.53</v>
      </c>
      <c r="F322" s="6">
        <v>4339431</v>
      </c>
    </row>
    <row r="323" spans="1:6" x14ac:dyDescent="0.2">
      <c r="A323" s="4">
        <v>44936</v>
      </c>
      <c r="B323" s="5">
        <v>34.729999999999997</v>
      </c>
      <c r="C323" s="5">
        <v>34.865000000000002</v>
      </c>
      <c r="D323" s="5">
        <v>34.549999999999997</v>
      </c>
      <c r="E323" s="5">
        <v>34.74</v>
      </c>
      <c r="F323" s="6">
        <v>3022986</v>
      </c>
    </row>
    <row r="324" spans="1:6" x14ac:dyDescent="0.2">
      <c r="A324" s="4">
        <v>44937</v>
      </c>
      <c r="B324" s="5">
        <v>34.6</v>
      </c>
      <c r="C324" s="5">
        <v>34.734999999999999</v>
      </c>
      <c r="D324" s="5">
        <v>34.414999999999999</v>
      </c>
      <c r="E324" s="5">
        <v>34.67</v>
      </c>
      <c r="F324" s="6">
        <v>2900027</v>
      </c>
    </row>
    <row r="325" spans="1:6" x14ac:dyDescent="0.2">
      <c r="A325" s="4">
        <v>44938</v>
      </c>
      <c r="B325" s="5">
        <v>34.74</v>
      </c>
      <c r="C325" s="5">
        <v>35.28</v>
      </c>
      <c r="D325" s="5">
        <v>34.47</v>
      </c>
      <c r="E325" s="5">
        <v>35.15</v>
      </c>
      <c r="F325" s="6">
        <v>3373761</v>
      </c>
    </row>
    <row r="326" spans="1:6" x14ac:dyDescent="0.2">
      <c r="A326" s="4">
        <v>44939</v>
      </c>
      <c r="B326" s="5">
        <v>35.200000000000003</v>
      </c>
      <c r="C326" s="5">
        <v>35.47</v>
      </c>
      <c r="D326" s="5">
        <v>35.17</v>
      </c>
      <c r="E326" s="5">
        <v>35.380000000000003</v>
      </c>
      <c r="F326" s="6">
        <v>4433678</v>
      </c>
    </row>
    <row r="327" spans="1:6" x14ac:dyDescent="0.2">
      <c r="A327" s="4">
        <v>44943</v>
      </c>
      <c r="B327" s="5">
        <v>35.49</v>
      </c>
      <c r="C327" s="5">
        <v>35.71</v>
      </c>
      <c r="D327" s="5">
        <v>35.380000000000003</v>
      </c>
      <c r="E327" s="5">
        <v>35.56</v>
      </c>
      <c r="F327" s="6">
        <v>3664870</v>
      </c>
    </row>
    <row r="328" spans="1:6" x14ac:dyDescent="0.2">
      <c r="A328" s="4">
        <v>44944</v>
      </c>
      <c r="B328" s="5">
        <v>35.549999999999997</v>
      </c>
      <c r="C328" s="5">
        <v>35.61</v>
      </c>
      <c r="D328" s="5">
        <v>35.130000000000003</v>
      </c>
      <c r="E328" s="5">
        <v>35.19</v>
      </c>
      <c r="F328" s="6">
        <v>4844149</v>
      </c>
    </row>
    <row r="329" spans="1:6" x14ac:dyDescent="0.2">
      <c r="A329" s="4">
        <v>44945</v>
      </c>
      <c r="B329" s="5">
        <v>35.25</v>
      </c>
      <c r="C329" s="5">
        <v>35.729700000000001</v>
      </c>
      <c r="D329" s="5">
        <v>35.229999999999997</v>
      </c>
      <c r="E329" s="5">
        <v>35.61</v>
      </c>
      <c r="F329" s="6">
        <v>3082047</v>
      </c>
    </row>
    <row r="330" spans="1:6" x14ac:dyDescent="0.2">
      <c r="A330" s="4">
        <v>44946</v>
      </c>
      <c r="B330" s="5">
        <v>35.26</v>
      </c>
      <c r="C330" s="5">
        <v>35.39</v>
      </c>
      <c r="D330" s="5">
        <v>35.090000000000003</v>
      </c>
      <c r="E330" s="5">
        <v>35.380000000000003</v>
      </c>
      <c r="F330" s="6">
        <v>4141461</v>
      </c>
    </row>
    <row r="331" spans="1:6" x14ac:dyDescent="0.2">
      <c r="A331" s="4">
        <v>44949</v>
      </c>
      <c r="B331" s="5">
        <v>35.36</v>
      </c>
      <c r="C331" s="5">
        <v>35.534999999999997</v>
      </c>
      <c r="D331" s="5">
        <v>35.270000000000003</v>
      </c>
      <c r="E331" s="5">
        <v>35.36</v>
      </c>
      <c r="F331" s="6">
        <v>3963337</v>
      </c>
    </row>
    <row r="332" spans="1:6" x14ac:dyDescent="0.2">
      <c r="A332" s="4">
        <v>44950</v>
      </c>
      <c r="B332" s="5">
        <v>35</v>
      </c>
      <c r="C332" s="5">
        <v>35</v>
      </c>
      <c r="D332" s="5">
        <v>34.515000000000001</v>
      </c>
      <c r="E332" s="5">
        <v>34.700000000000003</v>
      </c>
      <c r="F332" s="6">
        <v>5041285</v>
      </c>
    </row>
    <row r="333" spans="1:6" x14ac:dyDescent="0.2">
      <c r="A333" s="4">
        <v>44951</v>
      </c>
      <c r="B333" s="5">
        <v>34.94</v>
      </c>
      <c r="C333" s="5">
        <v>35.26</v>
      </c>
      <c r="D333" s="5">
        <v>34.92</v>
      </c>
      <c r="E333" s="5">
        <v>35.17</v>
      </c>
      <c r="F333" s="6">
        <v>3763692</v>
      </c>
    </row>
    <row r="334" spans="1:6" x14ac:dyDescent="0.2">
      <c r="A334" s="4">
        <v>44952</v>
      </c>
      <c r="B334" s="5">
        <v>35.31</v>
      </c>
      <c r="C334" s="5">
        <v>35.409999999999997</v>
      </c>
      <c r="D334" s="5">
        <v>34.97</v>
      </c>
      <c r="E334" s="5">
        <v>35.340000000000003</v>
      </c>
      <c r="F334" s="6">
        <v>4988218</v>
      </c>
    </row>
    <row r="335" spans="1:6" x14ac:dyDescent="0.2">
      <c r="A335" s="4">
        <v>44953</v>
      </c>
      <c r="B335" s="5">
        <v>35.33</v>
      </c>
      <c r="C335" s="5">
        <v>35.435000000000002</v>
      </c>
      <c r="D335" s="5">
        <v>35.119999999999997</v>
      </c>
      <c r="E335" s="5">
        <v>35.299999999999997</v>
      </c>
      <c r="F335" s="6">
        <v>3476080</v>
      </c>
    </row>
    <row r="336" spans="1:6" x14ac:dyDescent="0.2">
      <c r="A336" s="4">
        <v>44956</v>
      </c>
      <c r="B336" s="5">
        <v>35.56</v>
      </c>
      <c r="C336" s="5">
        <v>35.630000000000003</v>
      </c>
      <c r="D336" s="5">
        <v>35.094999999999999</v>
      </c>
      <c r="E336" s="5">
        <v>35.119999999999997</v>
      </c>
      <c r="F336" s="6">
        <v>4742928</v>
      </c>
    </row>
    <row r="337" spans="1:6" x14ac:dyDescent="0.2">
      <c r="A337" s="4">
        <v>44957</v>
      </c>
      <c r="B337" s="5">
        <v>35.42</v>
      </c>
      <c r="C337" s="5">
        <v>35.53</v>
      </c>
      <c r="D337" s="5">
        <v>35.024999999999999</v>
      </c>
      <c r="E337" s="5">
        <v>35.26</v>
      </c>
      <c r="F337" s="6">
        <v>5839314</v>
      </c>
    </row>
    <row r="338" spans="1:6" x14ac:dyDescent="0.2">
      <c r="A338" s="4">
        <v>44958</v>
      </c>
      <c r="B338" s="5">
        <v>35.26</v>
      </c>
      <c r="C338" s="5">
        <v>35.79</v>
      </c>
      <c r="D338" s="5">
        <v>35.094999999999999</v>
      </c>
      <c r="E338" s="5">
        <v>35.49</v>
      </c>
      <c r="F338" s="6">
        <v>5780906</v>
      </c>
    </row>
    <row r="339" spans="1:6" x14ac:dyDescent="0.2">
      <c r="A339" s="4">
        <v>44959</v>
      </c>
      <c r="B339" s="5">
        <v>35.43</v>
      </c>
      <c r="C339" s="5">
        <v>35.61</v>
      </c>
      <c r="D339" s="5">
        <v>34.865000000000002</v>
      </c>
      <c r="E339" s="5">
        <v>35.130000000000003</v>
      </c>
      <c r="F339" s="6">
        <v>5445575</v>
      </c>
    </row>
    <row r="340" spans="1:6" x14ac:dyDescent="0.2">
      <c r="A340" s="4">
        <v>44960</v>
      </c>
      <c r="B340" s="5">
        <v>35.380000000000003</v>
      </c>
      <c r="C340" s="5">
        <v>35.530099999999997</v>
      </c>
      <c r="D340" s="5">
        <v>34.755000000000003</v>
      </c>
      <c r="E340" s="5">
        <v>34.83</v>
      </c>
      <c r="F340" s="6">
        <v>3633167</v>
      </c>
    </row>
    <row r="341" spans="1:6" x14ac:dyDescent="0.2">
      <c r="A341" s="4">
        <v>44963</v>
      </c>
      <c r="B341" s="5">
        <v>35.4</v>
      </c>
      <c r="C341" s="5">
        <v>35.484999999999999</v>
      </c>
      <c r="D341" s="5">
        <v>35.204999999999998</v>
      </c>
      <c r="E341" s="5">
        <v>35.340000000000003</v>
      </c>
      <c r="F341" s="6">
        <v>4932372</v>
      </c>
    </row>
    <row r="342" spans="1:6" x14ac:dyDescent="0.2">
      <c r="A342" s="4">
        <v>44964</v>
      </c>
      <c r="B342" s="5">
        <v>35.99</v>
      </c>
      <c r="C342" s="5">
        <v>36.17</v>
      </c>
      <c r="D342" s="5">
        <v>35.765000000000001</v>
      </c>
      <c r="E342" s="5">
        <v>36.17</v>
      </c>
      <c r="F342" s="6">
        <v>4071960</v>
      </c>
    </row>
    <row r="343" spans="1:6" x14ac:dyDescent="0.2">
      <c r="A343" s="4">
        <v>44965</v>
      </c>
      <c r="B343" s="5">
        <v>36.56</v>
      </c>
      <c r="C343" s="5">
        <v>36.590000000000003</v>
      </c>
      <c r="D343" s="5">
        <v>36.229999999999997</v>
      </c>
      <c r="E343" s="5">
        <v>36.32</v>
      </c>
      <c r="F343" s="6">
        <v>3415472</v>
      </c>
    </row>
    <row r="344" spans="1:6" x14ac:dyDescent="0.2">
      <c r="A344" s="4">
        <v>44966</v>
      </c>
      <c r="B344" s="5">
        <v>36.74</v>
      </c>
      <c r="C344" s="5">
        <v>36.829599999999999</v>
      </c>
      <c r="D344" s="5">
        <v>36.305</v>
      </c>
      <c r="E344" s="5">
        <v>36.43</v>
      </c>
      <c r="F344" s="6">
        <v>6059338</v>
      </c>
    </row>
    <row r="345" spans="1:6" x14ac:dyDescent="0.2">
      <c r="A345" s="4">
        <v>44967</v>
      </c>
      <c r="B345" s="5">
        <v>36.04</v>
      </c>
      <c r="C345" s="5">
        <v>36.06</v>
      </c>
      <c r="D345" s="5">
        <v>35.591000000000001</v>
      </c>
      <c r="E345" s="5">
        <v>35.840000000000003</v>
      </c>
      <c r="F345" s="6">
        <v>2983677</v>
      </c>
    </row>
    <row r="346" spans="1:6" x14ac:dyDescent="0.2">
      <c r="A346" s="4">
        <v>44970</v>
      </c>
      <c r="B346" s="5">
        <v>36.06</v>
      </c>
      <c r="C346" s="5">
        <v>36.229999999999997</v>
      </c>
      <c r="D346" s="5">
        <v>36.020000000000003</v>
      </c>
      <c r="E346" s="5">
        <v>36.229999999999997</v>
      </c>
      <c r="F346" s="6">
        <v>2667388</v>
      </c>
    </row>
    <row r="347" spans="1:6" x14ac:dyDescent="0.2">
      <c r="A347" s="4">
        <v>44971</v>
      </c>
      <c r="B347" s="5">
        <v>36.11</v>
      </c>
      <c r="C347" s="5">
        <v>36.130000000000003</v>
      </c>
      <c r="D347" s="5">
        <v>35.76</v>
      </c>
      <c r="E347" s="5">
        <v>36.06</v>
      </c>
      <c r="F347" s="6">
        <v>5505877</v>
      </c>
    </row>
    <row r="348" spans="1:6" x14ac:dyDescent="0.2">
      <c r="A348" s="4">
        <v>44972</v>
      </c>
      <c r="B348" s="5">
        <v>35.25</v>
      </c>
      <c r="C348" s="5">
        <v>35.61</v>
      </c>
      <c r="D348" s="5">
        <v>34.85</v>
      </c>
      <c r="E348" s="5">
        <v>35.57</v>
      </c>
      <c r="F348" s="6">
        <v>10406100</v>
      </c>
    </row>
    <row r="349" spans="1:6" x14ac:dyDescent="0.2">
      <c r="A349" s="4">
        <v>44973</v>
      </c>
      <c r="B349" s="5">
        <v>35.090000000000003</v>
      </c>
      <c r="C349" s="5">
        <v>35.299999999999997</v>
      </c>
      <c r="D349" s="5">
        <v>34.950000000000003</v>
      </c>
      <c r="E349" s="5">
        <v>35.14</v>
      </c>
      <c r="F349" s="6">
        <v>5585233</v>
      </c>
    </row>
    <row r="350" spans="1:6" x14ac:dyDescent="0.2">
      <c r="A350" s="4">
        <v>44974</v>
      </c>
      <c r="B350" s="5">
        <v>35.33</v>
      </c>
      <c r="C350" s="5">
        <v>35.896599999999999</v>
      </c>
      <c r="D350" s="5">
        <v>35.25</v>
      </c>
      <c r="E350" s="5">
        <v>35.880000000000003</v>
      </c>
      <c r="F350" s="6">
        <v>2919876</v>
      </c>
    </row>
    <row r="351" spans="1:6" x14ac:dyDescent="0.2">
      <c r="A351" s="4">
        <v>44978</v>
      </c>
      <c r="B351" s="5">
        <v>35.9</v>
      </c>
      <c r="C351" s="5">
        <v>36.08</v>
      </c>
      <c r="D351" s="5">
        <v>35.710099999999997</v>
      </c>
      <c r="E351" s="5">
        <v>36</v>
      </c>
      <c r="F351" s="6">
        <v>2672070</v>
      </c>
    </row>
    <row r="352" spans="1:6" x14ac:dyDescent="0.2">
      <c r="A352" s="4">
        <v>44979</v>
      </c>
      <c r="B352" s="5">
        <v>36.07</v>
      </c>
      <c r="C352" s="5">
        <v>36.07</v>
      </c>
      <c r="D352" s="5">
        <v>35.68</v>
      </c>
      <c r="E352" s="5">
        <v>35.74</v>
      </c>
      <c r="F352" s="6">
        <v>1990193</v>
      </c>
    </row>
    <row r="353" spans="1:6" x14ac:dyDescent="0.2">
      <c r="A353" s="4">
        <v>44980</v>
      </c>
      <c r="B353" s="5">
        <v>35.22</v>
      </c>
      <c r="C353" s="5">
        <v>35.42</v>
      </c>
      <c r="D353" s="5">
        <v>35.020000000000003</v>
      </c>
      <c r="E353" s="5">
        <v>35.26</v>
      </c>
      <c r="F353" s="6">
        <v>2981740</v>
      </c>
    </row>
    <row r="354" spans="1:6" x14ac:dyDescent="0.2">
      <c r="A354" s="4">
        <v>44981</v>
      </c>
      <c r="B354" s="5">
        <v>34.86</v>
      </c>
      <c r="C354" s="5">
        <v>34.9</v>
      </c>
      <c r="D354" s="5">
        <v>34.53</v>
      </c>
      <c r="E354" s="5">
        <v>34.57</v>
      </c>
      <c r="F354" s="6">
        <v>3970304</v>
      </c>
    </row>
    <row r="355" spans="1:6" x14ac:dyDescent="0.2">
      <c r="A355" s="4">
        <v>44984</v>
      </c>
      <c r="B355" s="5">
        <v>34.9</v>
      </c>
      <c r="C355" s="5">
        <v>35.08</v>
      </c>
      <c r="D355" s="5">
        <v>34.755000000000003</v>
      </c>
      <c r="E355" s="5">
        <v>34.82</v>
      </c>
      <c r="F355" s="6">
        <v>2897480</v>
      </c>
    </row>
    <row r="356" spans="1:6" x14ac:dyDescent="0.2">
      <c r="A356" s="4">
        <v>44985</v>
      </c>
      <c r="B356" s="5">
        <v>34.549999999999997</v>
      </c>
      <c r="C356" s="5">
        <v>34.674999999999997</v>
      </c>
      <c r="D356" s="5">
        <v>34.270000000000003</v>
      </c>
      <c r="E356" s="5">
        <v>34.270000000000003</v>
      </c>
      <c r="F356" s="6">
        <v>3264055</v>
      </c>
    </row>
    <row r="357" spans="1:6" x14ac:dyDescent="0.2">
      <c r="A357" s="4">
        <v>44986</v>
      </c>
      <c r="B357" s="5">
        <v>34.22</v>
      </c>
      <c r="C357" s="5">
        <v>34.35</v>
      </c>
      <c r="D357" s="5">
        <v>34.06</v>
      </c>
      <c r="E357" s="5">
        <v>34.26</v>
      </c>
      <c r="F357" s="6">
        <v>3258500</v>
      </c>
    </row>
    <row r="358" spans="1:6" x14ac:dyDescent="0.2">
      <c r="A358" s="4">
        <v>44987</v>
      </c>
      <c r="B358" s="5">
        <v>34.14</v>
      </c>
      <c r="C358" s="5">
        <v>34.64</v>
      </c>
      <c r="D358" s="5">
        <v>34.094999999999999</v>
      </c>
      <c r="E358" s="5">
        <v>34.58</v>
      </c>
      <c r="F358" s="6">
        <v>2425209</v>
      </c>
    </row>
    <row r="359" spans="1:6" x14ac:dyDescent="0.2">
      <c r="A359" s="4">
        <v>44988</v>
      </c>
      <c r="B359" s="5">
        <v>34.450000000000003</v>
      </c>
      <c r="C359" s="5">
        <v>34.674999999999997</v>
      </c>
      <c r="D359" s="5">
        <v>34.384999999999998</v>
      </c>
      <c r="E359" s="5">
        <v>34.659999999999997</v>
      </c>
      <c r="F359" s="6">
        <v>2876338</v>
      </c>
    </row>
    <row r="360" spans="1:6" x14ac:dyDescent="0.2">
      <c r="A360" s="4">
        <v>44991</v>
      </c>
      <c r="B360" s="5">
        <v>34.58</v>
      </c>
      <c r="C360" s="5">
        <v>34.729999999999997</v>
      </c>
      <c r="D360" s="5">
        <v>34.4</v>
      </c>
      <c r="E360" s="5">
        <v>34.450000000000003</v>
      </c>
      <c r="F360" s="6">
        <v>2782765</v>
      </c>
    </row>
    <row r="361" spans="1:6" x14ac:dyDescent="0.2">
      <c r="A361" s="4">
        <v>44992</v>
      </c>
      <c r="B361" s="5">
        <v>34.56</v>
      </c>
      <c r="C361" s="5">
        <v>34.619999999999997</v>
      </c>
      <c r="D361" s="5">
        <v>33.984999999999999</v>
      </c>
      <c r="E361" s="5">
        <v>34.03</v>
      </c>
      <c r="F361" s="6">
        <v>2984112</v>
      </c>
    </row>
    <row r="362" spans="1:6" x14ac:dyDescent="0.2">
      <c r="A362" s="4">
        <v>44993</v>
      </c>
      <c r="B362" s="5">
        <v>33.89</v>
      </c>
      <c r="C362" s="5">
        <v>33.9572</v>
      </c>
      <c r="D362" s="5">
        <v>33.54</v>
      </c>
      <c r="E362" s="5">
        <v>33.590000000000003</v>
      </c>
      <c r="F362" s="6">
        <v>2335422</v>
      </c>
    </row>
    <row r="363" spans="1:6" x14ac:dyDescent="0.2">
      <c r="A363" s="4">
        <v>44994</v>
      </c>
      <c r="B363" s="5">
        <v>33.880000000000003</v>
      </c>
      <c r="C363" s="5">
        <v>33.909999999999997</v>
      </c>
      <c r="D363" s="5">
        <v>33.369999999999997</v>
      </c>
      <c r="E363" s="5">
        <v>33.5</v>
      </c>
      <c r="F363" s="6">
        <v>2336258</v>
      </c>
    </row>
    <row r="364" spans="1:6" x14ac:dyDescent="0.2">
      <c r="A364" s="4">
        <v>44995</v>
      </c>
      <c r="B364" s="5">
        <v>33.51</v>
      </c>
      <c r="C364" s="5">
        <v>33.869999999999997</v>
      </c>
      <c r="D364" s="5">
        <v>33.450000000000003</v>
      </c>
      <c r="E364" s="5">
        <v>33.5</v>
      </c>
      <c r="F364" s="6">
        <v>2418192</v>
      </c>
    </row>
    <row r="365" spans="1:6" x14ac:dyDescent="0.2">
      <c r="A365" s="4">
        <v>44998</v>
      </c>
      <c r="B365" s="5">
        <v>33.6</v>
      </c>
      <c r="C365" s="5">
        <v>33.81</v>
      </c>
      <c r="D365" s="5">
        <v>33.33</v>
      </c>
      <c r="E365" s="5">
        <v>33.520000000000003</v>
      </c>
      <c r="F365" s="6">
        <v>3699619</v>
      </c>
    </row>
    <row r="366" spans="1:6" x14ac:dyDescent="0.2">
      <c r="A366" s="4">
        <v>44999</v>
      </c>
      <c r="B366" s="5">
        <v>33.5</v>
      </c>
      <c r="C366" s="5">
        <v>33.74</v>
      </c>
      <c r="D366" s="5">
        <v>33.46</v>
      </c>
      <c r="E366" s="5">
        <v>33.72</v>
      </c>
      <c r="F366" s="6">
        <v>3469568</v>
      </c>
    </row>
    <row r="367" spans="1:6" x14ac:dyDescent="0.2">
      <c r="A367" s="4">
        <v>45000</v>
      </c>
      <c r="B367" s="5">
        <v>33.4</v>
      </c>
      <c r="C367" s="5">
        <v>33.75</v>
      </c>
      <c r="D367" s="5">
        <v>33.200000000000003</v>
      </c>
      <c r="E367" s="5">
        <v>33.58</v>
      </c>
      <c r="F367" s="6">
        <v>3803321</v>
      </c>
    </row>
    <row r="368" spans="1:6" x14ac:dyDescent="0.2">
      <c r="A368" s="4">
        <v>45001</v>
      </c>
      <c r="B368" s="5">
        <v>33.28</v>
      </c>
      <c r="C368" s="5">
        <v>33.825000000000003</v>
      </c>
      <c r="D368" s="5">
        <v>33.239100000000001</v>
      </c>
      <c r="E368" s="5">
        <v>33.82</v>
      </c>
      <c r="F368" s="6">
        <v>2025481</v>
      </c>
    </row>
    <row r="369" spans="1:6" x14ac:dyDescent="0.2">
      <c r="A369" s="4">
        <v>45002</v>
      </c>
      <c r="B369" s="5">
        <v>33.99</v>
      </c>
      <c r="C369" s="5">
        <v>34.200000000000003</v>
      </c>
      <c r="D369" s="5">
        <v>33.880000000000003</v>
      </c>
      <c r="E369" s="5">
        <v>34.07</v>
      </c>
      <c r="F369" s="6">
        <v>2776708</v>
      </c>
    </row>
    <row r="370" spans="1:6" x14ac:dyDescent="0.2">
      <c r="A370" s="4">
        <v>45005</v>
      </c>
      <c r="B370" s="5">
        <v>34.54</v>
      </c>
      <c r="C370" s="5">
        <v>34.94</v>
      </c>
      <c r="D370" s="5">
        <v>34.380000000000003</v>
      </c>
      <c r="E370" s="5">
        <v>34.93</v>
      </c>
      <c r="F370" s="6">
        <v>2973922</v>
      </c>
    </row>
    <row r="371" spans="1:6" x14ac:dyDescent="0.2">
      <c r="A371" s="4">
        <v>45006</v>
      </c>
      <c r="B371" s="5">
        <v>34.96</v>
      </c>
      <c r="C371" s="5">
        <v>35.08</v>
      </c>
      <c r="D371" s="5">
        <v>34.820099999999996</v>
      </c>
      <c r="E371" s="5">
        <v>35.049999999999997</v>
      </c>
      <c r="F371" s="6">
        <v>2321608</v>
      </c>
    </row>
    <row r="372" spans="1:6" x14ac:dyDescent="0.2">
      <c r="A372" s="4">
        <v>45007</v>
      </c>
      <c r="B372" s="5">
        <v>35.08</v>
      </c>
      <c r="C372" s="5">
        <v>35.32</v>
      </c>
      <c r="D372" s="5">
        <v>34.9</v>
      </c>
      <c r="E372" s="5">
        <v>34.9</v>
      </c>
      <c r="F372" s="6">
        <v>2301388</v>
      </c>
    </row>
    <row r="373" spans="1:6" x14ac:dyDescent="0.2">
      <c r="A373" s="4">
        <v>45008</v>
      </c>
      <c r="B373" s="5">
        <v>35.49</v>
      </c>
      <c r="C373" s="5">
        <v>35.53</v>
      </c>
      <c r="D373" s="5">
        <v>35.024999999999999</v>
      </c>
      <c r="E373" s="5">
        <v>35.22</v>
      </c>
      <c r="F373" s="6">
        <v>2980385</v>
      </c>
    </row>
    <row r="374" spans="1:6" x14ac:dyDescent="0.2">
      <c r="A374" s="4">
        <v>45009</v>
      </c>
      <c r="B374" s="5">
        <v>34.33</v>
      </c>
      <c r="C374" s="5">
        <v>34.564999999999998</v>
      </c>
      <c r="D374" s="5">
        <v>33.76</v>
      </c>
      <c r="E374" s="5">
        <v>34.380000000000003</v>
      </c>
      <c r="F374" s="6">
        <v>5443831</v>
      </c>
    </row>
    <row r="375" spans="1:6" x14ac:dyDescent="0.2">
      <c r="A375" s="4">
        <v>45012</v>
      </c>
      <c r="B375" s="5">
        <v>34.729999999999997</v>
      </c>
      <c r="C375" s="5">
        <v>35.134999999999998</v>
      </c>
      <c r="D375" s="5">
        <v>34.68</v>
      </c>
      <c r="E375" s="5">
        <v>35.04</v>
      </c>
      <c r="F375" s="6">
        <v>3057741</v>
      </c>
    </row>
    <row r="376" spans="1:6" x14ac:dyDescent="0.2">
      <c r="A376" s="4">
        <v>45013</v>
      </c>
      <c r="B376" s="5">
        <v>35.130000000000003</v>
      </c>
      <c r="C376" s="5">
        <v>35.19</v>
      </c>
      <c r="D376" s="5">
        <v>34.954999999999998</v>
      </c>
      <c r="E376" s="5">
        <v>35.1</v>
      </c>
      <c r="F376" s="6">
        <v>3110428</v>
      </c>
    </row>
    <row r="377" spans="1:6" x14ac:dyDescent="0.2">
      <c r="A377" s="4">
        <v>45014</v>
      </c>
      <c r="B377" s="5">
        <v>35.04</v>
      </c>
      <c r="C377" s="5">
        <v>35.19</v>
      </c>
      <c r="D377" s="5">
        <v>34.909999999999997</v>
      </c>
      <c r="E377" s="5">
        <v>35.06</v>
      </c>
      <c r="F377" s="6">
        <v>2446101</v>
      </c>
    </row>
    <row r="378" spans="1:6" x14ac:dyDescent="0.2">
      <c r="A378" s="4">
        <v>45015</v>
      </c>
      <c r="B378" s="5">
        <v>35.06</v>
      </c>
      <c r="C378" s="5">
        <v>35.289000000000001</v>
      </c>
      <c r="D378" s="5">
        <v>35.049999999999997</v>
      </c>
      <c r="E378" s="5">
        <v>35.270000000000003</v>
      </c>
      <c r="F378" s="6">
        <v>2488069</v>
      </c>
    </row>
    <row r="379" spans="1:6" x14ac:dyDescent="0.2">
      <c r="A379" s="4">
        <v>45016</v>
      </c>
      <c r="B379" s="5">
        <v>35.47</v>
      </c>
      <c r="C379" s="5">
        <v>35.74</v>
      </c>
      <c r="D379" s="5">
        <v>35.39</v>
      </c>
      <c r="E379" s="5">
        <v>35.58</v>
      </c>
      <c r="F379" s="6">
        <v>2799972</v>
      </c>
    </row>
    <row r="380" spans="1:6" x14ac:dyDescent="0.2">
      <c r="A380" s="4">
        <v>45019</v>
      </c>
      <c r="B380" s="5">
        <v>35.619999999999997</v>
      </c>
      <c r="C380" s="5">
        <v>35.96</v>
      </c>
      <c r="D380" s="5">
        <v>35.58</v>
      </c>
      <c r="E380" s="5">
        <v>35.950000000000003</v>
      </c>
      <c r="F380" s="6">
        <v>2816888</v>
      </c>
    </row>
    <row r="381" spans="1:6" x14ac:dyDescent="0.2">
      <c r="A381" s="4">
        <v>45020</v>
      </c>
      <c r="B381" s="5">
        <v>36.18</v>
      </c>
      <c r="C381" s="5">
        <v>36.58</v>
      </c>
      <c r="D381" s="5">
        <v>36.119999999999997</v>
      </c>
      <c r="E381" s="5">
        <v>36.549999999999997</v>
      </c>
      <c r="F381" s="6">
        <v>3453147</v>
      </c>
    </row>
    <row r="382" spans="1:6" x14ac:dyDescent="0.2">
      <c r="A382" s="4">
        <v>45021</v>
      </c>
      <c r="B382" s="5">
        <v>36.99</v>
      </c>
      <c r="C382" s="5">
        <v>37.479999999999997</v>
      </c>
      <c r="D382" s="5">
        <v>36.96</v>
      </c>
      <c r="E382" s="5">
        <v>37.450000000000003</v>
      </c>
      <c r="F382" s="6">
        <v>5253054</v>
      </c>
    </row>
    <row r="383" spans="1:6" x14ac:dyDescent="0.2">
      <c r="A383" s="4">
        <v>45022</v>
      </c>
      <c r="B383" s="5">
        <v>37.799999999999997</v>
      </c>
      <c r="C383" s="5">
        <v>38.2087</v>
      </c>
      <c r="D383" s="5">
        <v>37.72</v>
      </c>
      <c r="E383" s="5">
        <v>38</v>
      </c>
      <c r="F383" s="6">
        <v>5059669</v>
      </c>
    </row>
    <row r="384" spans="1:6" x14ac:dyDescent="0.2">
      <c r="A384" s="4">
        <v>45026</v>
      </c>
      <c r="B384" s="5">
        <v>38</v>
      </c>
      <c r="C384" s="5">
        <v>38.049999999999997</v>
      </c>
      <c r="D384" s="5">
        <v>37.681100000000001</v>
      </c>
      <c r="E384" s="5">
        <v>37.869999999999997</v>
      </c>
      <c r="F384" s="6">
        <v>2681626</v>
      </c>
    </row>
    <row r="385" spans="1:6" x14ac:dyDescent="0.2">
      <c r="A385" s="4">
        <v>45027</v>
      </c>
      <c r="B385" s="5">
        <v>37.83</v>
      </c>
      <c r="C385" s="5">
        <v>37.83</v>
      </c>
      <c r="D385" s="5">
        <v>37.33</v>
      </c>
      <c r="E385" s="5">
        <v>37.35</v>
      </c>
      <c r="F385" s="6">
        <v>2963135</v>
      </c>
    </row>
    <row r="386" spans="1:6" x14ac:dyDescent="0.2">
      <c r="A386" s="4">
        <v>45028</v>
      </c>
      <c r="B386" s="5">
        <v>37.78</v>
      </c>
      <c r="C386" s="5">
        <v>37.928400000000003</v>
      </c>
      <c r="D386" s="5">
        <v>37.634999999999998</v>
      </c>
      <c r="E386" s="5">
        <v>37.71</v>
      </c>
      <c r="F386" s="6">
        <v>2524755</v>
      </c>
    </row>
    <row r="387" spans="1:6" x14ac:dyDescent="0.2">
      <c r="A387" s="4">
        <v>45029</v>
      </c>
      <c r="B387" s="5">
        <v>38.03</v>
      </c>
      <c r="C387" s="5">
        <v>38.32</v>
      </c>
      <c r="D387" s="5">
        <v>37.99</v>
      </c>
      <c r="E387" s="5">
        <v>38.32</v>
      </c>
      <c r="F387" s="6">
        <v>2760726</v>
      </c>
    </row>
    <row r="388" spans="1:6" x14ac:dyDescent="0.2">
      <c r="A388" s="4">
        <v>45030</v>
      </c>
      <c r="B388" s="5">
        <v>38.1</v>
      </c>
      <c r="C388" s="5">
        <v>38.115000000000002</v>
      </c>
      <c r="D388" s="5">
        <v>37.67</v>
      </c>
      <c r="E388" s="5">
        <v>37.770000000000003</v>
      </c>
      <c r="F388" s="6">
        <v>2694053</v>
      </c>
    </row>
    <row r="389" spans="1:6" x14ac:dyDescent="0.2">
      <c r="A389" s="4">
        <v>45033</v>
      </c>
      <c r="B389" s="5">
        <v>37.68</v>
      </c>
      <c r="C389" s="5">
        <v>37.685000000000002</v>
      </c>
      <c r="D389" s="5">
        <v>37.340000000000003</v>
      </c>
      <c r="E389" s="5">
        <v>37.39</v>
      </c>
      <c r="F389" s="6">
        <v>2903680</v>
      </c>
    </row>
    <row r="390" spans="1:6" x14ac:dyDescent="0.2">
      <c r="A390" s="4">
        <v>45034</v>
      </c>
      <c r="B390" s="5">
        <v>37.15</v>
      </c>
      <c r="C390" s="5">
        <v>37.234999999999999</v>
      </c>
      <c r="D390" s="5">
        <v>36.7301</v>
      </c>
      <c r="E390" s="5">
        <v>36.78</v>
      </c>
      <c r="F390" s="6">
        <v>2495489</v>
      </c>
    </row>
    <row r="391" spans="1:6" x14ac:dyDescent="0.2">
      <c r="A391" s="4">
        <v>45035</v>
      </c>
      <c r="B391" s="5">
        <v>37</v>
      </c>
      <c r="C391" s="5">
        <v>37.049999999999997</v>
      </c>
      <c r="D391" s="5">
        <v>36.784999999999997</v>
      </c>
      <c r="E391" s="5">
        <v>36.93</v>
      </c>
      <c r="F391" s="6">
        <v>2649152</v>
      </c>
    </row>
    <row r="392" spans="1:6" x14ac:dyDescent="0.2">
      <c r="A392" s="4">
        <v>45036</v>
      </c>
      <c r="B392" s="5">
        <v>36.840000000000003</v>
      </c>
      <c r="C392" s="5">
        <v>36.840000000000003</v>
      </c>
      <c r="D392" s="5">
        <v>36.43</v>
      </c>
      <c r="E392" s="5">
        <v>36.46</v>
      </c>
      <c r="F392" s="6">
        <v>2999036</v>
      </c>
    </row>
    <row r="393" spans="1:6" x14ac:dyDescent="0.2">
      <c r="A393" s="4">
        <v>45037</v>
      </c>
      <c r="B393" s="5">
        <v>36.590000000000003</v>
      </c>
      <c r="C393" s="5">
        <v>36.72</v>
      </c>
      <c r="D393" s="5">
        <v>36.450000000000003</v>
      </c>
      <c r="E393" s="5">
        <v>36.71</v>
      </c>
      <c r="F393" s="6">
        <v>2268153</v>
      </c>
    </row>
    <row r="394" spans="1:6" x14ac:dyDescent="0.2">
      <c r="A394" s="4">
        <v>45040</v>
      </c>
      <c r="B394" s="5">
        <v>36.75</v>
      </c>
      <c r="C394" s="5">
        <v>36.765000000000001</v>
      </c>
      <c r="D394" s="5">
        <v>36.545000000000002</v>
      </c>
      <c r="E394" s="5">
        <v>36.65</v>
      </c>
      <c r="F394" s="6">
        <v>2480625</v>
      </c>
    </row>
    <row r="395" spans="1:6" x14ac:dyDescent="0.2">
      <c r="A395" s="4">
        <v>45041</v>
      </c>
      <c r="B395" s="5">
        <v>37.25</v>
      </c>
      <c r="C395" s="5">
        <v>37.32</v>
      </c>
      <c r="D395" s="5">
        <v>36.69</v>
      </c>
      <c r="E395" s="5">
        <v>36.909999999999997</v>
      </c>
      <c r="F395" s="6">
        <v>3995929</v>
      </c>
    </row>
    <row r="396" spans="1:6" x14ac:dyDescent="0.2">
      <c r="A396" s="4">
        <v>45042</v>
      </c>
      <c r="B396" s="5">
        <v>36.9</v>
      </c>
      <c r="C396" s="5">
        <v>37.01</v>
      </c>
      <c r="D396" s="5">
        <v>35.720100000000002</v>
      </c>
      <c r="E396" s="5">
        <v>35.93</v>
      </c>
      <c r="F396" s="6">
        <v>3765703</v>
      </c>
    </row>
    <row r="397" spans="1:6" x14ac:dyDescent="0.2">
      <c r="A397" s="4">
        <v>45043</v>
      </c>
      <c r="B397" s="5">
        <v>36.049999999999997</v>
      </c>
      <c r="C397" s="5">
        <v>36.125</v>
      </c>
      <c r="D397" s="5">
        <v>35.700000000000003</v>
      </c>
      <c r="E397" s="5">
        <v>36.01</v>
      </c>
      <c r="F397" s="6">
        <v>2696222</v>
      </c>
    </row>
    <row r="398" spans="1:6" x14ac:dyDescent="0.2">
      <c r="A398" s="4">
        <v>45044</v>
      </c>
      <c r="B398" s="5">
        <v>35.92</v>
      </c>
      <c r="C398" s="5">
        <v>36.270000000000003</v>
      </c>
      <c r="D398" s="5">
        <v>35.854999999999997</v>
      </c>
      <c r="E398" s="5">
        <v>36.03</v>
      </c>
      <c r="F398" s="6">
        <v>2559895</v>
      </c>
    </row>
    <row r="399" spans="1:6" x14ac:dyDescent="0.2">
      <c r="A399" s="4">
        <v>45047</v>
      </c>
      <c r="B399" s="5">
        <v>35.99</v>
      </c>
      <c r="C399" s="5">
        <v>36.380000000000003</v>
      </c>
      <c r="D399" s="5">
        <v>35.945</v>
      </c>
      <c r="E399" s="5">
        <v>36.200000000000003</v>
      </c>
      <c r="F399" s="6">
        <v>2055123</v>
      </c>
    </row>
    <row r="400" spans="1:6" x14ac:dyDescent="0.2">
      <c r="A400" s="4">
        <v>45048</v>
      </c>
      <c r="B400" s="5">
        <v>36.200000000000003</v>
      </c>
      <c r="C400" s="5">
        <v>36.54</v>
      </c>
      <c r="D400" s="5">
        <v>36.15</v>
      </c>
      <c r="E400" s="5">
        <v>36.35</v>
      </c>
      <c r="F400" s="6">
        <v>2631486</v>
      </c>
    </row>
    <row r="401" spans="1:6" x14ac:dyDescent="0.2">
      <c r="A401" s="4">
        <v>45049</v>
      </c>
      <c r="B401" s="5">
        <v>36.799999999999997</v>
      </c>
      <c r="C401" s="5">
        <v>37.22</v>
      </c>
      <c r="D401" s="5">
        <v>36.72</v>
      </c>
      <c r="E401" s="5">
        <v>36.840000000000003</v>
      </c>
      <c r="F401" s="6">
        <v>4806681</v>
      </c>
    </row>
    <row r="402" spans="1:6" x14ac:dyDescent="0.2">
      <c r="A402" s="4">
        <v>45050</v>
      </c>
      <c r="B402" s="5">
        <v>36.96</v>
      </c>
      <c r="C402" s="5">
        <v>37.01</v>
      </c>
      <c r="D402" s="5">
        <v>36.67</v>
      </c>
      <c r="E402" s="5">
        <v>36.71</v>
      </c>
      <c r="F402" s="6">
        <v>2735396</v>
      </c>
    </row>
    <row r="403" spans="1:6" x14ac:dyDescent="0.2">
      <c r="A403" s="4">
        <v>45051</v>
      </c>
      <c r="B403" s="5">
        <v>36.479999999999997</v>
      </c>
      <c r="C403" s="5">
        <v>37.049999999999997</v>
      </c>
      <c r="D403" s="5">
        <v>36.42</v>
      </c>
      <c r="E403" s="5">
        <v>36.979999999999997</v>
      </c>
      <c r="F403" s="6">
        <v>2511063</v>
      </c>
    </row>
    <row r="404" spans="1:6" x14ac:dyDescent="0.2">
      <c r="A404" s="4">
        <v>45054</v>
      </c>
      <c r="B404" s="5">
        <v>37.07</v>
      </c>
      <c r="C404" s="5">
        <v>37.180599999999998</v>
      </c>
      <c r="D404" s="5">
        <v>36.74</v>
      </c>
      <c r="E404" s="5">
        <v>36.770000000000003</v>
      </c>
      <c r="F404" s="6">
        <v>2112001</v>
      </c>
    </row>
    <row r="405" spans="1:6" x14ac:dyDescent="0.2">
      <c r="A405" s="4">
        <v>45055</v>
      </c>
      <c r="B405" s="5">
        <v>36.31</v>
      </c>
      <c r="C405" s="5">
        <v>36.590000000000003</v>
      </c>
      <c r="D405" s="5">
        <v>36.270000000000003</v>
      </c>
      <c r="E405" s="5">
        <v>36.450000000000003</v>
      </c>
      <c r="F405" s="6">
        <v>2132899</v>
      </c>
    </row>
    <row r="406" spans="1:6" x14ac:dyDescent="0.2">
      <c r="A406" s="4">
        <v>45056</v>
      </c>
      <c r="B406" s="5">
        <v>36.44</v>
      </c>
      <c r="C406" s="5">
        <v>36.58</v>
      </c>
      <c r="D406" s="5">
        <v>36.164999999999999</v>
      </c>
      <c r="E406" s="5">
        <v>36.53</v>
      </c>
      <c r="F406" s="6">
        <v>2648498</v>
      </c>
    </row>
    <row r="407" spans="1:6" x14ac:dyDescent="0.2">
      <c r="A407" s="4">
        <v>45057</v>
      </c>
      <c r="B407" s="5">
        <v>36.21</v>
      </c>
      <c r="C407" s="5">
        <v>36.299999999999997</v>
      </c>
      <c r="D407" s="5">
        <v>35.965000000000003</v>
      </c>
      <c r="E407" s="5">
        <v>36.28</v>
      </c>
      <c r="F407" s="6">
        <v>1434960</v>
      </c>
    </row>
    <row r="408" spans="1:6" x14ac:dyDescent="0.2">
      <c r="A408" s="4">
        <v>45058</v>
      </c>
      <c r="B408" s="5">
        <v>36.86</v>
      </c>
      <c r="C408" s="5">
        <v>37.115000000000002</v>
      </c>
      <c r="D408" s="5">
        <v>36.450000000000003</v>
      </c>
      <c r="E408" s="5">
        <v>36.53</v>
      </c>
      <c r="F408" s="6">
        <v>2048207</v>
      </c>
    </row>
    <row r="409" spans="1:6" x14ac:dyDescent="0.2">
      <c r="A409" s="4">
        <v>45061</v>
      </c>
      <c r="B409" s="5">
        <v>36.630000000000003</v>
      </c>
      <c r="C409" s="5">
        <v>36.85</v>
      </c>
      <c r="D409" s="5">
        <v>36.47</v>
      </c>
      <c r="E409" s="5">
        <v>36.78</v>
      </c>
      <c r="F409" s="6">
        <v>2479306</v>
      </c>
    </row>
    <row r="410" spans="1:6" x14ac:dyDescent="0.2">
      <c r="A410" s="4">
        <v>45062</v>
      </c>
      <c r="B410" s="5">
        <v>36.450000000000003</v>
      </c>
      <c r="C410" s="5">
        <v>36.67</v>
      </c>
      <c r="D410" s="5">
        <v>36.445</v>
      </c>
      <c r="E410" s="5">
        <v>36.47</v>
      </c>
      <c r="F410" s="6">
        <v>2117801</v>
      </c>
    </row>
    <row r="411" spans="1:6" x14ac:dyDescent="0.2">
      <c r="A411" s="4">
        <v>45063</v>
      </c>
      <c r="B411" s="5">
        <v>36.56</v>
      </c>
      <c r="C411" s="5">
        <v>36.57</v>
      </c>
      <c r="D411" s="5">
        <v>35.909999999999997</v>
      </c>
      <c r="E411" s="5">
        <v>36.14</v>
      </c>
      <c r="F411" s="6">
        <v>2407690</v>
      </c>
    </row>
    <row r="412" spans="1:6" x14ac:dyDescent="0.2">
      <c r="A412" s="4">
        <v>45064</v>
      </c>
      <c r="B412" s="5">
        <v>35.58</v>
      </c>
      <c r="C412" s="5">
        <v>35.619999999999997</v>
      </c>
      <c r="D412" s="5">
        <v>35.075000000000003</v>
      </c>
      <c r="E412" s="5">
        <v>35.21</v>
      </c>
      <c r="F412" s="6">
        <v>3261463</v>
      </c>
    </row>
    <row r="413" spans="1:6" x14ac:dyDescent="0.2">
      <c r="A413" s="4">
        <v>45065</v>
      </c>
      <c r="B413" s="5">
        <v>35.159999999999997</v>
      </c>
      <c r="C413" s="5">
        <v>35.67</v>
      </c>
      <c r="D413" s="5">
        <v>35.159999999999997</v>
      </c>
      <c r="E413" s="5">
        <v>35.61</v>
      </c>
      <c r="F413" s="6">
        <v>2639904</v>
      </c>
    </row>
    <row r="414" spans="1:6" x14ac:dyDescent="0.2">
      <c r="A414" s="4">
        <v>45068</v>
      </c>
      <c r="B414" s="5">
        <v>35.409999999999997</v>
      </c>
      <c r="C414" s="5">
        <v>35.659999999999997</v>
      </c>
      <c r="D414" s="5">
        <v>35.29</v>
      </c>
      <c r="E414" s="5">
        <v>35.35</v>
      </c>
      <c r="F414" s="6">
        <v>3494480</v>
      </c>
    </row>
    <row r="415" spans="1:6" x14ac:dyDescent="0.2">
      <c r="A415" s="4">
        <v>45069</v>
      </c>
      <c r="B415" s="5">
        <v>35.47</v>
      </c>
      <c r="C415" s="5">
        <v>35.639099999999999</v>
      </c>
      <c r="D415" s="5">
        <v>35.35</v>
      </c>
      <c r="E415" s="5">
        <v>35.42</v>
      </c>
      <c r="F415" s="6">
        <v>1678100</v>
      </c>
    </row>
    <row r="416" spans="1:6" x14ac:dyDescent="0.2">
      <c r="A416" s="4">
        <v>45070</v>
      </c>
      <c r="B416" s="5">
        <v>35.04</v>
      </c>
      <c r="C416" s="5">
        <v>35.06</v>
      </c>
      <c r="D416" s="5">
        <v>34.69</v>
      </c>
      <c r="E416" s="5">
        <v>34.69</v>
      </c>
      <c r="F416" s="6">
        <v>2879487</v>
      </c>
    </row>
    <row r="417" spans="1:6" x14ac:dyDescent="0.2">
      <c r="A417" s="4">
        <v>45071</v>
      </c>
      <c r="B417" s="5">
        <v>34.5</v>
      </c>
      <c r="C417" s="5">
        <v>34.54</v>
      </c>
      <c r="D417" s="5">
        <v>33.93</v>
      </c>
      <c r="E417" s="5">
        <v>34.11</v>
      </c>
      <c r="F417" s="6">
        <v>3224258</v>
      </c>
    </row>
    <row r="418" spans="1:6" x14ac:dyDescent="0.2">
      <c r="A418" s="4">
        <v>45072</v>
      </c>
      <c r="B418" s="5">
        <v>34.29</v>
      </c>
      <c r="C418" s="5">
        <v>34.524999999999999</v>
      </c>
      <c r="D418" s="5">
        <v>34.185000000000002</v>
      </c>
      <c r="E418" s="5">
        <v>34.24</v>
      </c>
      <c r="F418" s="6">
        <v>2207800</v>
      </c>
    </row>
    <row r="419" spans="1:6" x14ac:dyDescent="0.2">
      <c r="A419" s="4">
        <v>45076</v>
      </c>
      <c r="B419" s="5">
        <v>34.299999999999997</v>
      </c>
      <c r="C419" s="5">
        <v>34.299999999999997</v>
      </c>
      <c r="D419" s="5">
        <v>33.770000000000003</v>
      </c>
      <c r="E419" s="5">
        <v>33.86</v>
      </c>
      <c r="F419" s="6">
        <v>4934892</v>
      </c>
    </row>
    <row r="420" spans="1:6" x14ac:dyDescent="0.2">
      <c r="A420" s="4">
        <v>45077</v>
      </c>
      <c r="B420" s="5">
        <v>33.5</v>
      </c>
      <c r="C420" s="5">
        <v>33.68</v>
      </c>
      <c r="D420" s="5">
        <v>33.39</v>
      </c>
      <c r="E420" s="5">
        <v>33.6</v>
      </c>
      <c r="F420" s="6">
        <v>3342195</v>
      </c>
    </row>
    <row r="421" spans="1:6" x14ac:dyDescent="0.2">
      <c r="A421" s="4">
        <v>45078</v>
      </c>
      <c r="B421" s="5">
        <v>33.520000000000003</v>
      </c>
      <c r="C421" s="5">
        <v>34</v>
      </c>
      <c r="D421" s="5">
        <v>33.33</v>
      </c>
      <c r="E421" s="5">
        <v>33.799999999999997</v>
      </c>
      <c r="F421" s="6">
        <v>2671290</v>
      </c>
    </row>
    <row r="422" spans="1:6" x14ac:dyDescent="0.2">
      <c r="A422" s="4">
        <v>45079</v>
      </c>
      <c r="B422" s="5">
        <v>33.950000000000003</v>
      </c>
      <c r="C422" s="5">
        <v>34.26</v>
      </c>
      <c r="D422" s="5">
        <v>33.880000000000003</v>
      </c>
      <c r="E422" s="5">
        <v>34.11</v>
      </c>
      <c r="F422" s="6">
        <v>1990776</v>
      </c>
    </row>
    <row r="423" spans="1:6" x14ac:dyDescent="0.2">
      <c r="A423" s="4">
        <v>45082</v>
      </c>
      <c r="B423" s="5">
        <v>34.18</v>
      </c>
      <c r="C423" s="5">
        <v>34.43</v>
      </c>
      <c r="D423" s="5">
        <v>34.17</v>
      </c>
      <c r="E423" s="5">
        <v>34.28</v>
      </c>
      <c r="F423" s="6">
        <v>1433783</v>
      </c>
    </row>
    <row r="424" spans="1:6" x14ac:dyDescent="0.2">
      <c r="A424" s="4">
        <v>45083</v>
      </c>
      <c r="B424" s="5">
        <v>34.659999999999997</v>
      </c>
      <c r="C424" s="5">
        <v>34.729999999999997</v>
      </c>
      <c r="D424" s="5">
        <v>34.44</v>
      </c>
      <c r="E424" s="5">
        <v>34.619999999999997</v>
      </c>
      <c r="F424" s="6">
        <v>2273380</v>
      </c>
    </row>
    <row r="425" spans="1:6" x14ac:dyDescent="0.2">
      <c r="A425" s="4">
        <v>45084</v>
      </c>
      <c r="B425" s="5">
        <v>34.67</v>
      </c>
      <c r="C425" s="5">
        <v>34.700000000000003</v>
      </c>
      <c r="D425" s="5">
        <v>34.229999999999997</v>
      </c>
      <c r="E425" s="5">
        <v>34.36</v>
      </c>
      <c r="F425" s="6">
        <v>2232634</v>
      </c>
    </row>
    <row r="426" spans="1:6" x14ac:dyDescent="0.2">
      <c r="A426" s="4">
        <v>45085</v>
      </c>
      <c r="B426" s="5">
        <v>34.5</v>
      </c>
      <c r="C426" s="5">
        <v>34.734999999999999</v>
      </c>
      <c r="D426" s="5">
        <v>34.369999999999997</v>
      </c>
      <c r="E426" s="5">
        <v>34.72</v>
      </c>
      <c r="F426" s="6">
        <v>2523807</v>
      </c>
    </row>
    <row r="427" spans="1:6" x14ac:dyDescent="0.2">
      <c r="A427" s="4">
        <v>45086</v>
      </c>
      <c r="B427" s="5">
        <v>34.53</v>
      </c>
      <c r="C427" s="5">
        <v>34.82</v>
      </c>
      <c r="D427" s="5">
        <v>34.43</v>
      </c>
      <c r="E427" s="5">
        <v>34.76</v>
      </c>
      <c r="F427" s="6">
        <v>1751218</v>
      </c>
    </row>
    <row r="428" spans="1:6" x14ac:dyDescent="0.2">
      <c r="A428" s="4">
        <v>45089</v>
      </c>
      <c r="B428" s="5">
        <v>34.57</v>
      </c>
      <c r="C428" s="5">
        <v>34.700000000000003</v>
      </c>
      <c r="D428" s="5">
        <v>34.26</v>
      </c>
      <c r="E428" s="5">
        <v>34.39</v>
      </c>
      <c r="F428" s="6">
        <v>2700352</v>
      </c>
    </row>
    <row r="429" spans="1:6" x14ac:dyDescent="0.2">
      <c r="A429" s="4">
        <v>45090</v>
      </c>
      <c r="B429" s="5">
        <v>34.380000000000003</v>
      </c>
      <c r="C429" s="5">
        <v>34.655000000000001</v>
      </c>
      <c r="D429" s="5">
        <v>34.369999999999997</v>
      </c>
      <c r="E429" s="5">
        <v>34.64</v>
      </c>
      <c r="F429" s="6">
        <v>3800496</v>
      </c>
    </row>
    <row r="430" spans="1:6" x14ac:dyDescent="0.2">
      <c r="A430" s="4">
        <v>45091</v>
      </c>
      <c r="B430" s="5">
        <v>34.74</v>
      </c>
      <c r="C430" s="5">
        <v>34.770000000000003</v>
      </c>
      <c r="D430" s="5">
        <v>34.44</v>
      </c>
      <c r="E430" s="5">
        <v>34.47</v>
      </c>
      <c r="F430" s="6">
        <v>1954800</v>
      </c>
    </row>
    <row r="431" spans="1:6" x14ac:dyDescent="0.2">
      <c r="A431" s="4">
        <v>45092</v>
      </c>
      <c r="B431" s="5">
        <v>34.92</v>
      </c>
      <c r="C431" s="5">
        <v>35.32</v>
      </c>
      <c r="D431" s="5">
        <v>34.89</v>
      </c>
      <c r="E431" s="5">
        <v>35.270000000000003</v>
      </c>
      <c r="F431" s="6">
        <v>3320842</v>
      </c>
    </row>
    <row r="432" spans="1:6" x14ac:dyDescent="0.2">
      <c r="A432" s="4">
        <v>45093</v>
      </c>
      <c r="B432" s="5">
        <v>35.270000000000003</v>
      </c>
      <c r="C432" s="5">
        <v>35.475000000000001</v>
      </c>
      <c r="D432" s="5">
        <v>34.715000000000003</v>
      </c>
      <c r="E432" s="5">
        <v>35.15</v>
      </c>
      <c r="F432" s="6">
        <v>5945470</v>
      </c>
    </row>
    <row r="433" spans="1:6" x14ac:dyDescent="0.2">
      <c r="A433" s="4">
        <v>45097</v>
      </c>
      <c r="B433" s="5">
        <v>34.799999999999997</v>
      </c>
      <c r="C433" s="5">
        <v>34.909999999999997</v>
      </c>
      <c r="D433" s="5">
        <v>34.612499999999997</v>
      </c>
      <c r="E433" s="5">
        <v>34.619999999999997</v>
      </c>
      <c r="F433" s="6">
        <v>2696456</v>
      </c>
    </row>
    <row r="434" spans="1:6" x14ac:dyDescent="0.2">
      <c r="A434" s="4">
        <v>45098</v>
      </c>
      <c r="B434" s="5">
        <v>34.81</v>
      </c>
      <c r="C434" s="5">
        <v>35.19</v>
      </c>
      <c r="D434" s="5">
        <v>34.56</v>
      </c>
      <c r="E434" s="5">
        <v>35.15</v>
      </c>
      <c r="F434" s="6">
        <v>7023244</v>
      </c>
    </row>
    <row r="435" spans="1:6" x14ac:dyDescent="0.2">
      <c r="A435" s="4">
        <v>45099</v>
      </c>
      <c r="B435" s="5">
        <v>34.67</v>
      </c>
      <c r="C435" s="5">
        <v>34.85</v>
      </c>
      <c r="D435" s="5">
        <v>34.56</v>
      </c>
      <c r="E435" s="5">
        <v>34.68</v>
      </c>
      <c r="F435" s="6">
        <v>4840526</v>
      </c>
    </row>
    <row r="436" spans="1:6" x14ac:dyDescent="0.2">
      <c r="A436" s="4">
        <v>45100</v>
      </c>
      <c r="B436" s="5">
        <v>36</v>
      </c>
      <c r="C436" s="5">
        <v>36.57</v>
      </c>
      <c r="D436" s="5">
        <v>35.74</v>
      </c>
      <c r="E436" s="5">
        <v>36.380000000000003</v>
      </c>
      <c r="F436" s="6">
        <v>7620437</v>
      </c>
    </row>
    <row r="437" spans="1:6" x14ac:dyDescent="0.2">
      <c r="A437" s="4">
        <v>45103</v>
      </c>
      <c r="B437" s="5">
        <v>36.39</v>
      </c>
      <c r="C437" s="5">
        <v>36.450000000000003</v>
      </c>
      <c r="D437" s="5">
        <v>35.975000000000001</v>
      </c>
      <c r="E437" s="5">
        <v>36.270000000000003</v>
      </c>
      <c r="F437" s="6">
        <v>3735483</v>
      </c>
    </row>
    <row r="438" spans="1:6" x14ac:dyDescent="0.2">
      <c r="A438" s="4">
        <v>45104</v>
      </c>
      <c r="B438" s="5">
        <v>35.94</v>
      </c>
      <c r="C438" s="5">
        <v>36.14</v>
      </c>
      <c r="D438" s="5">
        <v>35.664999999999999</v>
      </c>
      <c r="E438" s="5">
        <v>35.76</v>
      </c>
      <c r="F438" s="6">
        <v>4938966</v>
      </c>
    </row>
    <row r="439" spans="1:6" x14ac:dyDescent="0.2">
      <c r="A439" s="4">
        <v>45105</v>
      </c>
      <c r="B439" s="5">
        <v>35.619999999999997</v>
      </c>
      <c r="C439" s="5">
        <v>35.659999999999997</v>
      </c>
      <c r="D439" s="5">
        <v>35.344999999999999</v>
      </c>
      <c r="E439" s="5">
        <v>35.53</v>
      </c>
      <c r="F439" s="6">
        <v>3887398</v>
      </c>
    </row>
    <row r="440" spans="1:6" x14ac:dyDescent="0.2">
      <c r="A440" s="4">
        <v>45106</v>
      </c>
      <c r="B440" s="5">
        <v>35.1</v>
      </c>
      <c r="C440" s="5">
        <v>35.51</v>
      </c>
      <c r="D440" s="5">
        <v>35.024999999999999</v>
      </c>
      <c r="E440" s="5">
        <v>35.42</v>
      </c>
      <c r="F440" s="6">
        <v>4049963</v>
      </c>
    </row>
    <row r="441" spans="1:6" x14ac:dyDescent="0.2">
      <c r="A441" s="4">
        <v>45107</v>
      </c>
      <c r="B441" s="5">
        <v>35.25</v>
      </c>
      <c r="C441" s="5">
        <v>35.67</v>
      </c>
      <c r="D441" s="5">
        <v>35.25</v>
      </c>
      <c r="E441" s="5">
        <v>35.64</v>
      </c>
      <c r="F441" s="6">
        <v>4969969</v>
      </c>
    </row>
    <row r="442" spans="1:6" x14ac:dyDescent="0.2">
      <c r="A442" s="4">
        <v>45110</v>
      </c>
      <c r="B442" s="5">
        <v>35.6</v>
      </c>
      <c r="C442" s="5">
        <v>35.61</v>
      </c>
      <c r="D442" s="5">
        <v>35.29</v>
      </c>
      <c r="E442" s="5">
        <v>35.29</v>
      </c>
      <c r="F442" s="6">
        <v>2389307</v>
      </c>
    </row>
    <row r="443" spans="1:6" x14ac:dyDescent="0.2">
      <c r="A443" s="4">
        <v>45112</v>
      </c>
      <c r="B443" s="5">
        <v>35.03</v>
      </c>
      <c r="C443" s="5">
        <v>35.064999999999998</v>
      </c>
      <c r="D443" s="5">
        <v>34.71</v>
      </c>
      <c r="E443" s="5">
        <v>34.729999999999997</v>
      </c>
      <c r="F443" s="6">
        <v>3311250</v>
      </c>
    </row>
    <row r="444" spans="1:6" x14ac:dyDescent="0.2">
      <c r="A444" s="4">
        <v>45113</v>
      </c>
      <c r="B444" s="5">
        <v>34.49</v>
      </c>
      <c r="C444" s="5">
        <v>34.49</v>
      </c>
      <c r="D444" s="5">
        <v>34.020000000000003</v>
      </c>
      <c r="E444" s="5">
        <v>34.090000000000003</v>
      </c>
      <c r="F444" s="6">
        <v>3185670</v>
      </c>
    </row>
    <row r="445" spans="1:6" x14ac:dyDescent="0.2">
      <c r="A445" s="4">
        <v>45114</v>
      </c>
      <c r="B445" s="5">
        <v>34.020000000000003</v>
      </c>
      <c r="C445" s="5">
        <v>34.080800000000004</v>
      </c>
      <c r="D445" s="5">
        <v>33.71</v>
      </c>
      <c r="E445" s="5">
        <v>33.81</v>
      </c>
      <c r="F445" s="6">
        <v>3370003</v>
      </c>
    </row>
    <row r="446" spans="1:6" x14ac:dyDescent="0.2">
      <c r="A446" s="4">
        <v>45117</v>
      </c>
      <c r="B446" s="5">
        <v>33.78</v>
      </c>
      <c r="C446" s="5">
        <v>33.979999999999997</v>
      </c>
      <c r="D446" s="5">
        <v>33.700000000000003</v>
      </c>
      <c r="E446" s="5">
        <v>33.85</v>
      </c>
      <c r="F446" s="6">
        <v>2911158</v>
      </c>
    </row>
    <row r="447" spans="1:6" x14ac:dyDescent="0.2">
      <c r="A447" s="4">
        <v>45118</v>
      </c>
      <c r="B447" s="5">
        <v>33.909999999999997</v>
      </c>
      <c r="C447" s="5">
        <v>34.147500000000001</v>
      </c>
      <c r="D447" s="5">
        <v>33.9</v>
      </c>
      <c r="E447" s="5">
        <v>34.119999999999997</v>
      </c>
      <c r="F447" s="6">
        <v>2587998</v>
      </c>
    </row>
    <row r="448" spans="1:6" x14ac:dyDescent="0.2">
      <c r="A448" s="4">
        <v>45119</v>
      </c>
      <c r="B448" s="5">
        <v>34.35</v>
      </c>
      <c r="C448" s="5">
        <v>34.76</v>
      </c>
      <c r="D448" s="5">
        <v>34.35</v>
      </c>
      <c r="E448" s="5">
        <v>34.5</v>
      </c>
      <c r="F448" s="6">
        <v>3051394</v>
      </c>
    </row>
    <row r="449" spans="1:6" x14ac:dyDescent="0.2">
      <c r="A449" s="4">
        <v>45120</v>
      </c>
      <c r="B449" s="5">
        <v>35.06</v>
      </c>
      <c r="C449" s="5">
        <v>35.123699999999999</v>
      </c>
      <c r="D449" s="5">
        <v>34.795000000000002</v>
      </c>
      <c r="E449" s="5">
        <v>34.799999999999997</v>
      </c>
      <c r="F449" s="6">
        <v>2849181</v>
      </c>
    </row>
    <row r="450" spans="1:6" x14ac:dyDescent="0.2">
      <c r="A450" s="4">
        <v>45121</v>
      </c>
      <c r="B450" s="5">
        <v>34.81</v>
      </c>
      <c r="C450" s="5">
        <v>34.880000000000003</v>
      </c>
      <c r="D450" s="5">
        <v>34.51</v>
      </c>
      <c r="E450" s="5">
        <v>34.53</v>
      </c>
      <c r="F450" s="6">
        <v>2875233</v>
      </c>
    </row>
    <row r="451" spans="1:6" x14ac:dyDescent="0.2">
      <c r="A451" s="4">
        <v>45124</v>
      </c>
      <c r="B451" s="5">
        <v>34.53</v>
      </c>
      <c r="C451" s="5">
        <v>34.594999999999999</v>
      </c>
      <c r="D451" s="5">
        <v>34.44</v>
      </c>
      <c r="E451" s="5">
        <v>34.51</v>
      </c>
      <c r="F451" s="6">
        <v>2405922</v>
      </c>
    </row>
    <row r="452" spans="1:6" x14ac:dyDescent="0.2">
      <c r="A452" s="4">
        <v>45125</v>
      </c>
      <c r="B452" s="5">
        <v>34.67</v>
      </c>
      <c r="C452" s="5">
        <v>35</v>
      </c>
      <c r="D452" s="5">
        <v>34.6</v>
      </c>
      <c r="E452" s="5">
        <v>34.799999999999997</v>
      </c>
      <c r="F452" s="6">
        <v>2806883</v>
      </c>
    </row>
    <row r="453" spans="1:6" x14ac:dyDescent="0.2">
      <c r="A453" s="4">
        <v>45126</v>
      </c>
      <c r="B453" s="5">
        <v>35.17</v>
      </c>
      <c r="C453" s="5">
        <v>35.335000000000001</v>
      </c>
      <c r="D453" s="5">
        <v>35.119999999999997</v>
      </c>
      <c r="E453" s="5">
        <v>35.19</v>
      </c>
      <c r="F453" s="6">
        <v>2490290</v>
      </c>
    </row>
    <row r="454" spans="1:6" x14ac:dyDescent="0.2">
      <c r="A454" s="4">
        <v>45127</v>
      </c>
      <c r="B454" s="5">
        <v>35.61</v>
      </c>
      <c r="C454" s="5">
        <v>35.76</v>
      </c>
      <c r="D454" s="5">
        <v>35.582299999999996</v>
      </c>
      <c r="E454" s="5">
        <v>35.700000000000003</v>
      </c>
      <c r="F454" s="6">
        <v>2862975</v>
      </c>
    </row>
    <row r="455" spans="1:6" x14ac:dyDescent="0.2">
      <c r="A455" s="4">
        <v>45128</v>
      </c>
      <c r="B455" s="5">
        <v>35.53</v>
      </c>
      <c r="C455" s="5">
        <v>35.805</v>
      </c>
      <c r="D455" s="5">
        <v>35.47</v>
      </c>
      <c r="E455" s="5">
        <v>35.75</v>
      </c>
      <c r="F455" s="6">
        <v>3220425</v>
      </c>
    </row>
    <row r="456" spans="1:6" x14ac:dyDescent="0.2">
      <c r="A456" s="4">
        <v>45131</v>
      </c>
      <c r="B456" s="5">
        <v>35.56</v>
      </c>
      <c r="C456" s="5">
        <v>35.858899999999998</v>
      </c>
      <c r="D456" s="5">
        <v>35.53</v>
      </c>
      <c r="E456" s="5">
        <v>35.729999999999997</v>
      </c>
      <c r="F456" s="6">
        <v>3149665</v>
      </c>
    </row>
    <row r="457" spans="1:6" x14ac:dyDescent="0.2">
      <c r="A457" s="4">
        <v>45132</v>
      </c>
      <c r="B457" s="5">
        <v>35.56</v>
      </c>
      <c r="C457" s="5">
        <v>35.854999999999997</v>
      </c>
      <c r="D457" s="5">
        <v>35.549999999999997</v>
      </c>
      <c r="E457" s="5">
        <v>35.700000000000003</v>
      </c>
      <c r="F457" s="6">
        <v>3574683</v>
      </c>
    </row>
    <row r="458" spans="1:6" x14ac:dyDescent="0.2">
      <c r="A458" s="4">
        <v>45133</v>
      </c>
      <c r="B458" s="5">
        <v>35.75</v>
      </c>
      <c r="C458" s="5">
        <v>35.979999999999997</v>
      </c>
      <c r="D458" s="5">
        <v>35.479999999999997</v>
      </c>
      <c r="E458" s="5">
        <v>35.869999999999997</v>
      </c>
      <c r="F458" s="6">
        <v>4243195</v>
      </c>
    </row>
    <row r="459" spans="1:6" x14ac:dyDescent="0.2">
      <c r="A459" s="4">
        <v>45134</v>
      </c>
      <c r="B459" s="5">
        <v>36.24</v>
      </c>
      <c r="C459" s="5">
        <v>36.380000000000003</v>
      </c>
      <c r="D459" s="5">
        <v>35.86</v>
      </c>
      <c r="E459" s="5">
        <v>35.869999999999997</v>
      </c>
      <c r="F459" s="6">
        <v>2957001</v>
      </c>
    </row>
    <row r="460" spans="1:6" x14ac:dyDescent="0.2">
      <c r="A460" s="4">
        <v>45135</v>
      </c>
      <c r="B460" s="5">
        <v>35.72</v>
      </c>
      <c r="C460" s="5">
        <v>35.770000000000003</v>
      </c>
      <c r="D460" s="5">
        <v>35.4</v>
      </c>
      <c r="E460" s="5">
        <v>35.44</v>
      </c>
      <c r="F460" s="6">
        <v>2866241</v>
      </c>
    </row>
    <row r="461" spans="1:6" x14ac:dyDescent="0.2">
      <c r="A461" s="4">
        <v>45138</v>
      </c>
      <c r="B461" s="5">
        <v>35.54</v>
      </c>
      <c r="C461" s="5">
        <v>35.64</v>
      </c>
      <c r="D461" s="5">
        <v>35.4</v>
      </c>
      <c r="E461" s="5">
        <v>35.57</v>
      </c>
      <c r="F461" s="6">
        <v>2401719</v>
      </c>
    </row>
    <row r="462" spans="1:6" x14ac:dyDescent="0.2">
      <c r="A462" s="4">
        <v>45139</v>
      </c>
      <c r="B462" s="5">
        <v>35.229999999999997</v>
      </c>
      <c r="C462" s="5">
        <v>35.33</v>
      </c>
      <c r="D462" s="5">
        <v>34.880000000000003</v>
      </c>
      <c r="E462" s="5">
        <v>34.93</v>
      </c>
      <c r="F462" s="6">
        <v>2612996</v>
      </c>
    </row>
    <row r="463" spans="1:6" x14ac:dyDescent="0.2">
      <c r="A463" s="4">
        <v>45140</v>
      </c>
      <c r="B463" s="5">
        <v>34.65</v>
      </c>
      <c r="C463" s="5">
        <v>34.869999999999997</v>
      </c>
      <c r="D463" s="5">
        <v>34.590000000000003</v>
      </c>
      <c r="E463" s="5">
        <v>34.630000000000003</v>
      </c>
      <c r="F463" s="6">
        <v>2174263</v>
      </c>
    </row>
    <row r="464" spans="1:6" x14ac:dyDescent="0.2">
      <c r="A464" s="4">
        <v>45141</v>
      </c>
      <c r="B464" s="5">
        <v>34</v>
      </c>
      <c r="C464" s="5">
        <v>34.305</v>
      </c>
      <c r="D464" s="5">
        <v>33.97</v>
      </c>
      <c r="E464" s="5">
        <v>34.17</v>
      </c>
      <c r="F464" s="6">
        <v>2555235</v>
      </c>
    </row>
    <row r="465" spans="1:6" x14ac:dyDescent="0.2">
      <c r="A465" s="4">
        <v>45142</v>
      </c>
      <c r="B465" s="5">
        <v>34.04</v>
      </c>
      <c r="C465" s="5">
        <v>34.51</v>
      </c>
      <c r="D465" s="5">
        <v>34.04</v>
      </c>
      <c r="E465" s="5">
        <v>34.380000000000003</v>
      </c>
      <c r="F465" s="6">
        <v>3802099</v>
      </c>
    </row>
    <row r="466" spans="1:6" x14ac:dyDescent="0.2">
      <c r="A466" s="4">
        <v>45145</v>
      </c>
      <c r="B466" s="5">
        <v>34.5</v>
      </c>
      <c r="C466" s="5">
        <v>34.64</v>
      </c>
      <c r="D466" s="5">
        <v>34.44</v>
      </c>
      <c r="E466" s="5">
        <v>34.64</v>
      </c>
      <c r="F466" s="6">
        <v>1985273</v>
      </c>
    </row>
    <row r="467" spans="1:6" x14ac:dyDescent="0.2">
      <c r="A467" s="4">
        <v>45146</v>
      </c>
      <c r="B467" s="5">
        <v>34.659999999999997</v>
      </c>
      <c r="C467" s="5">
        <v>35.01</v>
      </c>
      <c r="D467" s="5">
        <v>34.590000000000003</v>
      </c>
      <c r="E467" s="5">
        <v>34.979999999999997</v>
      </c>
      <c r="F467" s="6">
        <v>2302272</v>
      </c>
    </row>
    <row r="468" spans="1:6" x14ac:dyDescent="0.2">
      <c r="A468" s="4">
        <v>45147</v>
      </c>
      <c r="B468" s="5">
        <v>35.03</v>
      </c>
      <c r="C468" s="5">
        <v>35.31</v>
      </c>
      <c r="D468" s="5">
        <v>35.024999999999999</v>
      </c>
      <c r="E468" s="5">
        <v>35.18</v>
      </c>
      <c r="F468" s="6">
        <v>1547751</v>
      </c>
    </row>
    <row r="469" spans="1:6" x14ac:dyDescent="0.2">
      <c r="A469" s="4">
        <v>45148</v>
      </c>
      <c r="B469" s="5">
        <v>35.18</v>
      </c>
      <c r="C469" s="5">
        <v>35.395000000000003</v>
      </c>
      <c r="D469" s="5">
        <v>35.06</v>
      </c>
      <c r="E469" s="5">
        <v>35.08</v>
      </c>
      <c r="F469" s="6">
        <v>1693790</v>
      </c>
    </row>
    <row r="470" spans="1:6" x14ac:dyDescent="0.2">
      <c r="A470" s="4">
        <v>45149</v>
      </c>
      <c r="B470" s="5">
        <v>34.630000000000003</v>
      </c>
      <c r="C470" s="5">
        <v>35.549999999999997</v>
      </c>
      <c r="D470" s="5">
        <v>34.615000000000002</v>
      </c>
      <c r="E470" s="5">
        <v>35.33</v>
      </c>
      <c r="F470" s="6">
        <v>5244055</v>
      </c>
    </row>
    <row r="471" spans="1:6" x14ac:dyDescent="0.2">
      <c r="A471" s="4">
        <v>45152</v>
      </c>
      <c r="B471" s="5">
        <v>35.18</v>
      </c>
      <c r="C471" s="5">
        <v>35.520000000000003</v>
      </c>
      <c r="D471" s="5">
        <v>35.020000000000003</v>
      </c>
      <c r="E471" s="5">
        <v>35.44</v>
      </c>
      <c r="F471" s="6">
        <v>5034914</v>
      </c>
    </row>
    <row r="472" spans="1:6" x14ac:dyDescent="0.2">
      <c r="A472" s="4">
        <v>45153</v>
      </c>
      <c r="B472" s="5">
        <v>35.26</v>
      </c>
      <c r="C472" s="5">
        <v>35.344999999999999</v>
      </c>
      <c r="D472" s="5">
        <v>35.07</v>
      </c>
      <c r="E472" s="5">
        <v>35.26</v>
      </c>
      <c r="F472" s="6">
        <v>3432308</v>
      </c>
    </row>
    <row r="473" spans="1:6" x14ac:dyDescent="0.2">
      <c r="A473" s="4">
        <v>45154</v>
      </c>
      <c r="B473" s="5">
        <v>34.99</v>
      </c>
      <c r="C473" s="5">
        <v>35.265000000000001</v>
      </c>
      <c r="D473" s="5">
        <v>34.989600000000003</v>
      </c>
      <c r="E473" s="5">
        <v>35.049999999999997</v>
      </c>
      <c r="F473" s="6">
        <v>2841858</v>
      </c>
    </row>
    <row r="474" spans="1:6" x14ac:dyDescent="0.2">
      <c r="A474" s="4">
        <v>45155</v>
      </c>
      <c r="B474" s="5">
        <v>34.76</v>
      </c>
      <c r="C474" s="5">
        <v>34.975000000000001</v>
      </c>
      <c r="D474" s="5">
        <v>34.755000000000003</v>
      </c>
      <c r="E474" s="5">
        <v>34.86</v>
      </c>
      <c r="F474" s="6">
        <v>4809960</v>
      </c>
    </row>
    <row r="475" spans="1:6" x14ac:dyDescent="0.2">
      <c r="A475" s="4">
        <v>45156</v>
      </c>
      <c r="B475" s="5">
        <v>34.51</v>
      </c>
      <c r="C475" s="5">
        <v>34.69</v>
      </c>
      <c r="D475" s="5">
        <v>34.43</v>
      </c>
      <c r="E475" s="5">
        <v>34.47</v>
      </c>
      <c r="F475" s="6">
        <v>3384522</v>
      </c>
    </row>
    <row r="476" spans="1:6" x14ac:dyDescent="0.2">
      <c r="A476" s="4">
        <v>45159</v>
      </c>
      <c r="B476" s="5">
        <v>34.56</v>
      </c>
      <c r="C476" s="5">
        <v>34.64</v>
      </c>
      <c r="D476" s="5">
        <v>34.409999999999997</v>
      </c>
      <c r="E476" s="5">
        <v>34.549999999999997</v>
      </c>
      <c r="F476" s="6">
        <v>2819820</v>
      </c>
    </row>
    <row r="477" spans="1:6" x14ac:dyDescent="0.2">
      <c r="A477" s="4">
        <v>45160</v>
      </c>
      <c r="B477" s="5">
        <v>34.72</v>
      </c>
      <c r="C477" s="5">
        <v>34.799999999999997</v>
      </c>
      <c r="D477" s="5">
        <v>34.619999999999997</v>
      </c>
      <c r="E477" s="5">
        <v>34.619999999999997</v>
      </c>
      <c r="F477" s="6">
        <v>2488324</v>
      </c>
    </row>
    <row r="478" spans="1:6" x14ac:dyDescent="0.2">
      <c r="A478" s="4">
        <v>45161</v>
      </c>
      <c r="B478" s="5">
        <v>34.85</v>
      </c>
      <c r="C478" s="5">
        <v>34.96</v>
      </c>
      <c r="D478" s="5">
        <v>34.65</v>
      </c>
      <c r="E478" s="5">
        <v>34.950000000000003</v>
      </c>
      <c r="F478" s="6">
        <v>2987520</v>
      </c>
    </row>
    <row r="479" spans="1:6" x14ac:dyDescent="0.2">
      <c r="A479" s="4">
        <v>45162</v>
      </c>
      <c r="B479" s="5">
        <v>34.840000000000003</v>
      </c>
      <c r="C479" s="5">
        <v>35.049999999999997</v>
      </c>
      <c r="D479" s="5">
        <v>34.44</v>
      </c>
      <c r="E479" s="5">
        <v>34.47</v>
      </c>
      <c r="F479" s="6">
        <v>2788407</v>
      </c>
    </row>
    <row r="480" spans="1:6" x14ac:dyDescent="0.2">
      <c r="A480" s="4">
        <v>45163</v>
      </c>
      <c r="B480" s="5">
        <v>34.700000000000003</v>
      </c>
      <c r="C480" s="5">
        <v>34.854999999999997</v>
      </c>
      <c r="D480" s="5">
        <v>34.479999999999997</v>
      </c>
      <c r="E480" s="5">
        <v>34.770000000000003</v>
      </c>
      <c r="F480" s="6">
        <v>2429077</v>
      </c>
    </row>
    <row r="481" spans="1:6" x14ac:dyDescent="0.2">
      <c r="A481" s="4">
        <v>45166</v>
      </c>
      <c r="B481" s="5">
        <v>34.75</v>
      </c>
      <c r="C481" s="5">
        <v>35.204999999999998</v>
      </c>
      <c r="D481" s="5">
        <v>34.75</v>
      </c>
      <c r="E481" s="5">
        <v>35.11</v>
      </c>
      <c r="F481" s="6">
        <v>3077967</v>
      </c>
    </row>
    <row r="482" spans="1:6" x14ac:dyDescent="0.2">
      <c r="A482" s="4">
        <v>45167</v>
      </c>
      <c r="B482" s="5">
        <v>35.43</v>
      </c>
      <c r="C482" s="5">
        <v>35.58</v>
      </c>
      <c r="D482" s="5">
        <v>35.18</v>
      </c>
      <c r="E482" s="5">
        <v>35.51</v>
      </c>
      <c r="F482" s="6">
        <v>2568826</v>
      </c>
    </row>
    <row r="483" spans="1:6" x14ac:dyDescent="0.2">
      <c r="A483" s="4">
        <v>45168</v>
      </c>
      <c r="B483" s="5">
        <v>35.700000000000003</v>
      </c>
      <c r="C483" s="5">
        <v>35.795000000000002</v>
      </c>
      <c r="D483" s="5">
        <v>35.450299999999999</v>
      </c>
      <c r="E483" s="5">
        <v>35.49</v>
      </c>
      <c r="F483" s="6">
        <v>1809990</v>
      </c>
    </row>
    <row r="484" spans="1:6" x14ac:dyDescent="0.2">
      <c r="A484" s="4">
        <v>45169</v>
      </c>
      <c r="B484" s="5">
        <v>35.6</v>
      </c>
      <c r="C484" s="5">
        <v>35.615000000000002</v>
      </c>
      <c r="D484" s="5">
        <v>35.130000000000003</v>
      </c>
      <c r="E484" s="5">
        <v>35.130000000000003</v>
      </c>
      <c r="F484" s="6">
        <v>3957640</v>
      </c>
    </row>
    <row r="485" spans="1:6" x14ac:dyDescent="0.2">
      <c r="A485" s="4">
        <v>45170</v>
      </c>
      <c r="B485" s="5">
        <v>35.35</v>
      </c>
      <c r="C485" s="5">
        <v>35.36</v>
      </c>
      <c r="D485" s="5">
        <v>34.953000000000003</v>
      </c>
      <c r="E485" s="5">
        <v>35.03</v>
      </c>
      <c r="F485" s="6">
        <v>1653881</v>
      </c>
    </row>
    <row r="486" spans="1:6" x14ac:dyDescent="0.2">
      <c r="A486" s="4">
        <v>45174</v>
      </c>
      <c r="B486" s="5">
        <v>34.97</v>
      </c>
      <c r="C486" s="5">
        <v>34.99</v>
      </c>
      <c r="D486" s="5">
        <v>34.534999999999997</v>
      </c>
      <c r="E486" s="5">
        <v>34.56</v>
      </c>
      <c r="F486" s="6">
        <v>2375821</v>
      </c>
    </row>
    <row r="487" spans="1:6" x14ac:dyDescent="0.2">
      <c r="A487" s="4">
        <v>45175</v>
      </c>
      <c r="B487" s="5">
        <v>34.6</v>
      </c>
      <c r="C487" s="5">
        <v>34.619999999999997</v>
      </c>
      <c r="D487" s="5">
        <v>34.314999999999998</v>
      </c>
      <c r="E487" s="5">
        <v>34.409999999999997</v>
      </c>
      <c r="F487" s="6">
        <v>2270478</v>
      </c>
    </row>
    <row r="488" spans="1:6" x14ac:dyDescent="0.2">
      <c r="A488" s="4">
        <v>45176</v>
      </c>
      <c r="B488" s="5">
        <v>34.56</v>
      </c>
      <c r="C488" s="5">
        <v>34.729999999999997</v>
      </c>
      <c r="D488" s="5">
        <v>34.47</v>
      </c>
      <c r="E488" s="5">
        <v>34.64</v>
      </c>
      <c r="F488" s="6">
        <v>2430970</v>
      </c>
    </row>
    <row r="489" spans="1:6" x14ac:dyDescent="0.2">
      <c r="A489" s="4">
        <v>45177</v>
      </c>
      <c r="B489" s="5">
        <v>35.56</v>
      </c>
      <c r="C489" s="5">
        <v>36.6</v>
      </c>
      <c r="D489" s="5">
        <v>35.42</v>
      </c>
      <c r="E489" s="5">
        <v>36.549999999999997</v>
      </c>
      <c r="F489" s="6">
        <v>11780720</v>
      </c>
    </row>
    <row r="490" spans="1:6" x14ac:dyDescent="0.2">
      <c r="A490" s="4">
        <v>45180</v>
      </c>
      <c r="B490" s="5">
        <v>36.75</v>
      </c>
      <c r="C490" s="5">
        <v>37.159999999999997</v>
      </c>
      <c r="D490" s="5">
        <v>36.575000000000003</v>
      </c>
      <c r="E490" s="5">
        <v>37.020000000000003</v>
      </c>
      <c r="F490" s="6">
        <v>5942843</v>
      </c>
    </row>
    <row r="491" spans="1:6" x14ac:dyDescent="0.2">
      <c r="A491" s="4">
        <v>45181</v>
      </c>
      <c r="B491" s="5">
        <v>36.96</v>
      </c>
      <c r="C491" s="5">
        <v>36.994999999999997</v>
      </c>
      <c r="D491" s="5">
        <v>36.57</v>
      </c>
      <c r="E491" s="5">
        <v>36.86</v>
      </c>
      <c r="F491" s="6">
        <v>3129532</v>
      </c>
    </row>
    <row r="492" spans="1:6" x14ac:dyDescent="0.2">
      <c r="A492" s="4">
        <v>45182</v>
      </c>
      <c r="B492" s="5">
        <v>36.72</v>
      </c>
      <c r="C492" s="5">
        <v>36.840000000000003</v>
      </c>
      <c r="D492" s="5">
        <v>36.65</v>
      </c>
      <c r="E492" s="5">
        <v>36.76</v>
      </c>
      <c r="F492" s="6">
        <v>4165993</v>
      </c>
    </row>
    <row r="493" spans="1:6" x14ac:dyDescent="0.2">
      <c r="A493" s="4">
        <v>45183</v>
      </c>
      <c r="B493" s="5">
        <v>37.1</v>
      </c>
      <c r="C493" s="5">
        <v>37.39</v>
      </c>
      <c r="D493" s="5">
        <v>37.045000000000002</v>
      </c>
      <c r="E493" s="5">
        <v>37.39</v>
      </c>
      <c r="F493" s="6">
        <v>4262092</v>
      </c>
    </row>
    <row r="494" spans="1:6" x14ac:dyDescent="0.2">
      <c r="A494" s="4">
        <v>45184</v>
      </c>
      <c r="B494" s="5">
        <v>37.700000000000003</v>
      </c>
      <c r="C494" s="5">
        <v>37.799999999999997</v>
      </c>
      <c r="D494" s="5">
        <v>37.369999999999997</v>
      </c>
      <c r="E494" s="5">
        <v>37.43</v>
      </c>
      <c r="F494" s="6">
        <v>4765924</v>
      </c>
    </row>
    <row r="495" spans="1:6" x14ac:dyDescent="0.2">
      <c r="A495" s="4">
        <v>45187</v>
      </c>
      <c r="B495" s="5">
        <v>37.700000000000003</v>
      </c>
      <c r="C495" s="5">
        <v>37.75</v>
      </c>
      <c r="D495" s="5">
        <v>37.244999999999997</v>
      </c>
      <c r="E495" s="5">
        <v>37.35</v>
      </c>
      <c r="F495" s="6">
        <v>3366281</v>
      </c>
    </row>
    <row r="496" spans="1:6" x14ac:dyDescent="0.2">
      <c r="A496" s="4">
        <v>45188</v>
      </c>
      <c r="B496" s="5">
        <v>37.28</v>
      </c>
      <c r="C496" s="5">
        <v>37.479999999999997</v>
      </c>
      <c r="D496" s="5">
        <v>37.204999999999998</v>
      </c>
      <c r="E496" s="5">
        <v>37.479999999999997</v>
      </c>
      <c r="F496" s="6">
        <v>2359735</v>
      </c>
    </row>
    <row r="497" spans="1:6" x14ac:dyDescent="0.2">
      <c r="A497" s="4">
        <v>45189</v>
      </c>
      <c r="B497" s="5">
        <v>37.9</v>
      </c>
      <c r="C497" s="5">
        <v>38.21</v>
      </c>
      <c r="D497" s="5">
        <v>37.85</v>
      </c>
      <c r="E497" s="5">
        <v>38.07</v>
      </c>
      <c r="F497" s="6">
        <v>4369208</v>
      </c>
    </row>
    <row r="498" spans="1:6" x14ac:dyDescent="0.2">
      <c r="A498" s="4">
        <v>45190</v>
      </c>
      <c r="B498" s="5">
        <v>37.880000000000003</v>
      </c>
      <c r="C498" s="5">
        <v>37.979999999999997</v>
      </c>
      <c r="D498" s="5">
        <v>37.61</v>
      </c>
      <c r="E498" s="5">
        <v>37.619999999999997</v>
      </c>
      <c r="F498" s="6">
        <v>4353321</v>
      </c>
    </row>
    <row r="499" spans="1:6" x14ac:dyDescent="0.2">
      <c r="A499" s="4">
        <v>45191</v>
      </c>
      <c r="B499" s="5">
        <v>37.6</v>
      </c>
      <c r="C499" s="5">
        <v>37.744999999999997</v>
      </c>
      <c r="D499" s="5">
        <v>37.369999999999997</v>
      </c>
      <c r="E499" s="5">
        <v>37.43</v>
      </c>
      <c r="F499" s="6">
        <v>4456468</v>
      </c>
    </row>
    <row r="500" spans="1:6" x14ac:dyDescent="0.2">
      <c r="A500" s="4">
        <v>45194</v>
      </c>
      <c r="B500" s="5">
        <v>37.380000000000003</v>
      </c>
      <c r="C500" s="5">
        <v>37.72</v>
      </c>
      <c r="D500" s="5">
        <v>37.155000000000001</v>
      </c>
      <c r="E500" s="5">
        <v>37.71</v>
      </c>
      <c r="F500" s="6">
        <v>5102442</v>
      </c>
    </row>
    <row r="501" spans="1:6" x14ac:dyDescent="0.2">
      <c r="A501" s="4">
        <v>45195</v>
      </c>
      <c r="B501" s="5">
        <v>37.630000000000003</v>
      </c>
      <c r="C501" s="5">
        <v>37.755000000000003</v>
      </c>
      <c r="D501" s="5">
        <v>37.28</v>
      </c>
      <c r="E501" s="5">
        <v>37.28</v>
      </c>
      <c r="F501" s="6">
        <v>2930780</v>
      </c>
    </row>
    <row r="502" spans="1:6" x14ac:dyDescent="0.2">
      <c r="A502" s="4">
        <v>45196</v>
      </c>
      <c r="B502" s="5">
        <v>37.19</v>
      </c>
      <c r="C502" s="5">
        <v>37.29</v>
      </c>
      <c r="D502" s="5">
        <v>36.795000000000002</v>
      </c>
      <c r="E502" s="5">
        <v>37.04</v>
      </c>
      <c r="F502" s="6">
        <v>2868857</v>
      </c>
    </row>
    <row r="503" spans="1:6" x14ac:dyDescent="0.2">
      <c r="A503" s="4">
        <v>45197</v>
      </c>
      <c r="B503" s="5">
        <v>36.69</v>
      </c>
      <c r="C503" s="5">
        <v>36.85</v>
      </c>
      <c r="D503" s="5">
        <v>36.299999999999997</v>
      </c>
      <c r="E503" s="5">
        <v>36.340000000000003</v>
      </c>
      <c r="F503" s="6">
        <v>8135359</v>
      </c>
    </row>
    <row r="504" spans="1:6" x14ac:dyDescent="0.2">
      <c r="A504" s="4">
        <v>45198</v>
      </c>
      <c r="B504" s="5">
        <v>36.53</v>
      </c>
      <c r="C504" s="5">
        <v>36.664999999999999</v>
      </c>
      <c r="D504" s="5">
        <v>36.090000000000003</v>
      </c>
      <c r="E504" s="5">
        <v>36.25</v>
      </c>
      <c r="F504" s="6">
        <v>4209366</v>
      </c>
    </row>
    <row r="505" spans="1:6" x14ac:dyDescent="0.2">
      <c r="A505" s="4">
        <v>45201</v>
      </c>
      <c r="B505" s="5">
        <v>36.090000000000003</v>
      </c>
      <c r="C505" s="5">
        <v>36.155000000000001</v>
      </c>
      <c r="D505" s="5">
        <v>35.82</v>
      </c>
      <c r="E505" s="5">
        <v>36.090000000000003</v>
      </c>
      <c r="F505" s="6">
        <v>3187743</v>
      </c>
    </row>
    <row r="506" spans="1:6" x14ac:dyDescent="0.2">
      <c r="A506" s="4">
        <v>45202</v>
      </c>
      <c r="B506" s="5">
        <v>36.18</v>
      </c>
      <c r="C506" s="5">
        <v>36.21</v>
      </c>
      <c r="D506" s="5">
        <v>35.770000000000003</v>
      </c>
      <c r="E506" s="5">
        <v>35.89</v>
      </c>
      <c r="F506" s="6">
        <v>2932195</v>
      </c>
    </row>
    <row r="507" spans="1:6" x14ac:dyDescent="0.2">
      <c r="A507" s="4">
        <v>45203</v>
      </c>
      <c r="B507" s="5">
        <v>36.18</v>
      </c>
      <c r="C507" s="5">
        <v>36.25</v>
      </c>
      <c r="D507" s="5">
        <v>35.842500000000001</v>
      </c>
      <c r="E507" s="5">
        <v>36.08</v>
      </c>
      <c r="F507" s="6">
        <v>3414619</v>
      </c>
    </row>
    <row r="508" spans="1:6" x14ac:dyDescent="0.2">
      <c r="A508" s="4">
        <v>45204</v>
      </c>
      <c r="B508" s="5">
        <v>35.94</v>
      </c>
      <c r="C508" s="5">
        <v>36.200000000000003</v>
      </c>
      <c r="D508" s="5">
        <v>35.884999999999998</v>
      </c>
      <c r="E508" s="5">
        <v>36.159999999999997</v>
      </c>
      <c r="F508" s="6">
        <v>2399490</v>
      </c>
    </row>
    <row r="509" spans="1:6" x14ac:dyDescent="0.2">
      <c r="A509" s="4">
        <v>45205</v>
      </c>
      <c r="B509" s="5">
        <v>36.5</v>
      </c>
      <c r="C509" s="5">
        <v>36.799999999999997</v>
      </c>
      <c r="D509" s="5">
        <v>36.22</v>
      </c>
      <c r="E509" s="5">
        <v>36.65</v>
      </c>
      <c r="F509" s="6">
        <v>3767692</v>
      </c>
    </row>
    <row r="510" spans="1:6" x14ac:dyDescent="0.2">
      <c r="A510" s="4">
        <v>45208</v>
      </c>
      <c r="B510" s="5">
        <v>36.950000000000003</v>
      </c>
      <c r="C510" s="5">
        <v>37.14</v>
      </c>
      <c r="D510" s="5">
        <v>36.71</v>
      </c>
      <c r="E510" s="5">
        <v>37.1</v>
      </c>
      <c r="F510" s="6">
        <v>2661776</v>
      </c>
    </row>
    <row r="511" spans="1:6" x14ac:dyDescent="0.2">
      <c r="A511" s="4">
        <v>45209</v>
      </c>
      <c r="B511" s="5">
        <v>37.25</v>
      </c>
      <c r="C511" s="5">
        <v>37.47</v>
      </c>
      <c r="D511" s="5">
        <v>37.21</v>
      </c>
      <c r="E511" s="5">
        <v>37.340000000000003</v>
      </c>
      <c r="F511" s="6">
        <v>2095444</v>
      </c>
    </row>
    <row r="512" spans="1:6" x14ac:dyDescent="0.2">
      <c r="A512" s="4">
        <v>45210</v>
      </c>
      <c r="B512" s="5">
        <v>37.61</v>
      </c>
      <c r="C512" s="5">
        <v>37.700000000000003</v>
      </c>
      <c r="D512" s="5">
        <v>37.35</v>
      </c>
      <c r="E512" s="5">
        <v>37.56</v>
      </c>
      <c r="F512" s="6">
        <v>2975651</v>
      </c>
    </row>
    <row r="513" spans="1:6" x14ac:dyDescent="0.2">
      <c r="A513" s="4">
        <v>45211</v>
      </c>
      <c r="B513" s="5">
        <v>37.270000000000003</v>
      </c>
      <c r="C513" s="5">
        <v>37.42</v>
      </c>
      <c r="D513" s="5">
        <v>36.99</v>
      </c>
      <c r="E513" s="5">
        <v>37.01</v>
      </c>
      <c r="F513" s="6">
        <v>4382236</v>
      </c>
    </row>
    <row r="514" spans="1:6" x14ac:dyDescent="0.2">
      <c r="A514" s="4">
        <v>45212</v>
      </c>
      <c r="B514" s="5">
        <v>36.9</v>
      </c>
      <c r="C514" s="5">
        <v>37.164999999999999</v>
      </c>
      <c r="D514" s="5">
        <v>36.630000000000003</v>
      </c>
      <c r="E514" s="5">
        <v>36.68</v>
      </c>
      <c r="F514" s="6">
        <v>2423714</v>
      </c>
    </row>
    <row r="515" spans="1:6" x14ac:dyDescent="0.2">
      <c r="A515" s="4">
        <v>45215</v>
      </c>
      <c r="B515" s="5">
        <v>36.31</v>
      </c>
      <c r="C515" s="5">
        <v>36.664999999999999</v>
      </c>
      <c r="D515" s="5">
        <v>36.26</v>
      </c>
      <c r="E515" s="5">
        <v>36.58</v>
      </c>
      <c r="F515" s="6">
        <v>2737138</v>
      </c>
    </row>
    <row r="516" spans="1:6" x14ac:dyDescent="0.2">
      <c r="A516" s="4">
        <v>45216</v>
      </c>
      <c r="B516" s="5">
        <v>36.65</v>
      </c>
      <c r="C516" s="5">
        <v>36.99</v>
      </c>
      <c r="D516" s="5">
        <v>36.49</v>
      </c>
      <c r="E516" s="5">
        <v>36.67</v>
      </c>
      <c r="F516" s="6">
        <v>3456349</v>
      </c>
    </row>
    <row r="517" spans="1:6" x14ac:dyDescent="0.2">
      <c r="A517" s="4">
        <v>45217</v>
      </c>
      <c r="B517" s="5">
        <v>36.619999999999997</v>
      </c>
      <c r="C517" s="5">
        <v>36.78</v>
      </c>
      <c r="D517" s="5">
        <v>36.22</v>
      </c>
      <c r="E517" s="5">
        <v>36.29</v>
      </c>
      <c r="F517" s="6">
        <v>2696224</v>
      </c>
    </row>
    <row r="518" spans="1:6" x14ac:dyDescent="0.2">
      <c r="A518" s="4">
        <v>45218</v>
      </c>
      <c r="B518" s="5">
        <v>35.840000000000003</v>
      </c>
      <c r="C518" s="5">
        <v>35.86</v>
      </c>
      <c r="D518" s="5">
        <v>35.246299999999998</v>
      </c>
      <c r="E518" s="5">
        <v>35.39</v>
      </c>
      <c r="F518" s="6">
        <v>4049134</v>
      </c>
    </row>
    <row r="519" spans="1:6" x14ac:dyDescent="0.2">
      <c r="A519" s="4">
        <v>45219</v>
      </c>
      <c r="B519" s="5">
        <v>35.54</v>
      </c>
      <c r="C519" s="5">
        <v>35.733600000000003</v>
      </c>
      <c r="D519" s="5">
        <v>35.524999999999999</v>
      </c>
      <c r="E519" s="5">
        <v>35.58</v>
      </c>
      <c r="F519" s="6">
        <v>2816708</v>
      </c>
    </row>
    <row r="520" spans="1:6" x14ac:dyDescent="0.2">
      <c r="A520" s="4">
        <v>45222</v>
      </c>
      <c r="B520" s="5">
        <v>35.76</v>
      </c>
      <c r="C520" s="5">
        <v>35.97</v>
      </c>
      <c r="D520" s="5">
        <v>35.663800000000002</v>
      </c>
      <c r="E520" s="5">
        <v>35.799999999999997</v>
      </c>
      <c r="F520" s="6">
        <v>3782837</v>
      </c>
    </row>
    <row r="521" spans="1:6" x14ac:dyDescent="0.2">
      <c r="A521" s="4">
        <v>45223</v>
      </c>
      <c r="B521" s="5">
        <v>35.78</v>
      </c>
      <c r="C521" s="5">
        <v>35.99</v>
      </c>
      <c r="D521" s="5">
        <v>35.704999999999998</v>
      </c>
      <c r="E521" s="5">
        <v>35.979999999999997</v>
      </c>
      <c r="F521" s="6">
        <v>2455930</v>
      </c>
    </row>
    <row r="522" spans="1:6" x14ac:dyDescent="0.2">
      <c r="A522" s="4">
        <v>45224</v>
      </c>
      <c r="B522" s="5">
        <v>36.130000000000003</v>
      </c>
      <c r="C522" s="5">
        <v>36.284999999999997</v>
      </c>
      <c r="D522" s="5">
        <v>35.83</v>
      </c>
      <c r="E522" s="5">
        <v>36.049999999999997</v>
      </c>
      <c r="F522" s="6">
        <v>2316432</v>
      </c>
    </row>
    <row r="523" spans="1:6" x14ac:dyDescent="0.2">
      <c r="A523" s="4">
        <v>45225</v>
      </c>
      <c r="B523" s="5">
        <v>36.119999999999997</v>
      </c>
      <c r="C523" s="5">
        <v>36.200000000000003</v>
      </c>
      <c r="D523" s="5">
        <v>35.630000000000003</v>
      </c>
      <c r="E523" s="5">
        <v>35.68</v>
      </c>
      <c r="F523" s="6">
        <v>4358619</v>
      </c>
    </row>
    <row r="524" spans="1:6" x14ac:dyDescent="0.2">
      <c r="A524" s="4">
        <v>45226</v>
      </c>
      <c r="B524" s="5">
        <v>35.43</v>
      </c>
      <c r="C524" s="5">
        <v>35.43</v>
      </c>
      <c r="D524" s="5">
        <v>34.49</v>
      </c>
      <c r="E524" s="5">
        <v>34.56</v>
      </c>
      <c r="F524" s="6">
        <v>5293963</v>
      </c>
    </row>
    <row r="525" spans="1:6" x14ac:dyDescent="0.2">
      <c r="A525" s="4">
        <v>45229</v>
      </c>
      <c r="B525" s="5">
        <v>35.35</v>
      </c>
      <c r="C525" s="5">
        <v>35.505000000000003</v>
      </c>
      <c r="D525" s="5">
        <v>35.18</v>
      </c>
      <c r="E525" s="5">
        <v>35.270000000000003</v>
      </c>
      <c r="F525" s="6">
        <v>3499997</v>
      </c>
    </row>
    <row r="526" spans="1:6" x14ac:dyDescent="0.2">
      <c r="A526" s="4">
        <v>45230</v>
      </c>
      <c r="B526" s="5">
        <v>35.39</v>
      </c>
      <c r="C526" s="5">
        <v>35.71</v>
      </c>
      <c r="D526" s="5">
        <v>35.22</v>
      </c>
      <c r="E526" s="5">
        <v>35.700000000000003</v>
      </c>
      <c r="F526" s="6">
        <v>5726192</v>
      </c>
    </row>
    <row r="527" spans="1:6" x14ac:dyDescent="0.2">
      <c r="A527" s="4">
        <v>45231</v>
      </c>
      <c r="B527" s="5">
        <v>34.25</v>
      </c>
      <c r="C527" s="5">
        <v>34.9</v>
      </c>
      <c r="D527" s="5">
        <v>33.89</v>
      </c>
      <c r="E527" s="5">
        <v>34.58</v>
      </c>
      <c r="F527" s="6">
        <v>8161330</v>
      </c>
    </row>
    <row r="528" spans="1:6" x14ac:dyDescent="0.2">
      <c r="A528" s="4">
        <v>45232</v>
      </c>
      <c r="B528" s="5">
        <v>33.99</v>
      </c>
      <c r="C528" s="5">
        <v>34.204999999999998</v>
      </c>
      <c r="D528" s="5">
        <v>33.674999999999997</v>
      </c>
      <c r="E528" s="5">
        <v>34.17</v>
      </c>
      <c r="F528" s="6">
        <v>5188589</v>
      </c>
    </row>
    <row r="529" spans="1:6" x14ac:dyDescent="0.2">
      <c r="A529" s="4">
        <v>45233</v>
      </c>
      <c r="B529" s="5">
        <v>34.33</v>
      </c>
      <c r="C529" s="5">
        <v>34.65</v>
      </c>
      <c r="D529" s="5">
        <v>34.32</v>
      </c>
      <c r="E529" s="5">
        <v>34.44</v>
      </c>
      <c r="F529" s="6">
        <v>4686437</v>
      </c>
    </row>
    <row r="530" spans="1:6" x14ac:dyDescent="0.2">
      <c r="A530" s="4">
        <v>45236</v>
      </c>
      <c r="B530" s="5">
        <v>34.659999999999997</v>
      </c>
      <c r="C530" s="5">
        <v>34.945</v>
      </c>
      <c r="D530" s="5">
        <v>34.564999999999998</v>
      </c>
      <c r="E530" s="5">
        <v>34.79</v>
      </c>
      <c r="F530" s="6">
        <v>2831327</v>
      </c>
    </row>
    <row r="531" spans="1:6" x14ac:dyDescent="0.2">
      <c r="A531" s="4">
        <v>45237</v>
      </c>
      <c r="B531" s="5">
        <v>34.979999999999997</v>
      </c>
      <c r="C531" s="5">
        <v>35.085000000000001</v>
      </c>
      <c r="D531" s="5">
        <v>34.905000000000001</v>
      </c>
      <c r="E531" s="5">
        <v>34.979999999999997</v>
      </c>
      <c r="F531" s="6">
        <v>2672832</v>
      </c>
    </row>
    <row r="532" spans="1:6" x14ac:dyDescent="0.2">
      <c r="A532" s="4">
        <v>45238</v>
      </c>
      <c r="B532" s="5">
        <v>35.14</v>
      </c>
      <c r="C532" s="5">
        <v>35.299999999999997</v>
      </c>
      <c r="D532" s="5">
        <v>34.950000000000003</v>
      </c>
      <c r="E532" s="5">
        <v>35.06</v>
      </c>
      <c r="F532" s="6">
        <v>2780397</v>
      </c>
    </row>
    <row r="533" spans="1:6" x14ac:dyDescent="0.2">
      <c r="A533" s="4">
        <v>45239</v>
      </c>
      <c r="B533" s="5">
        <v>35.06</v>
      </c>
      <c r="C533" s="5">
        <v>35.07</v>
      </c>
      <c r="D533" s="5">
        <v>34.44</v>
      </c>
      <c r="E533" s="5">
        <v>34.46</v>
      </c>
      <c r="F533" s="6">
        <v>4006510</v>
      </c>
    </row>
    <row r="534" spans="1:6" x14ac:dyDescent="0.2">
      <c r="A534" s="4">
        <v>45240</v>
      </c>
      <c r="B534" s="5">
        <v>34.43</v>
      </c>
      <c r="C534" s="5">
        <v>34.469900000000003</v>
      </c>
      <c r="D534" s="5">
        <v>33.89</v>
      </c>
      <c r="E534" s="5">
        <v>34.409999999999997</v>
      </c>
      <c r="F534" s="6">
        <v>3928144</v>
      </c>
    </row>
    <row r="535" spans="1:6" x14ac:dyDescent="0.2">
      <c r="A535" s="4">
        <v>45243</v>
      </c>
      <c r="B535" s="5">
        <v>34.5</v>
      </c>
      <c r="C535" s="5">
        <v>34.619999999999997</v>
      </c>
      <c r="D535" s="5">
        <v>34.325000000000003</v>
      </c>
      <c r="E535" s="5">
        <v>34.61</v>
      </c>
      <c r="F535" s="6">
        <v>4261459</v>
      </c>
    </row>
    <row r="536" spans="1:6" x14ac:dyDescent="0.2">
      <c r="A536" s="4">
        <v>45244</v>
      </c>
      <c r="B536" s="5">
        <v>34.65</v>
      </c>
      <c r="C536" s="5">
        <v>34.700000000000003</v>
      </c>
      <c r="D536" s="5">
        <v>34.4</v>
      </c>
      <c r="E536" s="5">
        <v>34.479999999999997</v>
      </c>
      <c r="F536" s="6">
        <v>3426161</v>
      </c>
    </row>
    <row r="537" spans="1:6" x14ac:dyDescent="0.2">
      <c r="A537" s="4">
        <v>45245</v>
      </c>
      <c r="B537" s="5">
        <v>34.4</v>
      </c>
      <c r="C537" s="5">
        <v>34.700000000000003</v>
      </c>
      <c r="D537" s="5">
        <v>34.380000000000003</v>
      </c>
      <c r="E537" s="5">
        <v>34.47</v>
      </c>
      <c r="F537" s="6">
        <v>4421114</v>
      </c>
    </row>
    <row r="538" spans="1:6" x14ac:dyDescent="0.2">
      <c r="A538" s="4">
        <v>45246</v>
      </c>
      <c r="B538" s="5">
        <v>34.42</v>
      </c>
      <c r="C538" s="5">
        <v>34.5</v>
      </c>
      <c r="D538" s="5">
        <v>34.29</v>
      </c>
      <c r="E538" s="5">
        <v>34.44</v>
      </c>
      <c r="F538" s="6">
        <v>4111576</v>
      </c>
    </row>
    <row r="539" spans="1:6" x14ac:dyDescent="0.2">
      <c r="A539" s="4">
        <v>45247</v>
      </c>
      <c r="B539" s="5">
        <v>34.799999999999997</v>
      </c>
      <c r="C539" s="5">
        <v>35.299900000000001</v>
      </c>
      <c r="D539" s="5">
        <v>34.722700000000003</v>
      </c>
      <c r="E539" s="5">
        <v>35.200000000000003</v>
      </c>
      <c r="F539" s="6">
        <v>4817105</v>
      </c>
    </row>
    <row r="540" spans="1:6" x14ac:dyDescent="0.2">
      <c r="A540" s="4">
        <v>45250</v>
      </c>
      <c r="B540" s="5">
        <v>34.97</v>
      </c>
      <c r="C540" s="5">
        <v>35.340000000000003</v>
      </c>
      <c r="D540" s="5">
        <v>34.97</v>
      </c>
      <c r="E540" s="5">
        <v>35.11</v>
      </c>
      <c r="F540" s="6">
        <v>2468881</v>
      </c>
    </row>
    <row r="541" spans="1:6" x14ac:dyDescent="0.2">
      <c r="A541" s="4">
        <v>45251</v>
      </c>
      <c r="B541" s="5">
        <v>35.29</v>
      </c>
      <c r="C541" s="5">
        <v>35.56</v>
      </c>
      <c r="D541" s="5">
        <v>35.29</v>
      </c>
      <c r="E541" s="5">
        <v>35.380000000000003</v>
      </c>
      <c r="F541" s="6">
        <v>2758933</v>
      </c>
    </row>
    <row r="542" spans="1:6" x14ac:dyDescent="0.2">
      <c r="A542" s="4">
        <v>45252</v>
      </c>
      <c r="B542" s="5">
        <v>35.299999999999997</v>
      </c>
      <c r="C542" s="5">
        <v>35.369999999999997</v>
      </c>
      <c r="D542" s="5">
        <v>35.134500000000003</v>
      </c>
      <c r="E542" s="5">
        <v>35.200000000000003</v>
      </c>
      <c r="F542" s="6">
        <v>1712725</v>
      </c>
    </row>
    <row r="543" spans="1:6" x14ac:dyDescent="0.2">
      <c r="A543" s="4">
        <v>45254</v>
      </c>
      <c r="B543" s="5">
        <v>35.82</v>
      </c>
      <c r="C543" s="5">
        <v>35.96</v>
      </c>
      <c r="D543" s="5">
        <v>35.765000000000001</v>
      </c>
      <c r="E543" s="5">
        <v>35.81</v>
      </c>
      <c r="F543" s="6">
        <v>1808018</v>
      </c>
    </row>
    <row r="544" spans="1:6" x14ac:dyDescent="0.2">
      <c r="A544" s="4">
        <v>45257</v>
      </c>
      <c r="B544" s="5">
        <v>35.92</v>
      </c>
      <c r="C544" s="5">
        <v>35.984999999999999</v>
      </c>
      <c r="D544" s="5">
        <v>35.520000000000003</v>
      </c>
      <c r="E544" s="5">
        <v>35.630000000000003</v>
      </c>
      <c r="F544" s="6">
        <v>2295643</v>
      </c>
    </row>
    <row r="545" spans="1:6" x14ac:dyDescent="0.2">
      <c r="A545" s="4">
        <v>45258</v>
      </c>
      <c r="B545" s="5">
        <v>35.450000000000003</v>
      </c>
      <c r="C545" s="5">
        <v>35.79</v>
      </c>
      <c r="D545" s="5">
        <v>35.44</v>
      </c>
      <c r="E545" s="5">
        <v>35.64</v>
      </c>
      <c r="F545" s="6">
        <v>2368349</v>
      </c>
    </row>
    <row r="546" spans="1:6" x14ac:dyDescent="0.2">
      <c r="A546" s="4">
        <v>45259</v>
      </c>
      <c r="B546" s="5">
        <v>35.56</v>
      </c>
      <c r="C546" s="5">
        <v>35.630000000000003</v>
      </c>
      <c r="D546" s="5">
        <v>35.35</v>
      </c>
      <c r="E546" s="5">
        <v>35.49</v>
      </c>
      <c r="F546" s="6">
        <v>2020470</v>
      </c>
    </row>
    <row r="547" spans="1:6" x14ac:dyDescent="0.2">
      <c r="A547" s="4">
        <v>45260</v>
      </c>
      <c r="B547" s="5">
        <v>35.869999999999997</v>
      </c>
      <c r="C547" s="5">
        <v>36.01</v>
      </c>
      <c r="D547" s="5">
        <v>35.604999999999997</v>
      </c>
      <c r="E547" s="5">
        <v>35.99</v>
      </c>
      <c r="F547" s="6">
        <v>2890580</v>
      </c>
    </row>
    <row r="548" spans="1:6" x14ac:dyDescent="0.2">
      <c r="A548" s="4">
        <v>45261</v>
      </c>
      <c r="B548" s="5">
        <v>36.03</v>
      </c>
      <c r="C548" s="5">
        <v>36.590000000000003</v>
      </c>
      <c r="D548" s="5">
        <v>35.984999999999999</v>
      </c>
      <c r="E548" s="5">
        <v>36.57</v>
      </c>
      <c r="F548" s="6">
        <v>2547381</v>
      </c>
    </row>
    <row r="549" spans="1:6" x14ac:dyDescent="0.2">
      <c r="A549" s="4">
        <v>45264</v>
      </c>
      <c r="B549" s="5">
        <v>36.44</v>
      </c>
      <c r="C549" s="5">
        <v>36.74</v>
      </c>
      <c r="D549" s="5">
        <v>36.380000000000003</v>
      </c>
      <c r="E549" s="5">
        <v>36.630000000000003</v>
      </c>
      <c r="F549" s="6">
        <v>3358901</v>
      </c>
    </row>
    <row r="550" spans="1:6" x14ac:dyDescent="0.2">
      <c r="A550" s="4">
        <v>45265</v>
      </c>
      <c r="B550" s="5">
        <v>36.26</v>
      </c>
      <c r="C550" s="5">
        <v>36.4</v>
      </c>
      <c r="D550" s="5">
        <v>36.139000000000003</v>
      </c>
      <c r="E550" s="5">
        <v>36.33</v>
      </c>
      <c r="F550" s="6">
        <v>2271443</v>
      </c>
    </row>
    <row r="551" spans="1:6" x14ac:dyDescent="0.2">
      <c r="A551" s="4">
        <v>45266</v>
      </c>
      <c r="B551" s="5">
        <v>36.32</v>
      </c>
      <c r="C551" s="5">
        <v>36.42</v>
      </c>
      <c r="D551" s="5">
        <v>36.130000000000003</v>
      </c>
      <c r="E551" s="5">
        <v>36.17</v>
      </c>
      <c r="F551" s="6">
        <v>2330377</v>
      </c>
    </row>
    <row r="552" spans="1:6" x14ac:dyDescent="0.2">
      <c r="A552" s="4">
        <v>45267</v>
      </c>
      <c r="B552" s="5">
        <v>36.04</v>
      </c>
      <c r="C552" s="5">
        <v>36.08</v>
      </c>
      <c r="D552" s="5">
        <v>35.805</v>
      </c>
      <c r="E552" s="5">
        <v>36</v>
      </c>
      <c r="F552" s="6">
        <v>2343680</v>
      </c>
    </row>
    <row r="553" spans="1:6" x14ac:dyDescent="0.2">
      <c r="A553" s="4">
        <v>45268</v>
      </c>
      <c r="B553" s="5">
        <v>35.92</v>
      </c>
      <c r="C553" s="5">
        <v>36.090000000000003</v>
      </c>
      <c r="D553" s="5">
        <v>35.840000000000003</v>
      </c>
      <c r="E553" s="5">
        <v>35.94</v>
      </c>
      <c r="F553" s="6">
        <v>1507605</v>
      </c>
    </row>
    <row r="554" spans="1:6" x14ac:dyDescent="0.2">
      <c r="A554" s="4">
        <v>45271</v>
      </c>
      <c r="B554" s="5">
        <v>36.229999999999997</v>
      </c>
      <c r="C554" s="5">
        <v>36.42</v>
      </c>
      <c r="D554" s="5">
        <v>36.14</v>
      </c>
      <c r="E554" s="5">
        <v>36.369999999999997</v>
      </c>
      <c r="F554" s="6">
        <v>2684164</v>
      </c>
    </row>
    <row r="555" spans="1:6" x14ac:dyDescent="0.2">
      <c r="A555" s="4">
        <v>45272</v>
      </c>
      <c r="B555" s="5">
        <v>36.5</v>
      </c>
      <c r="C555" s="5">
        <v>36.549999999999997</v>
      </c>
      <c r="D555" s="5">
        <v>36.295000000000002</v>
      </c>
      <c r="E555" s="5">
        <v>36.42</v>
      </c>
      <c r="F555" s="6">
        <v>4075345</v>
      </c>
    </row>
    <row r="556" spans="1:6" x14ac:dyDescent="0.2">
      <c r="A556" s="4">
        <v>45273</v>
      </c>
      <c r="B556" s="5">
        <v>36.54</v>
      </c>
      <c r="C556" s="5">
        <v>36.79</v>
      </c>
      <c r="D556" s="5">
        <v>36.380000000000003</v>
      </c>
      <c r="E556" s="5">
        <v>36.74</v>
      </c>
      <c r="F556" s="6">
        <v>2735798</v>
      </c>
    </row>
    <row r="557" spans="1:6" x14ac:dyDescent="0.2">
      <c r="A557" s="4">
        <v>45274</v>
      </c>
      <c r="B557" s="5">
        <v>37.020000000000003</v>
      </c>
      <c r="C557" s="5">
        <v>37.39</v>
      </c>
      <c r="D557" s="5">
        <v>36.78</v>
      </c>
      <c r="E557" s="5">
        <v>36.979999999999997</v>
      </c>
      <c r="F557" s="6">
        <v>4002033</v>
      </c>
    </row>
    <row r="558" spans="1:6" x14ac:dyDescent="0.2">
      <c r="A558" s="4">
        <v>45275</v>
      </c>
      <c r="B558" s="5">
        <v>36.299999999999997</v>
      </c>
      <c r="C558" s="5">
        <v>36.409999999999997</v>
      </c>
      <c r="D558" s="5">
        <v>35.869999999999997</v>
      </c>
      <c r="E558" s="5">
        <v>35.880000000000003</v>
      </c>
      <c r="F558" s="6">
        <v>5836302</v>
      </c>
    </row>
    <row r="559" spans="1:6" x14ac:dyDescent="0.2">
      <c r="A559" s="4">
        <v>45278</v>
      </c>
      <c r="B559" s="5">
        <v>36.5</v>
      </c>
      <c r="C559" s="5">
        <v>36.545000000000002</v>
      </c>
      <c r="D559" s="5">
        <v>36.29</v>
      </c>
      <c r="E559" s="5">
        <v>36.46</v>
      </c>
      <c r="F559" s="6">
        <v>2469564</v>
      </c>
    </row>
    <row r="560" spans="1:6" x14ac:dyDescent="0.2">
      <c r="A560" s="4">
        <v>45279</v>
      </c>
      <c r="B560" s="5">
        <v>36.32</v>
      </c>
      <c r="C560" s="5">
        <v>36.57</v>
      </c>
      <c r="D560" s="5">
        <v>36.28</v>
      </c>
      <c r="E560" s="5">
        <v>36.5</v>
      </c>
      <c r="F560" s="6">
        <v>1839585</v>
      </c>
    </row>
    <row r="561" spans="1:6" x14ac:dyDescent="0.2">
      <c r="A561" s="4">
        <v>45280</v>
      </c>
      <c r="B561" s="5">
        <v>36.630000000000003</v>
      </c>
      <c r="C561" s="5">
        <v>36.68</v>
      </c>
      <c r="D561" s="5">
        <v>36.18</v>
      </c>
      <c r="E561" s="5">
        <v>36.19</v>
      </c>
      <c r="F561" s="6">
        <v>4426029</v>
      </c>
    </row>
    <row r="562" spans="1:6" x14ac:dyDescent="0.2">
      <c r="A562" s="4">
        <v>45281</v>
      </c>
      <c r="B562" s="5">
        <v>36.619999999999997</v>
      </c>
      <c r="C562" s="5">
        <v>36.82</v>
      </c>
      <c r="D562" s="5">
        <v>36.555</v>
      </c>
      <c r="E562" s="5">
        <v>36.81</v>
      </c>
      <c r="F562" s="6">
        <v>2818767</v>
      </c>
    </row>
    <row r="563" spans="1:6" x14ac:dyDescent="0.2">
      <c r="A563" s="4">
        <v>45282</v>
      </c>
      <c r="B563" s="5">
        <v>36.9</v>
      </c>
      <c r="C563" s="5">
        <v>37.158999999999999</v>
      </c>
      <c r="D563" s="5">
        <v>36.89</v>
      </c>
      <c r="E563" s="5">
        <v>36.99</v>
      </c>
      <c r="F563" s="6">
        <v>1768342</v>
      </c>
    </row>
    <row r="564" spans="1:6" x14ac:dyDescent="0.2">
      <c r="A564" s="4">
        <v>45286</v>
      </c>
      <c r="B564" s="5">
        <v>36.880000000000003</v>
      </c>
      <c r="C564" s="5">
        <v>37.055</v>
      </c>
      <c r="D564" s="5">
        <v>36.86</v>
      </c>
      <c r="E564" s="5">
        <v>37.01</v>
      </c>
      <c r="F564" s="6">
        <v>1325823</v>
      </c>
    </row>
    <row r="565" spans="1:6" x14ac:dyDescent="0.2">
      <c r="A565" s="4">
        <v>45287</v>
      </c>
      <c r="B565" s="5">
        <v>36.869999999999997</v>
      </c>
      <c r="C565" s="5">
        <v>37.134999999999998</v>
      </c>
      <c r="D565" s="5">
        <v>36.814999999999998</v>
      </c>
      <c r="E565" s="5">
        <v>37.1</v>
      </c>
      <c r="F565" s="6">
        <v>1880481</v>
      </c>
    </row>
    <row r="566" spans="1:6" x14ac:dyDescent="0.2">
      <c r="A566" s="4">
        <v>45288</v>
      </c>
      <c r="B566" s="5">
        <v>37.15</v>
      </c>
      <c r="C566" s="5">
        <v>37.344999999999999</v>
      </c>
      <c r="D566" s="5">
        <v>37.090000000000003</v>
      </c>
      <c r="E566" s="5">
        <v>37.090000000000003</v>
      </c>
      <c r="F566" s="6">
        <v>1709888</v>
      </c>
    </row>
    <row r="567" spans="1:6" x14ac:dyDescent="0.2">
      <c r="A567" s="4">
        <v>45289</v>
      </c>
      <c r="B567" s="5">
        <v>36.950000000000003</v>
      </c>
      <c r="C567" s="5">
        <v>37.174999999999997</v>
      </c>
      <c r="D567" s="5">
        <v>36.950000000000003</v>
      </c>
      <c r="E567" s="5">
        <v>37.06</v>
      </c>
      <c r="F567" s="6">
        <v>1489015</v>
      </c>
    </row>
    <row r="568" spans="1:6" x14ac:dyDescent="0.2">
      <c r="A568" s="4">
        <v>45293</v>
      </c>
      <c r="B568" s="5">
        <v>36.9</v>
      </c>
      <c r="C568" s="5">
        <v>37.575000000000003</v>
      </c>
      <c r="D568" s="5">
        <v>36.82</v>
      </c>
      <c r="E568" s="5">
        <v>37.51</v>
      </c>
      <c r="F568" s="6">
        <v>3120311</v>
      </c>
    </row>
    <row r="569" spans="1:6" x14ac:dyDescent="0.2">
      <c r="A569" s="4">
        <v>45294</v>
      </c>
      <c r="B569" s="5">
        <v>38.11</v>
      </c>
      <c r="C569" s="5">
        <v>38.94</v>
      </c>
      <c r="D569" s="5">
        <v>38.04</v>
      </c>
      <c r="E569" s="5">
        <v>38.92</v>
      </c>
      <c r="F569" s="6">
        <v>4902450</v>
      </c>
    </row>
    <row r="570" spans="1:6" x14ac:dyDescent="0.2">
      <c r="A570" s="4">
        <v>45295</v>
      </c>
      <c r="B570" s="5">
        <v>38.64</v>
      </c>
      <c r="C570" s="5">
        <v>39.18</v>
      </c>
      <c r="D570" s="5">
        <v>38.630000000000003</v>
      </c>
      <c r="E570" s="5">
        <v>39.07</v>
      </c>
      <c r="F570" s="6">
        <v>3474304</v>
      </c>
    </row>
    <row r="571" spans="1:6" x14ac:dyDescent="0.2">
      <c r="A571" s="4">
        <v>45296</v>
      </c>
      <c r="B571" s="5">
        <v>38.93</v>
      </c>
      <c r="C571" s="5">
        <v>39.309899999999999</v>
      </c>
      <c r="D571" s="5">
        <v>38.86</v>
      </c>
      <c r="E571" s="5">
        <v>39.21</v>
      </c>
      <c r="F571" s="6">
        <v>2289341</v>
      </c>
    </row>
    <row r="572" spans="1:6" x14ac:dyDescent="0.2">
      <c r="A572" s="4">
        <v>45299</v>
      </c>
      <c r="B572" s="5">
        <v>39.29</v>
      </c>
      <c r="C572" s="5">
        <v>39.64</v>
      </c>
      <c r="D572" s="5">
        <v>39.24</v>
      </c>
      <c r="E572" s="5">
        <v>39.64</v>
      </c>
      <c r="F572" s="6">
        <v>2260205</v>
      </c>
    </row>
    <row r="573" spans="1:6" x14ac:dyDescent="0.2">
      <c r="A573" s="4">
        <v>45300</v>
      </c>
      <c r="B573" s="5">
        <v>39.9</v>
      </c>
      <c r="C573" s="5">
        <v>40.1</v>
      </c>
      <c r="D573" s="5">
        <v>39.755000000000003</v>
      </c>
      <c r="E573" s="5">
        <v>39.76</v>
      </c>
      <c r="F573" s="6">
        <v>2967714</v>
      </c>
    </row>
    <row r="574" spans="1:6" x14ac:dyDescent="0.2">
      <c r="A574" s="4">
        <v>45301</v>
      </c>
      <c r="B574" s="5">
        <v>39.89</v>
      </c>
      <c r="C574" s="5">
        <v>40.049999999999997</v>
      </c>
      <c r="D574" s="5">
        <v>39.840000000000003</v>
      </c>
      <c r="E574" s="5">
        <v>39.99</v>
      </c>
      <c r="F574" s="6">
        <v>2165164</v>
      </c>
    </row>
    <row r="575" spans="1:6" x14ac:dyDescent="0.2">
      <c r="A575" s="4">
        <v>45302</v>
      </c>
      <c r="B575" s="5">
        <v>39.81</v>
      </c>
      <c r="C575" s="5">
        <v>39.86</v>
      </c>
      <c r="D575" s="5">
        <v>39.465000000000003</v>
      </c>
      <c r="E575" s="5">
        <v>39.64</v>
      </c>
      <c r="F575" s="6">
        <v>2407222</v>
      </c>
    </row>
    <row r="576" spans="1:6" x14ac:dyDescent="0.2">
      <c r="A576" s="4">
        <v>45303</v>
      </c>
      <c r="B576" s="5">
        <v>39.979999999999997</v>
      </c>
      <c r="C576" s="5">
        <v>40.340000000000003</v>
      </c>
      <c r="D576" s="5">
        <v>39.935000000000002</v>
      </c>
      <c r="E576" s="5">
        <v>40.1</v>
      </c>
      <c r="F576" s="6">
        <v>3568462</v>
      </c>
    </row>
    <row r="577" spans="1:6" x14ac:dyDescent="0.2">
      <c r="A577" s="4">
        <v>45307</v>
      </c>
      <c r="B577" s="5">
        <v>40.15</v>
      </c>
      <c r="C577" s="5">
        <v>40.18</v>
      </c>
      <c r="D577" s="5">
        <v>39.8001</v>
      </c>
      <c r="E577" s="5">
        <v>39.880000000000003</v>
      </c>
      <c r="F577" s="6">
        <v>2356557</v>
      </c>
    </row>
    <row r="578" spans="1:6" x14ac:dyDescent="0.2">
      <c r="A578" s="4">
        <v>45308</v>
      </c>
      <c r="B578" s="5">
        <v>39.85</v>
      </c>
      <c r="C578" s="5">
        <v>39.89</v>
      </c>
      <c r="D578" s="5">
        <v>39.57</v>
      </c>
      <c r="E578" s="5">
        <v>39.78</v>
      </c>
      <c r="F578" s="6">
        <v>4020988</v>
      </c>
    </row>
    <row r="579" spans="1:6" x14ac:dyDescent="0.2">
      <c r="A579" s="4">
        <v>45309</v>
      </c>
      <c r="B579" s="5">
        <v>39.53</v>
      </c>
      <c r="C579" s="5">
        <v>39.630000000000003</v>
      </c>
      <c r="D579" s="5">
        <v>39.260800000000003</v>
      </c>
      <c r="E579" s="5">
        <v>39.54</v>
      </c>
      <c r="F579" s="6">
        <v>3622772</v>
      </c>
    </row>
    <row r="580" spans="1:6" x14ac:dyDescent="0.2">
      <c r="A580" s="4">
        <v>45310</v>
      </c>
      <c r="B580" s="5">
        <v>39.479999999999997</v>
      </c>
      <c r="C580" s="5">
        <v>39.715000000000003</v>
      </c>
      <c r="D580" s="5">
        <v>39.369999999999997</v>
      </c>
      <c r="E580" s="5">
        <v>39.68</v>
      </c>
      <c r="F580" s="6">
        <v>3401877</v>
      </c>
    </row>
    <row r="581" spans="1:6" x14ac:dyDescent="0.2">
      <c r="A581" s="4">
        <v>45313</v>
      </c>
      <c r="B581" s="5">
        <v>39.409999999999997</v>
      </c>
      <c r="C581" s="5">
        <v>39.64</v>
      </c>
      <c r="D581" s="5">
        <v>39.33</v>
      </c>
      <c r="E581" s="5">
        <v>39.53</v>
      </c>
      <c r="F581" s="6">
        <v>3399702</v>
      </c>
    </row>
    <row r="582" spans="1:6" x14ac:dyDescent="0.2">
      <c r="A582" s="4">
        <v>45314</v>
      </c>
      <c r="B582" s="5">
        <v>39.229999999999997</v>
      </c>
      <c r="C582" s="5">
        <v>39.380000000000003</v>
      </c>
      <c r="D582" s="5">
        <v>39.075000000000003</v>
      </c>
      <c r="E582" s="5">
        <v>39.28</v>
      </c>
      <c r="F582" s="6">
        <v>2817211</v>
      </c>
    </row>
    <row r="583" spans="1:6" x14ac:dyDescent="0.2">
      <c r="A583" s="4">
        <v>45315</v>
      </c>
      <c r="B583" s="5">
        <v>39.47</v>
      </c>
      <c r="C583" s="5">
        <v>39.729500000000002</v>
      </c>
      <c r="D583" s="5">
        <v>38.590000000000003</v>
      </c>
      <c r="E583" s="5">
        <v>39.03</v>
      </c>
      <c r="F583" s="6">
        <v>5809870</v>
      </c>
    </row>
    <row r="584" spans="1:6" x14ac:dyDescent="0.2">
      <c r="A584" s="4">
        <v>45316</v>
      </c>
      <c r="B584" s="5">
        <v>38.94</v>
      </c>
      <c r="C584" s="5">
        <v>38.950000000000003</v>
      </c>
      <c r="D584" s="5">
        <v>38.56</v>
      </c>
      <c r="E584" s="5">
        <v>38.840000000000003</v>
      </c>
      <c r="F584" s="6">
        <v>3936726</v>
      </c>
    </row>
    <row r="585" spans="1:6" x14ac:dyDescent="0.2">
      <c r="A585" s="4">
        <v>45317</v>
      </c>
      <c r="B585" s="5">
        <v>39.369999999999997</v>
      </c>
      <c r="C585" s="5">
        <v>39.46</v>
      </c>
      <c r="D585" s="5">
        <v>39.04</v>
      </c>
      <c r="E585" s="5">
        <v>39.07</v>
      </c>
      <c r="F585" s="6">
        <v>3061478</v>
      </c>
    </row>
    <row r="586" spans="1:6" x14ac:dyDescent="0.2">
      <c r="A586" s="4">
        <v>45320</v>
      </c>
      <c r="B586" s="5">
        <v>39.19</v>
      </c>
      <c r="C586" s="5">
        <v>39.21</v>
      </c>
      <c r="D586" s="5">
        <v>38.86</v>
      </c>
      <c r="E586" s="5">
        <v>39.06</v>
      </c>
      <c r="F586" s="6">
        <v>2178606</v>
      </c>
    </row>
    <row r="587" spans="1:6" x14ac:dyDescent="0.2">
      <c r="A587" s="4">
        <v>45321</v>
      </c>
      <c r="B587" s="5">
        <v>39.159999999999997</v>
      </c>
      <c r="C587" s="5">
        <v>39.21</v>
      </c>
      <c r="D587" s="5">
        <v>38.93</v>
      </c>
      <c r="E587" s="5">
        <v>39.090000000000003</v>
      </c>
      <c r="F587" s="6">
        <v>2393933</v>
      </c>
    </row>
    <row r="588" spans="1:6" x14ac:dyDescent="0.2">
      <c r="A588" s="4">
        <v>45322</v>
      </c>
      <c r="B588" s="5">
        <v>40.67</v>
      </c>
      <c r="C588" s="5">
        <v>41.31</v>
      </c>
      <c r="D588" s="5">
        <v>39.4</v>
      </c>
      <c r="E588" s="5">
        <v>39.44</v>
      </c>
      <c r="F588" s="6">
        <v>7553305</v>
      </c>
    </row>
    <row r="589" spans="1:6" x14ac:dyDescent="0.2">
      <c r="A589" s="4">
        <v>45323</v>
      </c>
      <c r="B589" s="5">
        <v>39.94</v>
      </c>
      <c r="C589" s="5">
        <v>40.685000000000002</v>
      </c>
      <c r="D589" s="5">
        <v>39.85</v>
      </c>
      <c r="E589" s="5">
        <v>40.630000000000003</v>
      </c>
      <c r="F589" s="6">
        <v>5355049</v>
      </c>
    </row>
    <row r="590" spans="1:6" x14ac:dyDescent="0.2">
      <c r="A590" s="4">
        <v>45324</v>
      </c>
      <c r="B590" s="5">
        <v>40.61</v>
      </c>
      <c r="C590" s="5">
        <v>40.85</v>
      </c>
      <c r="D590" s="5">
        <v>40.409999999999997</v>
      </c>
      <c r="E590" s="5">
        <v>40.72</v>
      </c>
      <c r="F590" s="6">
        <v>3925361</v>
      </c>
    </row>
    <row r="591" spans="1:6" x14ac:dyDescent="0.2">
      <c r="A591" s="4">
        <v>45327</v>
      </c>
      <c r="B591" s="5">
        <v>41.765000000000001</v>
      </c>
      <c r="C591" s="5">
        <v>41.89</v>
      </c>
      <c r="D591" s="5">
        <v>41.405000000000001</v>
      </c>
      <c r="E591" s="5">
        <v>41.57</v>
      </c>
      <c r="F591" s="6">
        <v>7985062</v>
      </c>
    </row>
    <row r="592" spans="1:6" x14ac:dyDescent="0.2">
      <c r="A592" s="4">
        <v>45328</v>
      </c>
      <c r="B592" s="5">
        <v>41.69</v>
      </c>
      <c r="C592" s="5">
        <v>41.77</v>
      </c>
      <c r="D592" s="5">
        <v>41.304499999999997</v>
      </c>
      <c r="E592" s="5">
        <v>41.75</v>
      </c>
      <c r="F592" s="6">
        <v>3671690</v>
      </c>
    </row>
    <row r="593" spans="1:6" x14ac:dyDescent="0.2">
      <c r="A593" s="4">
        <v>45329</v>
      </c>
      <c r="B593" s="5">
        <v>41.93</v>
      </c>
      <c r="C593" s="5">
        <v>42.21</v>
      </c>
      <c r="D593" s="5">
        <v>41.9</v>
      </c>
      <c r="E593" s="5">
        <v>42.02</v>
      </c>
      <c r="F593" s="6">
        <v>6042880</v>
      </c>
    </row>
    <row r="594" spans="1:6" x14ac:dyDescent="0.2">
      <c r="A594" s="4">
        <v>45330</v>
      </c>
      <c r="B594" s="5">
        <v>41.82</v>
      </c>
      <c r="C594" s="5">
        <v>41.884999999999998</v>
      </c>
      <c r="D594" s="5">
        <v>41.445</v>
      </c>
      <c r="E594" s="5">
        <v>41.82</v>
      </c>
      <c r="F594" s="6">
        <v>4303324</v>
      </c>
    </row>
    <row r="595" spans="1:6" x14ac:dyDescent="0.2">
      <c r="A595" s="4">
        <v>45331</v>
      </c>
      <c r="B595" s="5">
        <v>41.954999999999998</v>
      </c>
      <c r="C595" s="5">
        <v>42.06</v>
      </c>
      <c r="D595" s="5">
        <v>41.77</v>
      </c>
      <c r="E595" s="5">
        <v>41.91</v>
      </c>
      <c r="F595" s="6">
        <v>3503429</v>
      </c>
    </row>
    <row r="596" spans="1:6" x14ac:dyDescent="0.2">
      <c r="A596" s="4">
        <v>45334</v>
      </c>
      <c r="B596" s="5">
        <v>41.41</v>
      </c>
      <c r="C596" s="5">
        <v>41.41</v>
      </c>
      <c r="D596" s="5">
        <v>40.880000000000003</v>
      </c>
      <c r="E596" s="5">
        <v>41.07</v>
      </c>
      <c r="F596" s="6">
        <v>6688824</v>
      </c>
    </row>
    <row r="597" spans="1:6" x14ac:dyDescent="0.2">
      <c r="A597" s="4">
        <v>45335</v>
      </c>
      <c r="B597" s="5">
        <v>41.57</v>
      </c>
      <c r="C597" s="5">
        <v>41.6</v>
      </c>
      <c r="D597" s="5">
        <v>41.08</v>
      </c>
      <c r="E597" s="5">
        <v>41.39</v>
      </c>
      <c r="F597" s="6">
        <v>7056902</v>
      </c>
    </row>
    <row r="598" spans="1:6" x14ac:dyDescent="0.2">
      <c r="A598" s="4">
        <v>45336</v>
      </c>
      <c r="B598" s="5">
        <v>41.76</v>
      </c>
      <c r="C598" s="5">
        <v>41.93</v>
      </c>
      <c r="D598" s="5">
        <v>41.59</v>
      </c>
      <c r="E598" s="5">
        <v>41.8</v>
      </c>
      <c r="F598" s="6">
        <v>7442574</v>
      </c>
    </row>
    <row r="599" spans="1:6" x14ac:dyDescent="0.2">
      <c r="A599" s="4">
        <v>45337</v>
      </c>
      <c r="B599" s="5">
        <v>41.78</v>
      </c>
      <c r="C599" s="5">
        <v>42.02</v>
      </c>
      <c r="D599" s="5">
        <v>41.6813</v>
      </c>
      <c r="E599" s="5">
        <v>41.77</v>
      </c>
      <c r="F599" s="6">
        <v>4144993</v>
      </c>
    </row>
    <row r="600" spans="1:6" x14ac:dyDescent="0.2">
      <c r="A600" s="4">
        <v>45338</v>
      </c>
      <c r="B600" s="5">
        <v>42</v>
      </c>
      <c r="C600" s="5">
        <v>42.23</v>
      </c>
      <c r="D600" s="5">
        <v>41.88</v>
      </c>
      <c r="E600" s="5">
        <v>41.94</v>
      </c>
      <c r="F600" s="6">
        <v>3765798</v>
      </c>
    </row>
    <row r="601" spans="1:6" x14ac:dyDescent="0.2">
      <c r="A601" s="4">
        <v>45342</v>
      </c>
      <c r="B601" s="5">
        <v>42.26</v>
      </c>
      <c r="C601" s="5">
        <v>42.61</v>
      </c>
      <c r="D601" s="5">
        <v>41.99</v>
      </c>
      <c r="E601" s="5">
        <v>42.02</v>
      </c>
      <c r="F601" s="6">
        <v>4154312</v>
      </c>
    </row>
    <row r="602" spans="1:6" x14ac:dyDescent="0.2">
      <c r="A602" s="4">
        <v>45343</v>
      </c>
      <c r="B602" s="5">
        <v>41.82</v>
      </c>
      <c r="C602" s="5">
        <v>41.99</v>
      </c>
      <c r="D602" s="5">
        <v>41.75</v>
      </c>
      <c r="E602" s="5">
        <v>41.94</v>
      </c>
      <c r="F602" s="6">
        <v>3661177</v>
      </c>
    </row>
    <row r="603" spans="1:6" x14ac:dyDescent="0.2">
      <c r="A603" s="4">
        <v>45344</v>
      </c>
      <c r="B603" s="5">
        <v>41.65</v>
      </c>
      <c r="C603" s="5">
        <v>42.24</v>
      </c>
      <c r="D603" s="5">
        <v>41.63</v>
      </c>
      <c r="E603" s="5">
        <v>42.16</v>
      </c>
      <c r="F603" s="6">
        <v>6179571</v>
      </c>
    </row>
    <row r="604" spans="1:6" x14ac:dyDescent="0.2">
      <c r="A604" s="4">
        <v>45345</v>
      </c>
      <c r="B604" s="5">
        <v>42.35</v>
      </c>
      <c r="C604" s="5">
        <v>42.45</v>
      </c>
      <c r="D604" s="5">
        <v>42.143999999999998</v>
      </c>
      <c r="E604" s="5">
        <v>42.22</v>
      </c>
      <c r="F604" s="6">
        <v>3440906</v>
      </c>
    </row>
    <row r="605" spans="1:6" x14ac:dyDescent="0.2">
      <c r="A605" s="4">
        <v>45348</v>
      </c>
      <c r="B605" s="5">
        <v>42.52</v>
      </c>
      <c r="C605" s="5">
        <v>42.585000000000001</v>
      </c>
      <c r="D605" s="5">
        <v>42.25</v>
      </c>
      <c r="E605" s="5">
        <v>42.34</v>
      </c>
      <c r="F605" s="6">
        <v>3023384</v>
      </c>
    </row>
    <row r="606" spans="1:6" x14ac:dyDescent="0.2">
      <c r="A606" s="4">
        <v>45349</v>
      </c>
      <c r="B606" s="5">
        <v>42.12</v>
      </c>
      <c r="C606" s="5">
        <v>42.435000000000002</v>
      </c>
      <c r="D606" s="5">
        <v>42.07</v>
      </c>
      <c r="E606" s="5">
        <v>42.38</v>
      </c>
      <c r="F606" s="6">
        <v>3733723</v>
      </c>
    </row>
    <row r="607" spans="1:6" x14ac:dyDescent="0.2">
      <c r="A607" s="4">
        <v>45350</v>
      </c>
      <c r="B607" s="5">
        <v>42.35</v>
      </c>
      <c r="C607" s="5">
        <v>42.435000000000002</v>
      </c>
      <c r="D607" s="5">
        <v>42.13</v>
      </c>
      <c r="E607" s="5">
        <v>42.34</v>
      </c>
      <c r="F607" s="6">
        <v>4041124</v>
      </c>
    </row>
    <row r="608" spans="1:6" x14ac:dyDescent="0.2">
      <c r="A608" s="4">
        <v>45351</v>
      </c>
      <c r="B608" s="5">
        <v>42.65</v>
      </c>
      <c r="C608" s="5">
        <v>42.69</v>
      </c>
      <c r="D608" s="5">
        <v>41.795000000000002</v>
      </c>
      <c r="E608" s="5">
        <v>41.9</v>
      </c>
      <c r="F608" s="6">
        <v>4381434</v>
      </c>
    </row>
    <row r="609" spans="1:6" x14ac:dyDescent="0.2">
      <c r="A609" s="4">
        <v>45352</v>
      </c>
      <c r="B609" s="5">
        <v>42.01</v>
      </c>
      <c r="C609" s="5">
        <v>42.085000000000001</v>
      </c>
      <c r="D609" s="5">
        <v>41.774999999999999</v>
      </c>
      <c r="E609" s="5">
        <v>42.03</v>
      </c>
      <c r="F609" s="6">
        <v>2324675</v>
      </c>
    </row>
    <row r="610" spans="1:6" x14ac:dyDescent="0.2">
      <c r="A610" s="4">
        <v>45355</v>
      </c>
      <c r="B610" s="5">
        <v>42.04</v>
      </c>
      <c r="C610" s="5">
        <v>42.44</v>
      </c>
      <c r="D610" s="5">
        <v>42.02</v>
      </c>
      <c r="E610" s="5">
        <v>42.44</v>
      </c>
      <c r="F610" s="6">
        <v>2404302</v>
      </c>
    </row>
    <row r="611" spans="1:6" x14ac:dyDescent="0.2">
      <c r="A611" s="4">
        <v>45356</v>
      </c>
      <c r="B611" s="5">
        <v>42.63</v>
      </c>
      <c r="C611" s="5">
        <v>42.78</v>
      </c>
      <c r="D611" s="5">
        <v>42.49</v>
      </c>
      <c r="E611" s="5">
        <v>42.6</v>
      </c>
      <c r="F611" s="6">
        <v>2635266</v>
      </c>
    </row>
    <row r="612" spans="1:6" x14ac:dyDescent="0.2">
      <c r="A612" s="4">
        <v>45357</v>
      </c>
      <c r="B612" s="5">
        <v>42.38</v>
      </c>
      <c r="C612" s="5">
        <v>42.71</v>
      </c>
      <c r="D612" s="5">
        <v>42.328499999999998</v>
      </c>
      <c r="E612" s="5">
        <v>42.62</v>
      </c>
      <c r="F612" s="6">
        <v>3247401</v>
      </c>
    </row>
    <row r="613" spans="1:6" x14ac:dyDescent="0.2">
      <c r="A613" s="4">
        <v>45358</v>
      </c>
      <c r="B613" s="5">
        <v>43.68</v>
      </c>
      <c r="C613" s="5">
        <v>43.84</v>
      </c>
      <c r="D613" s="5">
        <v>43.48</v>
      </c>
      <c r="E613" s="5">
        <v>43.58</v>
      </c>
      <c r="F613" s="6">
        <v>4382357</v>
      </c>
    </row>
    <row r="614" spans="1:6" x14ac:dyDescent="0.2">
      <c r="A614" s="4">
        <v>45359</v>
      </c>
      <c r="B614" s="5">
        <v>43.02</v>
      </c>
      <c r="C614" s="5">
        <v>43.22</v>
      </c>
      <c r="D614" s="5">
        <v>42.91</v>
      </c>
      <c r="E614" s="5">
        <v>43.14</v>
      </c>
      <c r="F614" s="6">
        <v>3308066</v>
      </c>
    </row>
    <row r="615" spans="1:6" x14ac:dyDescent="0.2">
      <c r="A615" s="4">
        <v>45362</v>
      </c>
      <c r="B615" s="5">
        <v>42.88</v>
      </c>
      <c r="C615" s="5">
        <v>42.96</v>
      </c>
      <c r="D615" s="5">
        <v>42.73</v>
      </c>
      <c r="E615" s="5">
        <v>42.92</v>
      </c>
      <c r="F615" s="6">
        <v>2514787</v>
      </c>
    </row>
    <row r="616" spans="1:6" x14ac:dyDescent="0.2">
      <c r="A616" s="4">
        <v>45363</v>
      </c>
      <c r="B616" s="5">
        <v>42.93</v>
      </c>
      <c r="C616" s="5">
        <v>43.27</v>
      </c>
      <c r="D616" s="5">
        <v>42.805</v>
      </c>
      <c r="E616" s="5">
        <v>43.27</v>
      </c>
      <c r="F616" s="6">
        <v>2196713</v>
      </c>
    </row>
    <row r="617" spans="1:6" x14ac:dyDescent="0.2">
      <c r="A617" s="4">
        <v>45364</v>
      </c>
      <c r="B617" s="5">
        <v>43.27</v>
      </c>
      <c r="C617" s="5">
        <v>43.37</v>
      </c>
      <c r="D617" s="5">
        <v>43.075000000000003</v>
      </c>
      <c r="E617" s="5">
        <v>43.36</v>
      </c>
      <c r="F617" s="6">
        <v>1677763</v>
      </c>
    </row>
    <row r="618" spans="1:6" x14ac:dyDescent="0.2">
      <c r="A618" s="4">
        <v>45365</v>
      </c>
      <c r="B618" s="5">
        <v>43.21</v>
      </c>
      <c r="C618" s="5">
        <v>43.255000000000003</v>
      </c>
      <c r="D618" s="5">
        <v>42.81</v>
      </c>
      <c r="E618" s="5">
        <v>43.08</v>
      </c>
      <c r="F618" s="6">
        <v>1843306</v>
      </c>
    </row>
    <row r="619" spans="1:6" x14ac:dyDescent="0.2">
      <c r="A619" s="4">
        <v>45366</v>
      </c>
      <c r="B619" s="5">
        <v>42.28</v>
      </c>
      <c r="C619" s="5">
        <v>42.43</v>
      </c>
      <c r="D619" s="5">
        <v>41.81</v>
      </c>
      <c r="E619" s="5">
        <v>42.19</v>
      </c>
      <c r="F619" s="6">
        <v>4130059</v>
      </c>
    </row>
    <row r="620" spans="1:6" x14ac:dyDescent="0.2">
      <c r="A620" s="4">
        <v>45369</v>
      </c>
      <c r="B620" s="5">
        <v>42.21</v>
      </c>
      <c r="C620" s="5">
        <v>42.349899999999998</v>
      </c>
      <c r="D620" s="5">
        <v>42.14</v>
      </c>
      <c r="E620" s="5">
        <v>42.14</v>
      </c>
      <c r="F620" s="6">
        <v>1346141</v>
      </c>
    </row>
    <row r="621" spans="1:6" x14ac:dyDescent="0.2">
      <c r="A621" s="4">
        <v>45370</v>
      </c>
      <c r="B621" s="5">
        <v>42.24</v>
      </c>
      <c r="C621" s="5">
        <v>42.33</v>
      </c>
      <c r="D621" s="5">
        <v>42.07</v>
      </c>
      <c r="E621" s="5">
        <v>42.32</v>
      </c>
      <c r="F621" s="6">
        <v>1998809</v>
      </c>
    </row>
    <row r="622" spans="1:6" x14ac:dyDescent="0.2">
      <c r="A622" s="4">
        <v>45371</v>
      </c>
      <c r="B622" s="5">
        <v>42.02</v>
      </c>
      <c r="C622" s="5">
        <v>42.04</v>
      </c>
      <c r="D622" s="5">
        <v>41.75</v>
      </c>
      <c r="E622" s="5">
        <v>41.93</v>
      </c>
      <c r="F622" s="6">
        <v>1799376</v>
      </c>
    </row>
    <row r="623" spans="1:6" x14ac:dyDescent="0.2">
      <c r="A623" s="4">
        <v>45372</v>
      </c>
      <c r="B623" s="5">
        <v>42.17</v>
      </c>
      <c r="C623" s="5">
        <v>42.54</v>
      </c>
      <c r="D623" s="5">
        <v>42.15</v>
      </c>
      <c r="E623" s="5">
        <v>42.37</v>
      </c>
      <c r="F623" s="6">
        <v>2024458</v>
      </c>
    </row>
    <row r="624" spans="1:6" x14ac:dyDescent="0.2">
      <c r="A624" s="4">
        <v>45373</v>
      </c>
      <c r="B624" s="5">
        <v>42.54</v>
      </c>
      <c r="C624" s="5">
        <v>42.68</v>
      </c>
      <c r="D624" s="5">
        <v>42.33</v>
      </c>
      <c r="E624" s="5">
        <v>42.35</v>
      </c>
      <c r="F624" s="6">
        <v>1482677</v>
      </c>
    </row>
    <row r="625" spans="1:6" x14ac:dyDescent="0.2">
      <c r="A625" s="4">
        <v>45376</v>
      </c>
      <c r="B625" s="5">
        <v>42.58</v>
      </c>
      <c r="C625" s="5">
        <v>43.45</v>
      </c>
      <c r="D625" s="5">
        <v>42.56</v>
      </c>
      <c r="E625" s="5">
        <v>42.83</v>
      </c>
      <c r="F625" s="6">
        <v>3437180</v>
      </c>
    </row>
    <row r="626" spans="1:6" x14ac:dyDescent="0.2">
      <c r="A626" s="4">
        <v>45377</v>
      </c>
      <c r="B626" s="5">
        <v>42.83</v>
      </c>
      <c r="C626" s="5">
        <v>42.89</v>
      </c>
      <c r="D626" s="5">
        <v>42.55</v>
      </c>
      <c r="E626" s="5">
        <v>42.79</v>
      </c>
      <c r="F626" s="6">
        <v>3041578</v>
      </c>
    </row>
    <row r="627" spans="1:6" x14ac:dyDescent="0.2">
      <c r="A627" s="4">
        <v>45378</v>
      </c>
      <c r="B627" s="5">
        <v>42.58</v>
      </c>
      <c r="C627" s="5">
        <v>43.03</v>
      </c>
      <c r="D627" s="5">
        <v>42.51</v>
      </c>
      <c r="E627" s="5">
        <v>42.99</v>
      </c>
      <c r="F627" s="6">
        <v>2076567</v>
      </c>
    </row>
    <row r="628" spans="1:6" x14ac:dyDescent="0.2">
      <c r="A628" s="4">
        <v>45379</v>
      </c>
      <c r="B628" s="5">
        <v>43</v>
      </c>
      <c r="C628" s="5">
        <v>43.22</v>
      </c>
      <c r="D628" s="5">
        <v>42.86</v>
      </c>
      <c r="E628" s="5">
        <v>42.87</v>
      </c>
      <c r="F628" s="6">
        <v>1854756</v>
      </c>
    </row>
    <row r="629" spans="1:6" x14ac:dyDescent="0.2">
      <c r="A629" s="4">
        <v>45383</v>
      </c>
      <c r="B629" s="5">
        <v>42.74</v>
      </c>
      <c r="C629" s="5">
        <v>42.87</v>
      </c>
      <c r="D629" s="5">
        <v>42.225000000000001</v>
      </c>
      <c r="E629" s="5">
        <v>42.42</v>
      </c>
      <c r="F629" s="6">
        <v>1515071</v>
      </c>
    </row>
    <row r="630" spans="1:6" x14ac:dyDescent="0.2">
      <c r="A630" s="4">
        <v>45384</v>
      </c>
      <c r="B630" s="5">
        <v>42.13</v>
      </c>
      <c r="C630" s="5">
        <v>42.14</v>
      </c>
      <c r="D630" s="5">
        <v>41.67</v>
      </c>
      <c r="E630" s="5">
        <v>41.79</v>
      </c>
      <c r="F630" s="6">
        <v>2582029</v>
      </c>
    </row>
    <row r="631" spans="1:6" x14ac:dyDescent="0.2">
      <c r="A631" s="4">
        <v>45385</v>
      </c>
      <c r="B631" s="5">
        <v>41.5</v>
      </c>
      <c r="C631" s="5">
        <v>41.74</v>
      </c>
      <c r="D631" s="5">
        <v>41.325000000000003</v>
      </c>
      <c r="E631" s="5">
        <v>41.54</v>
      </c>
      <c r="F631" s="6">
        <v>3048511</v>
      </c>
    </row>
    <row r="632" spans="1:6" x14ac:dyDescent="0.2">
      <c r="A632" s="4">
        <v>45386</v>
      </c>
      <c r="B632" s="5">
        <v>41.73</v>
      </c>
      <c r="C632" s="5">
        <v>41.88</v>
      </c>
      <c r="D632" s="5">
        <v>40.840000000000003</v>
      </c>
      <c r="E632" s="5">
        <v>40.86</v>
      </c>
      <c r="F632" s="6">
        <v>2634138</v>
      </c>
    </row>
    <row r="633" spans="1:6" x14ac:dyDescent="0.2">
      <c r="A633" s="4">
        <v>45387</v>
      </c>
      <c r="B633" s="5">
        <v>40.590000000000003</v>
      </c>
      <c r="C633" s="5">
        <v>41.25</v>
      </c>
      <c r="D633" s="5">
        <v>40.534999999999997</v>
      </c>
      <c r="E633" s="5">
        <v>41.19</v>
      </c>
      <c r="F633" s="6">
        <v>6093092</v>
      </c>
    </row>
    <row r="634" spans="1:6" x14ac:dyDescent="0.2">
      <c r="A634" s="4">
        <v>45390</v>
      </c>
      <c r="B634" s="5">
        <v>41.08</v>
      </c>
      <c r="C634" s="5">
        <v>41.08</v>
      </c>
      <c r="D634" s="5">
        <v>40.820999999999998</v>
      </c>
      <c r="E634" s="5">
        <v>40.85</v>
      </c>
      <c r="F634" s="6">
        <v>1856137</v>
      </c>
    </row>
    <row r="635" spans="1:6" x14ac:dyDescent="0.2">
      <c r="A635" s="4">
        <v>45391</v>
      </c>
      <c r="B635" s="5">
        <v>40.89</v>
      </c>
      <c r="C635" s="5">
        <v>40.9589</v>
      </c>
      <c r="D635" s="5">
        <v>40.67</v>
      </c>
      <c r="E635" s="5">
        <v>40.880000000000003</v>
      </c>
      <c r="F635" s="6">
        <v>3191316</v>
      </c>
    </row>
    <row r="636" spans="1:6" x14ac:dyDescent="0.2">
      <c r="A636" s="4">
        <v>45392</v>
      </c>
      <c r="B636" s="5">
        <v>40.619999999999997</v>
      </c>
      <c r="C636" s="5">
        <v>40.75</v>
      </c>
      <c r="D636" s="5">
        <v>40.484999999999999</v>
      </c>
      <c r="E636" s="5">
        <v>40.69</v>
      </c>
      <c r="F636" s="6">
        <v>4370362</v>
      </c>
    </row>
    <row r="637" spans="1:6" x14ac:dyDescent="0.2">
      <c r="A637" s="4">
        <v>45393</v>
      </c>
      <c r="B637" s="5">
        <v>41</v>
      </c>
      <c r="C637" s="5">
        <v>41.25</v>
      </c>
      <c r="D637" s="5">
        <v>40.68</v>
      </c>
      <c r="E637" s="5">
        <v>40.799999999999997</v>
      </c>
      <c r="F637" s="6">
        <v>2903779</v>
      </c>
    </row>
    <row r="638" spans="1:6" x14ac:dyDescent="0.2">
      <c r="A638" s="4">
        <v>45394</v>
      </c>
      <c r="B638" s="5">
        <v>40.96</v>
      </c>
      <c r="C638" s="5">
        <v>40.97</v>
      </c>
      <c r="D638" s="5">
        <v>40.49</v>
      </c>
      <c r="E638" s="5">
        <v>40.659999999999997</v>
      </c>
      <c r="F638" s="6">
        <v>5264697</v>
      </c>
    </row>
    <row r="639" spans="1:6" x14ac:dyDescent="0.2">
      <c r="A639" s="4">
        <v>45397</v>
      </c>
      <c r="B639" s="5">
        <v>40.9</v>
      </c>
      <c r="C639" s="5">
        <v>41.055</v>
      </c>
      <c r="D639" s="5">
        <v>40.44</v>
      </c>
      <c r="E639" s="5">
        <v>40.5</v>
      </c>
      <c r="F639" s="6">
        <v>3373753</v>
      </c>
    </row>
    <row r="640" spans="1:6" x14ac:dyDescent="0.2">
      <c r="A640" s="4">
        <v>45398</v>
      </c>
      <c r="B640" s="5">
        <v>40.020000000000003</v>
      </c>
      <c r="C640" s="5">
        <v>40.229999999999997</v>
      </c>
      <c r="D640" s="5">
        <v>39.72</v>
      </c>
      <c r="E640" s="5">
        <v>39.950000000000003</v>
      </c>
      <c r="F640" s="6">
        <v>2422869</v>
      </c>
    </row>
    <row r="641" spans="1:6" x14ac:dyDescent="0.2">
      <c r="A641" s="4">
        <v>45399</v>
      </c>
      <c r="B641" s="5">
        <v>39.72</v>
      </c>
      <c r="C641" s="5">
        <v>39.85</v>
      </c>
      <c r="D641" s="5">
        <v>39.44</v>
      </c>
      <c r="E641" s="5">
        <v>39.6</v>
      </c>
      <c r="F641" s="6">
        <v>3208339</v>
      </c>
    </row>
    <row r="642" spans="1:6" x14ac:dyDescent="0.2">
      <c r="A642" s="4">
        <v>45400</v>
      </c>
      <c r="B642" s="5">
        <v>39.39</v>
      </c>
      <c r="C642" s="5">
        <v>39.5</v>
      </c>
      <c r="D642" s="5">
        <v>39.155000000000001</v>
      </c>
      <c r="E642" s="5">
        <v>39.270000000000003</v>
      </c>
      <c r="F642" s="6">
        <v>2636945</v>
      </c>
    </row>
    <row r="643" spans="1:6" x14ac:dyDescent="0.2">
      <c r="A643" s="4">
        <v>45401</v>
      </c>
      <c r="B643" s="5">
        <v>39.369999999999997</v>
      </c>
      <c r="C643" s="5">
        <v>39.76</v>
      </c>
      <c r="D643" s="5">
        <v>39.369999999999997</v>
      </c>
      <c r="E643" s="5">
        <v>39.75</v>
      </c>
      <c r="F643" s="6">
        <v>1623882</v>
      </c>
    </row>
    <row r="644" spans="1:6" x14ac:dyDescent="0.2">
      <c r="A644" s="4">
        <v>45404</v>
      </c>
      <c r="B644" s="5">
        <v>39.99</v>
      </c>
      <c r="C644" s="5">
        <v>40.755000000000003</v>
      </c>
      <c r="D644" s="5">
        <v>39.96</v>
      </c>
      <c r="E644" s="5">
        <v>40.590000000000003</v>
      </c>
      <c r="F644" s="6">
        <v>3800880</v>
      </c>
    </row>
    <row r="645" spans="1:6" x14ac:dyDescent="0.2">
      <c r="A645" s="4">
        <v>45405</v>
      </c>
      <c r="B645" s="5">
        <v>40.659999999999997</v>
      </c>
      <c r="C645" s="5">
        <v>41.26</v>
      </c>
      <c r="D645" s="5">
        <v>40.6</v>
      </c>
      <c r="E645" s="5">
        <v>41.24</v>
      </c>
      <c r="F645" s="6">
        <v>2289896</v>
      </c>
    </row>
    <row r="646" spans="1:6" x14ac:dyDescent="0.2">
      <c r="A646" s="4">
        <v>45406</v>
      </c>
      <c r="B646" s="5">
        <v>41.2</v>
      </c>
      <c r="C646" s="5">
        <v>41.24</v>
      </c>
      <c r="D646" s="5">
        <v>40.634999999999998</v>
      </c>
      <c r="E646" s="5">
        <v>40.86</v>
      </c>
      <c r="F646" s="6">
        <v>1816111</v>
      </c>
    </row>
    <row r="647" spans="1:6" x14ac:dyDescent="0.2">
      <c r="A647" s="4">
        <v>45407</v>
      </c>
      <c r="B647" s="5">
        <v>41.06</v>
      </c>
      <c r="C647" s="5">
        <v>41.11</v>
      </c>
      <c r="D647" s="5">
        <v>40.805</v>
      </c>
      <c r="E647" s="5">
        <v>40.909999999999997</v>
      </c>
      <c r="F647" s="6">
        <v>3461979</v>
      </c>
    </row>
    <row r="648" spans="1:6" x14ac:dyDescent="0.2">
      <c r="A648" s="4">
        <v>45408</v>
      </c>
      <c r="B648" s="5">
        <v>40.950000000000003</v>
      </c>
      <c r="C648" s="5">
        <v>41.3125</v>
      </c>
      <c r="D648" s="5">
        <v>40.869999999999997</v>
      </c>
      <c r="E648" s="5">
        <v>41.11</v>
      </c>
      <c r="F648" s="6">
        <v>2730464</v>
      </c>
    </row>
    <row r="649" spans="1:6" x14ac:dyDescent="0.2">
      <c r="A649" s="4">
        <v>45411</v>
      </c>
      <c r="B649" s="5">
        <v>41.66</v>
      </c>
      <c r="C649" s="5">
        <v>42</v>
      </c>
      <c r="D649" s="5">
        <v>41.5</v>
      </c>
      <c r="E649" s="5">
        <v>41.61</v>
      </c>
      <c r="F649" s="6">
        <v>4241678</v>
      </c>
    </row>
    <row r="650" spans="1:6" x14ac:dyDescent="0.2">
      <c r="A650" s="4">
        <v>45412</v>
      </c>
      <c r="B650" s="5">
        <v>41.75</v>
      </c>
      <c r="C650" s="5">
        <v>42.03</v>
      </c>
      <c r="D650" s="5">
        <v>41.42</v>
      </c>
      <c r="E650" s="5">
        <v>41.44</v>
      </c>
      <c r="F650" s="6">
        <v>3672349</v>
      </c>
    </row>
    <row r="651" spans="1:6" x14ac:dyDescent="0.2">
      <c r="A651" s="4">
        <v>45413</v>
      </c>
      <c r="B651" s="5">
        <v>42.7</v>
      </c>
      <c r="C651" s="5">
        <v>42.84</v>
      </c>
      <c r="D651" s="5">
        <v>42.274999999999999</v>
      </c>
      <c r="E651" s="5">
        <v>42.57</v>
      </c>
      <c r="F651" s="6">
        <v>4686149</v>
      </c>
    </row>
    <row r="652" spans="1:6" x14ac:dyDescent="0.2">
      <c r="A652" s="4">
        <v>45414</v>
      </c>
      <c r="B652" s="5">
        <v>42.9</v>
      </c>
      <c r="C652" s="5">
        <v>43.515000000000001</v>
      </c>
      <c r="D652" s="5">
        <v>42.75</v>
      </c>
      <c r="E652" s="5">
        <v>43.35</v>
      </c>
      <c r="F652" s="6">
        <v>6320454</v>
      </c>
    </row>
    <row r="653" spans="1:6" x14ac:dyDescent="0.2">
      <c r="A653" s="4">
        <v>45415</v>
      </c>
      <c r="B653" s="5">
        <v>43.58</v>
      </c>
      <c r="C653" s="5">
        <v>43.68</v>
      </c>
      <c r="D653" s="5">
        <v>43.27</v>
      </c>
      <c r="E653" s="5">
        <v>43.5</v>
      </c>
      <c r="F653" s="6">
        <v>4048068</v>
      </c>
    </row>
    <row r="654" spans="1:6" x14ac:dyDescent="0.2">
      <c r="A654" s="4">
        <v>45418</v>
      </c>
      <c r="B654" s="5">
        <v>43.5</v>
      </c>
      <c r="C654" s="5">
        <v>43.64</v>
      </c>
      <c r="D654" s="5">
        <v>43.174999999999997</v>
      </c>
      <c r="E654" s="5">
        <v>43.45</v>
      </c>
      <c r="F654" s="6">
        <v>2045663</v>
      </c>
    </row>
    <row r="655" spans="1:6" x14ac:dyDescent="0.2">
      <c r="A655" s="4">
        <v>45419</v>
      </c>
      <c r="B655" s="5">
        <v>44.13</v>
      </c>
      <c r="C655" s="5">
        <v>44.33</v>
      </c>
      <c r="D655" s="5">
        <v>43.96</v>
      </c>
      <c r="E655" s="5">
        <v>44.15</v>
      </c>
      <c r="F655" s="6">
        <v>3104015</v>
      </c>
    </row>
    <row r="656" spans="1:6" x14ac:dyDescent="0.2">
      <c r="A656" s="4">
        <v>45420</v>
      </c>
      <c r="B656" s="5">
        <v>44.23</v>
      </c>
      <c r="C656" s="5">
        <v>44.29</v>
      </c>
      <c r="D656" s="5">
        <v>44.06</v>
      </c>
      <c r="E656" s="5">
        <v>44.14</v>
      </c>
      <c r="F656" s="6">
        <v>2127460</v>
      </c>
    </row>
    <row r="657" spans="1:6" x14ac:dyDescent="0.2">
      <c r="A657" s="4">
        <v>45421</v>
      </c>
      <c r="B657" s="5">
        <v>44.3</v>
      </c>
      <c r="C657" s="5">
        <v>44.72</v>
      </c>
      <c r="D657" s="5">
        <v>44.3</v>
      </c>
      <c r="E657" s="5">
        <v>44.67</v>
      </c>
      <c r="F657" s="6">
        <v>4924643</v>
      </c>
    </row>
    <row r="658" spans="1:6" x14ac:dyDescent="0.2">
      <c r="A658" s="4">
        <v>45422</v>
      </c>
      <c r="B658" s="5">
        <v>44.98</v>
      </c>
      <c r="C658" s="5">
        <v>45.094999999999999</v>
      </c>
      <c r="D658" s="5">
        <v>44.8</v>
      </c>
      <c r="E658" s="5">
        <v>45.07</v>
      </c>
      <c r="F658" s="6">
        <v>3771079</v>
      </c>
    </row>
    <row r="659" spans="1:6" x14ac:dyDescent="0.2">
      <c r="A659" s="4">
        <v>45425</v>
      </c>
      <c r="B659" s="5">
        <v>45.31</v>
      </c>
      <c r="C659" s="5">
        <v>45.41</v>
      </c>
      <c r="D659" s="5">
        <v>45.14</v>
      </c>
      <c r="E659" s="5">
        <v>45.17</v>
      </c>
      <c r="F659" s="6">
        <v>2830827</v>
      </c>
    </row>
    <row r="660" spans="1:6" x14ac:dyDescent="0.2">
      <c r="A660" s="4">
        <v>45426</v>
      </c>
      <c r="B660" s="5">
        <v>45.34</v>
      </c>
      <c r="C660" s="5">
        <v>45.755000000000003</v>
      </c>
      <c r="D660" s="5">
        <v>45.3</v>
      </c>
      <c r="E660" s="5">
        <v>45.66</v>
      </c>
      <c r="F660" s="6">
        <v>3615092</v>
      </c>
    </row>
    <row r="661" spans="1:6" x14ac:dyDescent="0.2">
      <c r="A661" s="4">
        <v>45427</v>
      </c>
      <c r="B661" s="5">
        <v>45.82</v>
      </c>
      <c r="C661" s="5">
        <v>45.924999999999997</v>
      </c>
      <c r="D661" s="5">
        <v>45.65</v>
      </c>
      <c r="E661" s="5">
        <v>45.7</v>
      </c>
      <c r="F661" s="6">
        <v>3788130</v>
      </c>
    </row>
    <row r="662" spans="1:6" x14ac:dyDescent="0.2">
      <c r="A662" s="4">
        <v>45428</v>
      </c>
      <c r="B662" s="5">
        <v>45.12</v>
      </c>
      <c r="C662" s="5">
        <v>45.2</v>
      </c>
      <c r="D662" s="5">
        <v>44.82</v>
      </c>
      <c r="E662" s="5">
        <v>44.88</v>
      </c>
      <c r="F662" s="6">
        <v>4666360</v>
      </c>
    </row>
    <row r="663" spans="1:6" x14ac:dyDescent="0.2">
      <c r="A663" s="4">
        <v>45429</v>
      </c>
      <c r="B663" s="5">
        <v>44.85</v>
      </c>
      <c r="C663" s="5">
        <v>45.09</v>
      </c>
      <c r="D663" s="5">
        <v>44.74</v>
      </c>
      <c r="E663" s="5">
        <v>44.98</v>
      </c>
      <c r="F663" s="6">
        <v>1882986</v>
      </c>
    </row>
    <row r="664" spans="1:6" x14ac:dyDescent="0.2">
      <c r="A664" s="4">
        <v>45432</v>
      </c>
      <c r="B664" s="5">
        <v>45.06</v>
      </c>
      <c r="C664" s="5">
        <v>45.19</v>
      </c>
      <c r="D664" s="5">
        <v>44.4</v>
      </c>
      <c r="E664" s="5">
        <v>44.59</v>
      </c>
      <c r="F664" s="6">
        <v>5172442</v>
      </c>
    </row>
    <row r="665" spans="1:6" x14ac:dyDescent="0.2">
      <c r="A665" s="4">
        <v>45433</v>
      </c>
      <c r="B665" s="5">
        <v>44.49</v>
      </c>
      <c r="C665" s="5">
        <v>44.72</v>
      </c>
      <c r="D665" s="5">
        <v>44.46</v>
      </c>
      <c r="E665" s="5">
        <v>44.46</v>
      </c>
      <c r="F665" s="6">
        <v>3475004</v>
      </c>
    </row>
    <row r="666" spans="1:6" x14ac:dyDescent="0.2">
      <c r="A666" s="4">
        <v>45434</v>
      </c>
      <c r="B666" s="5">
        <v>44.53</v>
      </c>
      <c r="C666" s="5">
        <v>45.795000000000002</v>
      </c>
      <c r="D666" s="5">
        <v>44.42</v>
      </c>
      <c r="E666" s="5">
        <v>45.78</v>
      </c>
      <c r="F666" s="6">
        <v>6830708</v>
      </c>
    </row>
    <row r="667" spans="1:6" x14ac:dyDescent="0.2">
      <c r="A667" s="4">
        <v>45435</v>
      </c>
      <c r="B667" s="5">
        <v>45.75</v>
      </c>
      <c r="C667" s="5">
        <v>45.77</v>
      </c>
      <c r="D667" s="5">
        <v>44.94</v>
      </c>
      <c r="E667" s="5">
        <v>45.15</v>
      </c>
      <c r="F667" s="6">
        <v>5218576</v>
      </c>
    </row>
    <row r="668" spans="1:6" x14ac:dyDescent="0.2">
      <c r="A668" s="4">
        <v>45436</v>
      </c>
      <c r="B668" s="5">
        <v>45.42</v>
      </c>
      <c r="C668" s="5">
        <v>45.45</v>
      </c>
      <c r="D668" s="5">
        <v>45.03</v>
      </c>
      <c r="E668" s="5">
        <v>45.12</v>
      </c>
      <c r="F668" s="6">
        <v>2210289</v>
      </c>
    </row>
    <row r="669" spans="1:6" x14ac:dyDescent="0.2">
      <c r="A669" s="4">
        <v>45440</v>
      </c>
      <c r="B669" s="5">
        <v>44.7</v>
      </c>
      <c r="C669" s="5">
        <v>44.75</v>
      </c>
      <c r="D669" s="5">
        <v>44.225000000000001</v>
      </c>
      <c r="E669" s="5">
        <v>44.24</v>
      </c>
      <c r="F669" s="6">
        <v>2648080</v>
      </c>
    </row>
    <row r="670" spans="1:6" x14ac:dyDescent="0.2">
      <c r="A670" s="4">
        <v>45441</v>
      </c>
      <c r="B670" s="5">
        <v>44.24</v>
      </c>
      <c r="C670" s="5">
        <v>44.36</v>
      </c>
      <c r="D670" s="5">
        <v>44.155000000000001</v>
      </c>
      <c r="E670" s="5">
        <v>44.28</v>
      </c>
      <c r="F670" s="6">
        <v>2092187</v>
      </c>
    </row>
    <row r="671" spans="1:6" x14ac:dyDescent="0.2">
      <c r="A671" s="4">
        <v>45442</v>
      </c>
      <c r="B671" s="5">
        <v>44.08</v>
      </c>
      <c r="C671" s="5">
        <v>44.23</v>
      </c>
      <c r="D671" s="5">
        <v>43.89</v>
      </c>
      <c r="E671" s="5">
        <v>44.02</v>
      </c>
      <c r="F671" s="6">
        <v>1597451</v>
      </c>
    </row>
    <row r="672" spans="1:6" x14ac:dyDescent="0.2">
      <c r="A672" s="4">
        <v>45443</v>
      </c>
      <c r="B672" s="5">
        <v>44.64</v>
      </c>
      <c r="C672" s="5">
        <v>45.01</v>
      </c>
      <c r="D672" s="5">
        <v>44.56</v>
      </c>
      <c r="E672" s="5">
        <v>44.77</v>
      </c>
      <c r="F672" s="6">
        <v>3623877</v>
      </c>
    </row>
    <row r="673" spans="1:6" x14ac:dyDescent="0.2">
      <c r="A673" s="4">
        <v>45446</v>
      </c>
      <c r="B673" s="5">
        <v>41.22</v>
      </c>
      <c r="C673" s="5">
        <v>41.72</v>
      </c>
      <c r="D673" s="5">
        <v>40.51</v>
      </c>
      <c r="E673" s="5">
        <v>40.880000000000003</v>
      </c>
      <c r="F673" s="6">
        <v>13483900</v>
      </c>
    </row>
    <row r="674" spans="1:6" x14ac:dyDescent="0.2">
      <c r="A674" s="4">
        <v>45447</v>
      </c>
      <c r="B674" s="5">
        <v>41.34</v>
      </c>
      <c r="C674" s="5">
        <v>41.48</v>
      </c>
      <c r="D674" s="5">
        <v>40.99</v>
      </c>
      <c r="E674" s="5">
        <v>41.35</v>
      </c>
      <c r="F674" s="6">
        <v>5469440</v>
      </c>
    </row>
    <row r="675" spans="1:6" x14ac:dyDescent="0.2">
      <c r="A675" s="4">
        <v>45448</v>
      </c>
      <c r="B675" s="5">
        <v>42.39</v>
      </c>
      <c r="C675" s="5">
        <v>42.44</v>
      </c>
      <c r="D675" s="5">
        <v>41.86</v>
      </c>
      <c r="E675" s="5">
        <v>41.97</v>
      </c>
      <c r="F675" s="6">
        <v>7230440</v>
      </c>
    </row>
    <row r="676" spans="1:6" x14ac:dyDescent="0.2">
      <c r="A676" s="4">
        <v>45449</v>
      </c>
      <c r="B676" s="5">
        <v>41.69</v>
      </c>
      <c r="C676" s="5">
        <v>42</v>
      </c>
      <c r="D676" s="5">
        <v>41.475000000000001</v>
      </c>
      <c r="E676" s="5">
        <v>41.54</v>
      </c>
      <c r="F676" s="6">
        <v>3860822</v>
      </c>
    </row>
    <row r="677" spans="1:6" x14ac:dyDescent="0.2">
      <c r="A677" s="4">
        <v>45450</v>
      </c>
      <c r="B677" s="5">
        <v>41.11</v>
      </c>
      <c r="C677" s="5">
        <v>41.46</v>
      </c>
      <c r="D677" s="5">
        <v>40.935000000000002</v>
      </c>
      <c r="E677" s="5">
        <v>41.21</v>
      </c>
      <c r="F677" s="6">
        <v>3025354</v>
      </c>
    </row>
    <row r="678" spans="1:6" x14ac:dyDescent="0.2">
      <c r="A678" s="4">
        <v>45453</v>
      </c>
      <c r="B678" s="5">
        <v>41.1</v>
      </c>
      <c r="C678" s="5">
        <v>41.51</v>
      </c>
      <c r="D678" s="5">
        <v>40.954999999999998</v>
      </c>
      <c r="E678" s="5">
        <v>41.29</v>
      </c>
      <c r="F678" s="6">
        <v>2834397</v>
      </c>
    </row>
    <row r="679" spans="1:6" x14ac:dyDescent="0.2">
      <c r="A679" s="4">
        <v>45454</v>
      </c>
      <c r="B679" s="5">
        <v>41.05</v>
      </c>
      <c r="C679" s="5">
        <v>41.36</v>
      </c>
      <c r="D679" s="5">
        <v>40.89</v>
      </c>
      <c r="E679" s="5">
        <v>41.06</v>
      </c>
      <c r="F679" s="6">
        <v>2379050</v>
      </c>
    </row>
    <row r="680" spans="1:6" x14ac:dyDescent="0.2">
      <c r="A680" s="4">
        <v>45455</v>
      </c>
      <c r="B680" s="5">
        <v>41.36</v>
      </c>
      <c r="C680" s="5">
        <v>41.38</v>
      </c>
      <c r="D680" s="5">
        <v>40.97</v>
      </c>
      <c r="E680" s="5">
        <v>41.11</v>
      </c>
      <c r="F680" s="6">
        <v>2548560</v>
      </c>
    </row>
    <row r="681" spans="1:6" x14ac:dyDescent="0.2">
      <c r="A681" s="4">
        <v>45456</v>
      </c>
      <c r="B681" s="5">
        <v>40.98</v>
      </c>
      <c r="C681" s="5">
        <v>41.22</v>
      </c>
      <c r="D681" s="5">
        <v>40.784999999999997</v>
      </c>
      <c r="E681" s="5">
        <v>41.11</v>
      </c>
      <c r="F681" s="6">
        <v>2020251</v>
      </c>
    </row>
    <row r="682" spans="1:6" x14ac:dyDescent="0.2">
      <c r="A682" s="4">
        <v>45457</v>
      </c>
      <c r="B682" s="5">
        <v>40.82</v>
      </c>
      <c r="C682" s="5">
        <v>40.880000000000003</v>
      </c>
      <c r="D682" s="5">
        <v>40.475000000000001</v>
      </c>
      <c r="E682" s="5">
        <v>40.65</v>
      </c>
      <c r="F682" s="6">
        <v>2235352</v>
      </c>
    </row>
    <row r="683" spans="1:6" x14ac:dyDescent="0.2">
      <c r="A683" s="4">
        <v>45460</v>
      </c>
      <c r="B683" s="5">
        <v>40.43</v>
      </c>
      <c r="C683" s="5">
        <v>40.68</v>
      </c>
      <c r="D683" s="5">
        <v>40.36</v>
      </c>
      <c r="E683" s="5">
        <v>40.659999999999997</v>
      </c>
      <c r="F683" s="6">
        <v>2131428</v>
      </c>
    </row>
    <row r="684" spans="1:6" x14ac:dyDescent="0.2">
      <c r="A684" s="4">
        <v>45461</v>
      </c>
      <c r="B684" s="5">
        <v>41.03</v>
      </c>
      <c r="C684" s="5">
        <v>41.08</v>
      </c>
      <c r="D684" s="5">
        <v>40.784999999999997</v>
      </c>
      <c r="E684" s="5">
        <v>40.950000000000003</v>
      </c>
      <c r="F684" s="6">
        <v>2847649</v>
      </c>
    </row>
    <row r="685" spans="1:6" x14ac:dyDescent="0.2">
      <c r="A685" s="4">
        <v>45463</v>
      </c>
      <c r="B685" s="5">
        <v>40.869999999999997</v>
      </c>
      <c r="C685" s="5">
        <v>41.02</v>
      </c>
      <c r="D685" s="5">
        <v>40.68</v>
      </c>
      <c r="E685" s="5">
        <v>40.76</v>
      </c>
      <c r="F685" s="6">
        <v>2538141</v>
      </c>
    </row>
    <row r="686" spans="1:6" x14ac:dyDescent="0.2">
      <c r="A686" s="4">
        <v>45464</v>
      </c>
      <c r="B686" s="5">
        <v>40.25</v>
      </c>
      <c r="C686" s="5">
        <v>40.53</v>
      </c>
      <c r="D686" s="5">
        <v>40.215000000000003</v>
      </c>
      <c r="E686" s="5">
        <v>40.479999999999997</v>
      </c>
      <c r="F686" s="6">
        <v>3490372</v>
      </c>
    </row>
    <row r="687" spans="1:6" x14ac:dyDescent="0.2">
      <c r="A687" s="4">
        <v>45467</v>
      </c>
      <c r="B687" s="5">
        <v>40.799999999999997</v>
      </c>
      <c r="C687" s="5">
        <v>40.86</v>
      </c>
      <c r="D687" s="5">
        <v>40.54</v>
      </c>
      <c r="E687" s="5">
        <v>40.549999999999997</v>
      </c>
      <c r="F687" s="6">
        <v>3495700</v>
      </c>
    </row>
    <row r="688" spans="1:6" x14ac:dyDescent="0.2">
      <c r="A688" s="4">
        <v>45468</v>
      </c>
      <c r="B688" s="5">
        <v>40.47</v>
      </c>
      <c r="C688" s="5">
        <v>40.479999999999997</v>
      </c>
      <c r="D688" s="5">
        <v>40.19</v>
      </c>
      <c r="E688" s="5">
        <v>40.31</v>
      </c>
      <c r="F688" s="6">
        <v>2780351</v>
      </c>
    </row>
    <row r="689" spans="1:6" x14ac:dyDescent="0.2">
      <c r="A689" s="4">
        <v>45469</v>
      </c>
      <c r="B689" s="5">
        <v>40.24</v>
      </c>
      <c r="C689" s="5">
        <v>40.51</v>
      </c>
      <c r="D689" s="5">
        <v>38.35</v>
      </c>
      <c r="E689" s="5">
        <v>38.869999999999997</v>
      </c>
      <c r="F689" s="6">
        <v>10997040</v>
      </c>
    </row>
    <row r="690" spans="1:6" x14ac:dyDescent="0.2">
      <c r="A690" s="4">
        <v>45470</v>
      </c>
      <c r="B690" s="5">
        <v>38.4</v>
      </c>
      <c r="C690" s="5">
        <v>38.79</v>
      </c>
      <c r="D690" s="5">
        <v>38.200000000000003</v>
      </c>
      <c r="E690" s="5">
        <v>38.64</v>
      </c>
      <c r="F690" s="6">
        <v>5542940</v>
      </c>
    </row>
    <row r="691" spans="1:6" x14ac:dyDescent="0.2">
      <c r="A691" s="4">
        <v>45471</v>
      </c>
      <c r="B691" s="5">
        <v>38.68</v>
      </c>
      <c r="C691" s="5">
        <v>39.03</v>
      </c>
      <c r="D691" s="5">
        <v>38.450000000000003</v>
      </c>
      <c r="E691" s="5">
        <v>38.5</v>
      </c>
      <c r="F691" s="6">
        <v>7855979</v>
      </c>
    </row>
    <row r="692" spans="1:6" x14ac:dyDescent="0.2">
      <c r="A692" s="4">
        <v>45474</v>
      </c>
      <c r="B692" s="5">
        <v>38.43</v>
      </c>
      <c r="C692" s="5">
        <v>39.064999999999998</v>
      </c>
      <c r="D692" s="5">
        <v>38.31</v>
      </c>
      <c r="E692" s="5">
        <v>38.380000000000003</v>
      </c>
      <c r="F692" s="6">
        <v>2872558</v>
      </c>
    </row>
    <row r="693" spans="1:6" x14ac:dyDescent="0.2">
      <c r="A693" s="4">
        <v>45475</v>
      </c>
      <c r="B693" s="5">
        <v>38.11</v>
      </c>
      <c r="C693" s="5">
        <v>38.32</v>
      </c>
      <c r="D693" s="5">
        <v>37.805</v>
      </c>
      <c r="E693" s="5">
        <v>38.21</v>
      </c>
      <c r="F693" s="6">
        <v>3354099</v>
      </c>
    </row>
    <row r="694" spans="1:6" x14ac:dyDescent="0.2">
      <c r="A694" s="4">
        <v>45476</v>
      </c>
      <c r="B694" s="5">
        <v>38.15</v>
      </c>
      <c r="C694" s="5">
        <v>38.49</v>
      </c>
      <c r="D694" s="5">
        <v>38.130000000000003</v>
      </c>
      <c r="E694" s="5">
        <v>38.46</v>
      </c>
      <c r="F694" s="6">
        <v>1349530</v>
      </c>
    </row>
    <row r="695" spans="1:6" x14ac:dyDescent="0.2">
      <c r="A695" s="4">
        <v>45478</v>
      </c>
      <c r="B695" s="5">
        <v>38.83</v>
      </c>
      <c r="C695" s="5">
        <v>38.909999999999997</v>
      </c>
      <c r="D695" s="5">
        <v>37.97</v>
      </c>
      <c r="E695" s="5">
        <v>38.840000000000003</v>
      </c>
      <c r="F695" s="6">
        <v>3284491</v>
      </c>
    </row>
    <row r="696" spans="1:6" x14ac:dyDescent="0.2">
      <c r="A696" s="4">
        <v>45481</v>
      </c>
      <c r="B696" s="5">
        <v>38.85</v>
      </c>
      <c r="C696" s="5">
        <v>38.950000000000003</v>
      </c>
      <c r="D696" s="5">
        <v>38.524999999999999</v>
      </c>
      <c r="E696" s="5">
        <v>38.71</v>
      </c>
      <c r="F696" s="6">
        <v>2075447</v>
      </c>
    </row>
    <row r="697" spans="1:6" x14ac:dyDescent="0.2">
      <c r="A697" s="4">
        <v>45482</v>
      </c>
      <c r="B697" s="5">
        <v>38.75</v>
      </c>
      <c r="C697" s="5">
        <v>38.869999999999997</v>
      </c>
      <c r="D697" s="5">
        <v>38.520000000000003</v>
      </c>
      <c r="E697" s="5">
        <v>38.6</v>
      </c>
      <c r="F697" s="6">
        <v>2095353</v>
      </c>
    </row>
    <row r="698" spans="1:6" x14ac:dyDescent="0.2">
      <c r="A698" s="4">
        <v>45483</v>
      </c>
      <c r="B698" s="5">
        <v>38.54</v>
      </c>
      <c r="C698" s="5">
        <v>38.645000000000003</v>
      </c>
      <c r="D698" s="5">
        <v>38.44</v>
      </c>
      <c r="E698" s="5">
        <v>38.56</v>
      </c>
      <c r="F698" s="6">
        <v>2376638</v>
      </c>
    </row>
    <row r="699" spans="1:6" x14ac:dyDescent="0.2">
      <c r="A699" s="4">
        <v>45484</v>
      </c>
      <c r="B699" s="5">
        <v>38.840000000000003</v>
      </c>
      <c r="C699" s="5">
        <v>39.03</v>
      </c>
      <c r="D699" s="5">
        <v>38.725000000000001</v>
      </c>
      <c r="E699" s="5">
        <v>38.9</v>
      </c>
      <c r="F699" s="6">
        <v>2684196</v>
      </c>
    </row>
    <row r="700" spans="1:6" x14ac:dyDescent="0.2">
      <c r="A700" s="4">
        <v>45485</v>
      </c>
      <c r="B700" s="5">
        <v>39.39</v>
      </c>
      <c r="C700" s="5">
        <v>39.505000000000003</v>
      </c>
      <c r="D700" s="5">
        <v>39.134999999999998</v>
      </c>
      <c r="E700" s="5">
        <v>39.159999999999997</v>
      </c>
      <c r="F700" s="6">
        <v>2512206</v>
      </c>
    </row>
    <row r="701" spans="1:6" x14ac:dyDescent="0.2">
      <c r="A701" s="4">
        <v>45488</v>
      </c>
      <c r="B701" s="5">
        <v>39.11</v>
      </c>
      <c r="C701" s="5">
        <v>39.130000000000003</v>
      </c>
      <c r="D701" s="5">
        <v>38.664999999999999</v>
      </c>
      <c r="E701" s="5">
        <v>38.67</v>
      </c>
      <c r="F701" s="6">
        <v>2451434</v>
      </c>
    </row>
    <row r="702" spans="1:6" x14ac:dyDescent="0.2">
      <c r="A702" s="4">
        <v>45489</v>
      </c>
      <c r="B702" s="5">
        <v>38.479999999999997</v>
      </c>
      <c r="C702" s="5">
        <v>38.954999999999998</v>
      </c>
      <c r="D702" s="5">
        <v>38.46</v>
      </c>
      <c r="E702" s="5">
        <v>38.9</v>
      </c>
      <c r="F702" s="6">
        <v>2118311</v>
      </c>
    </row>
    <row r="703" spans="1:6" x14ac:dyDescent="0.2">
      <c r="A703" s="4">
        <v>45490</v>
      </c>
      <c r="B703" s="5">
        <v>39.200000000000003</v>
      </c>
      <c r="C703" s="5">
        <v>39.94</v>
      </c>
      <c r="D703" s="5">
        <v>39.14</v>
      </c>
      <c r="E703" s="5">
        <v>39.840000000000003</v>
      </c>
      <c r="F703" s="6">
        <v>3846610</v>
      </c>
    </row>
    <row r="704" spans="1:6" x14ac:dyDescent="0.2">
      <c r="A704" s="4">
        <v>45491</v>
      </c>
      <c r="B704" s="5">
        <v>39.74</v>
      </c>
      <c r="C704" s="5">
        <v>39.83</v>
      </c>
      <c r="D704" s="5">
        <v>39.29</v>
      </c>
      <c r="E704" s="5">
        <v>39.36</v>
      </c>
      <c r="F704" s="6">
        <v>1592081</v>
      </c>
    </row>
    <row r="705" spans="1:6" x14ac:dyDescent="0.2">
      <c r="A705" s="4">
        <v>45492</v>
      </c>
      <c r="B705" s="5">
        <v>39.14</v>
      </c>
      <c r="C705" s="5">
        <v>39.46</v>
      </c>
      <c r="D705" s="5">
        <v>39.125</v>
      </c>
      <c r="E705" s="5">
        <v>39.35</v>
      </c>
      <c r="F705" s="6">
        <v>1993996</v>
      </c>
    </row>
    <row r="706" spans="1:6" x14ac:dyDescent="0.2">
      <c r="A706" s="4">
        <v>45495</v>
      </c>
      <c r="B706" s="5">
        <v>39.4</v>
      </c>
      <c r="C706" s="5">
        <v>39.58</v>
      </c>
      <c r="D706" s="5">
        <v>39.299999999999997</v>
      </c>
      <c r="E706" s="5">
        <v>39.39</v>
      </c>
      <c r="F706" s="6">
        <v>2790193</v>
      </c>
    </row>
    <row r="707" spans="1:6" x14ac:dyDescent="0.2">
      <c r="A707" s="4">
        <v>45496</v>
      </c>
      <c r="B707" s="5">
        <v>39.225000000000001</v>
      </c>
      <c r="C707" s="5">
        <v>39.270000000000003</v>
      </c>
      <c r="D707" s="5">
        <v>38.774999999999999</v>
      </c>
      <c r="E707" s="5">
        <v>38.840000000000003</v>
      </c>
      <c r="F707" s="6">
        <v>3470272</v>
      </c>
    </row>
    <row r="708" spans="1:6" x14ac:dyDescent="0.2">
      <c r="A708" s="4">
        <v>45497</v>
      </c>
      <c r="B708" s="5">
        <v>38.86</v>
      </c>
      <c r="C708" s="5">
        <v>39.299999999999997</v>
      </c>
      <c r="D708" s="5">
        <v>38.86</v>
      </c>
      <c r="E708" s="5">
        <v>39.299999999999997</v>
      </c>
      <c r="F708" s="6">
        <v>2060260</v>
      </c>
    </row>
    <row r="709" spans="1:6" x14ac:dyDescent="0.2">
      <c r="A709" s="4">
        <v>45498</v>
      </c>
      <c r="B709" s="5">
        <v>38.950000000000003</v>
      </c>
      <c r="C709" s="5">
        <v>39.46</v>
      </c>
      <c r="D709" s="5">
        <v>38.92</v>
      </c>
      <c r="E709" s="5">
        <v>39.07</v>
      </c>
      <c r="F709" s="6">
        <v>2479742</v>
      </c>
    </row>
    <row r="710" spans="1:6" x14ac:dyDescent="0.2">
      <c r="A710" s="4">
        <v>45499</v>
      </c>
      <c r="B710" s="5">
        <v>39.630000000000003</v>
      </c>
      <c r="C710" s="5">
        <v>40.119999999999997</v>
      </c>
      <c r="D710" s="5">
        <v>39.58</v>
      </c>
      <c r="E710" s="5">
        <v>39.86</v>
      </c>
      <c r="F710" s="6">
        <v>3064146</v>
      </c>
    </row>
    <row r="711" spans="1:6" x14ac:dyDescent="0.2">
      <c r="A711" s="4">
        <v>45502</v>
      </c>
      <c r="B711" s="5">
        <v>40.020000000000003</v>
      </c>
      <c r="C711" s="5">
        <v>40.195</v>
      </c>
      <c r="D711" s="5">
        <v>39.854999999999997</v>
      </c>
      <c r="E711" s="5">
        <v>40.01</v>
      </c>
      <c r="F711" s="6">
        <v>3603668</v>
      </c>
    </row>
    <row r="712" spans="1:6" x14ac:dyDescent="0.2">
      <c r="A712" s="4">
        <v>45503</v>
      </c>
      <c r="B712" s="5">
        <v>39.97</v>
      </c>
      <c r="C712" s="5">
        <v>40.005000000000003</v>
      </c>
      <c r="D712" s="5">
        <v>39.49</v>
      </c>
      <c r="E712" s="5">
        <v>39.770000000000003</v>
      </c>
      <c r="F712" s="6">
        <v>4916963</v>
      </c>
    </row>
    <row r="713" spans="1:6" x14ac:dyDescent="0.2">
      <c r="A713" s="4">
        <v>45504</v>
      </c>
      <c r="B713" s="5">
        <v>39.25</v>
      </c>
      <c r="C713" s="5">
        <v>39.299999999999997</v>
      </c>
      <c r="D713" s="5">
        <v>38.549999999999997</v>
      </c>
      <c r="E713" s="5">
        <v>38.770000000000003</v>
      </c>
      <c r="F713" s="6">
        <v>3969864</v>
      </c>
    </row>
    <row r="714" spans="1:6" x14ac:dyDescent="0.2">
      <c r="A714" s="4">
        <v>45505</v>
      </c>
      <c r="B714" s="5">
        <v>38.9</v>
      </c>
      <c r="C714" s="5">
        <v>39.738999999999997</v>
      </c>
      <c r="D714" s="5">
        <v>38.72</v>
      </c>
      <c r="E714" s="5">
        <v>39.64</v>
      </c>
      <c r="F714" s="6">
        <v>4525593</v>
      </c>
    </row>
    <row r="715" spans="1:6" x14ac:dyDescent="0.2">
      <c r="A715" s="4">
        <v>45506</v>
      </c>
      <c r="B715" s="5">
        <v>40.450000000000003</v>
      </c>
      <c r="C715" s="5">
        <v>40.57</v>
      </c>
      <c r="D715" s="5">
        <v>39.950000000000003</v>
      </c>
      <c r="E715" s="5">
        <v>40.42</v>
      </c>
      <c r="F715" s="6">
        <v>4544971</v>
      </c>
    </row>
    <row r="716" spans="1:6" x14ac:dyDescent="0.2">
      <c r="A716" s="4">
        <v>45509</v>
      </c>
      <c r="B716" s="5">
        <v>39.74</v>
      </c>
      <c r="C716" s="5">
        <v>39.99</v>
      </c>
      <c r="D716" s="5">
        <v>39.28</v>
      </c>
      <c r="E716" s="5">
        <v>39.380000000000003</v>
      </c>
      <c r="F716" s="6">
        <v>6283141</v>
      </c>
    </row>
    <row r="717" spans="1:6" x14ac:dyDescent="0.2">
      <c r="A717" s="4">
        <v>45510</v>
      </c>
      <c r="B717" s="5">
        <v>38.5</v>
      </c>
      <c r="C717" s="5">
        <v>38.96</v>
      </c>
      <c r="D717" s="5">
        <v>38.322899999999997</v>
      </c>
      <c r="E717" s="5">
        <v>38.68</v>
      </c>
      <c r="F717" s="6">
        <v>5179606</v>
      </c>
    </row>
    <row r="718" spans="1:6" x14ac:dyDescent="0.2">
      <c r="A718" s="4">
        <v>45511</v>
      </c>
      <c r="B718" s="5">
        <v>39.119999999999997</v>
      </c>
      <c r="C718" s="5">
        <v>39.43</v>
      </c>
      <c r="D718" s="5">
        <v>38.965000000000003</v>
      </c>
      <c r="E718" s="5">
        <v>39.369999999999997</v>
      </c>
      <c r="F718" s="6">
        <v>5332399</v>
      </c>
    </row>
    <row r="719" spans="1:6" x14ac:dyDescent="0.2">
      <c r="A719" s="4">
        <v>45512</v>
      </c>
      <c r="B719" s="5">
        <v>39.42</v>
      </c>
      <c r="C719" s="5">
        <v>40.086300000000001</v>
      </c>
      <c r="D719" s="5">
        <v>39.369999999999997</v>
      </c>
      <c r="E719" s="5">
        <v>40.020000000000003</v>
      </c>
      <c r="F719" s="6">
        <v>5598922</v>
      </c>
    </row>
    <row r="720" spans="1:6" x14ac:dyDescent="0.2">
      <c r="A720" s="4">
        <v>45513</v>
      </c>
      <c r="B720" s="5">
        <v>39.69</v>
      </c>
      <c r="C720" s="5">
        <v>40.354999999999997</v>
      </c>
      <c r="D720" s="5">
        <v>39.671500000000002</v>
      </c>
      <c r="E720" s="5">
        <v>40.26</v>
      </c>
      <c r="F720" s="6">
        <v>5831882</v>
      </c>
    </row>
    <row r="721" spans="1:6" x14ac:dyDescent="0.2">
      <c r="A721" s="4">
        <v>45516</v>
      </c>
      <c r="B721" s="5">
        <v>40.32</v>
      </c>
      <c r="C721" s="5">
        <v>40.494999999999997</v>
      </c>
      <c r="D721" s="5">
        <v>40.08</v>
      </c>
      <c r="E721" s="5">
        <v>40.32</v>
      </c>
      <c r="F721" s="6">
        <v>2751727</v>
      </c>
    </row>
    <row r="722" spans="1:6" x14ac:dyDescent="0.2">
      <c r="A722" s="4">
        <v>45517</v>
      </c>
      <c r="B722" s="5">
        <v>40.549999999999997</v>
      </c>
      <c r="C722" s="5">
        <v>41.265000000000001</v>
      </c>
      <c r="D722" s="5">
        <v>40.53</v>
      </c>
      <c r="E722" s="5">
        <v>41.18</v>
      </c>
      <c r="F722" s="6">
        <v>3306815</v>
      </c>
    </row>
    <row r="723" spans="1:6" x14ac:dyDescent="0.2">
      <c r="A723" s="4">
        <v>45518</v>
      </c>
      <c r="B723" s="5">
        <v>41.09</v>
      </c>
      <c r="C723" s="5">
        <v>41.26</v>
      </c>
      <c r="D723" s="5">
        <v>41.05</v>
      </c>
      <c r="E723" s="5">
        <v>41.22</v>
      </c>
      <c r="F723" s="6">
        <v>2482910</v>
      </c>
    </row>
    <row r="724" spans="1:6" x14ac:dyDescent="0.2">
      <c r="A724" s="4">
        <v>45519</v>
      </c>
      <c r="B724" s="5">
        <v>41.66</v>
      </c>
      <c r="C724" s="5">
        <v>41.7</v>
      </c>
      <c r="D724" s="5">
        <v>41.36</v>
      </c>
      <c r="E724" s="5">
        <v>41.4</v>
      </c>
      <c r="F724" s="6">
        <v>2024219</v>
      </c>
    </row>
    <row r="725" spans="1:6" x14ac:dyDescent="0.2">
      <c r="A725" s="4">
        <v>45520</v>
      </c>
      <c r="B725" s="5">
        <v>41.07</v>
      </c>
      <c r="C725" s="5">
        <v>41.32</v>
      </c>
      <c r="D725" s="5">
        <v>41.01</v>
      </c>
      <c r="E725" s="5">
        <v>41.28</v>
      </c>
      <c r="F725" s="6">
        <v>3145786</v>
      </c>
    </row>
    <row r="726" spans="1:6" x14ac:dyDescent="0.2">
      <c r="A726" s="4">
        <v>45523</v>
      </c>
      <c r="B726" s="5">
        <v>41.32</v>
      </c>
      <c r="C726" s="5">
        <v>41.7</v>
      </c>
      <c r="D726" s="5">
        <v>41.28</v>
      </c>
      <c r="E726" s="5">
        <v>41.52</v>
      </c>
      <c r="F726" s="6">
        <v>1833646</v>
      </c>
    </row>
    <row r="727" spans="1:6" x14ac:dyDescent="0.2">
      <c r="A727" s="4">
        <v>45524</v>
      </c>
      <c r="B727" s="5">
        <v>41.51</v>
      </c>
      <c r="C727" s="5">
        <v>41.72</v>
      </c>
      <c r="D727" s="5">
        <v>41.47</v>
      </c>
      <c r="E727" s="5">
        <v>41.6</v>
      </c>
      <c r="F727" s="6">
        <v>1647242</v>
      </c>
    </row>
    <row r="728" spans="1:6" x14ac:dyDescent="0.2">
      <c r="A728" s="4">
        <v>45525</v>
      </c>
      <c r="B728" s="5">
        <v>41.72</v>
      </c>
      <c r="C728" s="5">
        <v>42</v>
      </c>
      <c r="D728" s="5">
        <v>41.7</v>
      </c>
      <c r="E728" s="5">
        <v>41.85</v>
      </c>
      <c r="F728" s="6">
        <v>2410394</v>
      </c>
    </row>
    <row r="729" spans="1:6" x14ac:dyDescent="0.2">
      <c r="A729" s="4">
        <v>45526</v>
      </c>
      <c r="B729" s="5">
        <v>42.01</v>
      </c>
      <c r="C729" s="5">
        <v>42.075000000000003</v>
      </c>
      <c r="D729" s="5">
        <v>41.83</v>
      </c>
      <c r="E729" s="5">
        <v>41.95</v>
      </c>
      <c r="F729" s="6">
        <v>1327218</v>
      </c>
    </row>
    <row r="730" spans="1:6" x14ac:dyDescent="0.2">
      <c r="A730" s="4">
        <v>45527</v>
      </c>
      <c r="B730" s="5">
        <v>42.27</v>
      </c>
      <c r="C730" s="5">
        <v>42.64</v>
      </c>
      <c r="D730" s="5">
        <v>42.12</v>
      </c>
      <c r="E730" s="5">
        <v>42.63</v>
      </c>
      <c r="F730" s="6">
        <v>3780536</v>
      </c>
    </row>
    <row r="731" spans="1:6" x14ac:dyDescent="0.2">
      <c r="A731" s="4">
        <v>45530</v>
      </c>
      <c r="B731" s="5">
        <v>42.63</v>
      </c>
      <c r="C731" s="5">
        <v>42.65</v>
      </c>
      <c r="D731" s="5">
        <v>42.454999999999998</v>
      </c>
      <c r="E731" s="5">
        <v>42.54</v>
      </c>
      <c r="F731" s="6">
        <v>1842813</v>
      </c>
    </row>
    <row r="732" spans="1:6" x14ac:dyDescent="0.2">
      <c r="A732" s="4">
        <v>45531</v>
      </c>
      <c r="B732" s="5">
        <v>42.82</v>
      </c>
      <c r="C732" s="5">
        <v>44.67</v>
      </c>
      <c r="D732" s="5">
        <v>42.8</v>
      </c>
      <c r="E732" s="5">
        <v>44.15</v>
      </c>
      <c r="F732" s="6">
        <v>11513900</v>
      </c>
    </row>
    <row r="733" spans="1:6" x14ac:dyDescent="0.2">
      <c r="A733" s="4">
        <v>45532</v>
      </c>
      <c r="B733" s="5">
        <v>43.59</v>
      </c>
      <c r="C733" s="5">
        <v>43.91</v>
      </c>
      <c r="D733" s="5">
        <v>43.56</v>
      </c>
      <c r="E733" s="5">
        <v>43.9</v>
      </c>
      <c r="F733" s="6">
        <v>3279703</v>
      </c>
    </row>
    <row r="734" spans="1:6" x14ac:dyDescent="0.2">
      <c r="A734" s="4">
        <v>45533</v>
      </c>
      <c r="B734" s="5">
        <v>43.86</v>
      </c>
      <c r="C734" s="5">
        <v>43.93</v>
      </c>
      <c r="D734" s="5">
        <v>43.515000000000001</v>
      </c>
      <c r="E734" s="5">
        <v>43.74</v>
      </c>
      <c r="F734" s="6">
        <v>3274783</v>
      </c>
    </row>
    <row r="735" spans="1:6" x14ac:dyDescent="0.2">
      <c r="A735" s="4">
        <v>45534</v>
      </c>
      <c r="B735" s="5">
        <v>43.75</v>
      </c>
      <c r="C735" s="5">
        <v>43.98</v>
      </c>
      <c r="D735" s="5">
        <v>43.53</v>
      </c>
      <c r="E735" s="5">
        <v>43.91</v>
      </c>
      <c r="F735" s="6">
        <v>3129097</v>
      </c>
    </row>
    <row r="736" spans="1:6" x14ac:dyDescent="0.2">
      <c r="A736" s="4">
        <v>45538</v>
      </c>
      <c r="B736" s="5">
        <v>43.63</v>
      </c>
      <c r="C736" s="5">
        <v>43.84</v>
      </c>
      <c r="D736" s="5">
        <v>43.330199999999998</v>
      </c>
      <c r="E736" s="5">
        <v>43.44</v>
      </c>
      <c r="F736" s="6">
        <v>3441882</v>
      </c>
    </row>
    <row r="737" spans="1:6" x14ac:dyDescent="0.2">
      <c r="A737" s="4">
        <v>45539</v>
      </c>
      <c r="B737" s="5">
        <v>43.49</v>
      </c>
      <c r="C737" s="5">
        <v>44.26</v>
      </c>
      <c r="D737" s="5">
        <v>43.49</v>
      </c>
      <c r="E737" s="5">
        <v>44.26</v>
      </c>
      <c r="F737" s="6">
        <v>2844728</v>
      </c>
    </row>
    <row r="738" spans="1:6" x14ac:dyDescent="0.2">
      <c r="A738" s="4">
        <v>45540</v>
      </c>
      <c r="B738" s="5">
        <v>43.39</v>
      </c>
      <c r="C738" s="5">
        <v>43.77</v>
      </c>
      <c r="D738" s="5">
        <v>43.03</v>
      </c>
      <c r="E738" s="5">
        <v>43.13</v>
      </c>
      <c r="F738" s="6">
        <v>3811877</v>
      </c>
    </row>
    <row r="739" spans="1:6" x14ac:dyDescent="0.2">
      <c r="A739" s="4">
        <v>45541</v>
      </c>
      <c r="B739" s="5">
        <v>43.6</v>
      </c>
      <c r="C739" s="5">
        <v>43.95</v>
      </c>
      <c r="D739" s="5">
        <v>43.43</v>
      </c>
      <c r="E739" s="5">
        <v>43.67</v>
      </c>
      <c r="F739" s="6">
        <v>3763259</v>
      </c>
    </row>
    <row r="740" spans="1:6" x14ac:dyDescent="0.2">
      <c r="A740" s="4">
        <v>45544</v>
      </c>
      <c r="B740" s="5">
        <v>43.62</v>
      </c>
      <c r="C740" s="5">
        <v>44.05</v>
      </c>
      <c r="D740" s="5">
        <v>43.47</v>
      </c>
      <c r="E740" s="5">
        <v>43.94</v>
      </c>
      <c r="F740" s="6">
        <v>2494844</v>
      </c>
    </row>
    <row r="741" spans="1:6" x14ac:dyDescent="0.2">
      <c r="A741" s="4">
        <v>45545</v>
      </c>
      <c r="B741" s="5">
        <v>43.83</v>
      </c>
      <c r="C741" s="5">
        <v>44.19</v>
      </c>
      <c r="D741" s="5">
        <v>43.81</v>
      </c>
      <c r="E741" s="5">
        <v>44.1</v>
      </c>
      <c r="F741" s="6">
        <v>3970633</v>
      </c>
    </row>
    <row r="742" spans="1:6" x14ac:dyDescent="0.2">
      <c r="A742" s="4">
        <v>45546</v>
      </c>
      <c r="B742" s="5">
        <v>43.97</v>
      </c>
      <c r="C742" s="5">
        <v>44.03</v>
      </c>
      <c r="D742" s="5">
        <v>43.42</v>
      </c>
      <c r="E742" s="5">
        <v>43.77</v>
      </c>
      <c r="F742" s="6">
        <v>3411692</v>
      </c>
    </row>
    <row r="743" spans="1:6" x14ac:dyDescent="0.2">
      <c r="A743" s="4">
        <v>45547</v>
      </c>
      <c r="B743" s="5">
        <v>43.43</v>
      </c>
      <c r="C743" s="5">
        <v>43.48</v>
      </c>
      <c r="D743" s="5">
        <v>43.04</v>
      </c>
      <c r="E743" s="5">
        <v>43.11</v>
      </c>
      <c r="F743" s="6">
        <v>3859727</v>
      </c>
    </row>
    <row r="744" spans="1:6" x14ac:dyDescent="0.2">
      <c r="A744" s="4">
        <v>45548</v>
      </c>
      <c r="B744" s="5">
        <v>43.16</v>
      </c>
      <c r="C744" s="5">
        <v>43.435000000000002</v>
      </c>
      <c r="D744" s="5">
        <v>42.95</v>
      </c>
      <c r="E744" s="5">
        <v>43.01</v>
      </c>
      <c r="F744" s="6">
        <v>3696278</v>
      </c>
    </row>
    <row r="745" spans="1:6" x14ac:dyDescent="0.2">
      <c r="A745" s="4">
        <v>45551</v>
      </c>
      <c r="B745" s="5">
        <v>43.24</v>
      </c>
      <c r="C745" s="5">
        <v>43.62</v>
      </c>
      <c r="D745" s="5">
        <v>43.225000000000001</v>
      </c>
      <c r="E745" s="5">
        <v>43.55</v>
      </c>
      <c r="F745" s="6">
        <v>2417012</v>
      </c>
    </row>
    <row r="746" spans="1:6" x14ac:dyDescent="0.2">
      <c r="A746" s="4">
        <v>45552</v>
      </c>
      <c r="B746" s="5">
        <v>43.13</v>
      </c>
      <c r="C746" s="5">
        <v>43.14</v>
      </c>
      <c r="D746" s="5">
        <v>42.435000000000002</v>
      </c>
      <c r="E746" s="5">
        <v>42.56</v>
      </c>
      <c r="F746" s="6">
        <v>3095429</v>
      </c>
    </row>
    <row r="747" spans="1:6" x14ac:dyDescent="0.2">
      <c r="A747" s="4">
        <v>45553</v>
      </c>
      <c r="B747" s="5">
        <v>42.84</v>
      </c>
      <c r="C747" s="5">
        <v>42.895000000000003</v>
      </c>
      <c r="D747" s="5">
        <v>42.375</v>
      </c>
      <c r="E747" s="5">
        <v>42.43</v>
      </c>
      <c r="F747" s="6">
        <v>3522469</v>
      </c>
    </row>
    <row r="748" spans="1:6" x14ac:dyDescent="0.2">
      <c r="A748" s="4">
        <v>45554</v>
      </c>
      <c r="B748" s="5">
        <v>42.4</v>
      </c>
      <c r="C748" s="5">
        <v>42.42</v>
      </c>
      <c r="D748" s="5">
        <v>41.46</v>
      </c>
      <c r="E748" s="5">
        <v>41.62</v>
      </c>
      <c r="F748" s="6">
        <v>6510357</v>
      </c>
    </row>
    <row r="749" spans="1:6" x14ac:dyDescent="0.2">
      <c r="A749" s="4">
        <v>45555</v>
      </c>
      <c r="B749" s="5">
        <v>41.25</v>
      </c>
      <c r="C749" s="5">
        <v>41.26</v>
      </c>
      <c r="D749" s="5">
        <v>40.79</v>
      </c>
      <c r="E749" s="5">
        <v>40.799999999999997</v>
      </c>
      <c r="F749" s="6">
        <v>5028061</v>
      </c>
    </row>
    <row r="750" spans="1:6" x14ac:dyDescent="0.2">
      <c r="A750" s="4">
        <v>45558</v>
      </c>
      <c r="B750" s="5">
        <v>40.96</v>
      </c>
      <c r="C750" s="5">
        <v>41.03</v>
      </c>
      <c r="D750" s="5">
        <v>40.805</v>
      </c>
      <c r="E750" s="5">
        <v>40.86</v>
      </c>
      <c r="F750" s="6">
        <v>2736707</v>
      </c>
    </row>
    <row r="751" spans="1:6" x14ac:dyDescent="0.2">
      <c r="A751" s="4">
        <v>45559</v>
      </c>
      <c r="B751" s="5">
        <v>40.76</v>
      </c>
      <c r="C751" s="5">
        <v>41.06</v>
      </c>
      <c r="D751" s="5">
        <v>40.700000000000003</v>
      </c>
      <c r="E751" s="5">
        <v>40.98</v>
      </c>
      <c r="F751" s="6">
        <v>3241244</v>
      </c>
    </row>
    <row r="752" spans="1:6" x14ac:dyDescent="0.2">
      <c r="A752" s="4">
        <v>45560</v>
      </c>
      <c r="B752" s="5">
        <v>41.11</v>
      </c>
      <c r="C752" s="5">
        <v>41.16</v>
      </c>
      <c r="D752" s="5">
        <v>40.549999999999997</v>
      </c>
      <c r="E752" s="5">
        <v>40.56</v>
      </c>
      <c r="F752" s="6">
        <v>2667156</v>
      </c>
    </row>
    <row r="753" spans="1:6" x14ac:dyDescent="0.2">
      <c r="A753" s="4">
        <v>45561</v>
      </c>
      <c r="B753" s="5">
        <v>40.6</v>
      </c>
      <c r="C753" s="5">
        <v>40.9</v>
      </c>
      <c r="D753" s="5">
        <v>40.5</v>
      </c>
      <c r="E753" s="5">
        <v>40.9</v>
      </c>
      <c r="F753" s="6">
        <v>2796834</v>
      </c>
    </row>
    <row r="754" spans="1:6" x14ac:dyDescent="0.2">
      <c r="A754" s="4">
        <v>45562</v>
      </c>
      <c r="B754" s="5">
        <v>41.09</v>
      </c>
      <c r="C754" s="5">
        <v>41.424999999999997</v>
      </c>
      <c r="D754" s="5">
        <v>40.659999999999997</v>
      </c>
      <c r="E754" s="5">
        <v>40.71</v>
      </c>
      <c r="F754" s="6">
        <v>3137117</v>
      </c>
    </row>
    <row r="755" spans="1:6" x14ac:dyDescent="0.2">
      <c r="A755" s="4">
        <v>45565</v>
      </c>
      <c r="B755" s="5">
        <v>40.79</v>
      </c>
      <c r="C755" s="5">
        <v>40.93</v>
      </c>
      <c r="D755" s="5">
        <v>40.659999999999997</v>
      </c>
      <c r="E755" s="5">
        <v>40.880000000000003</v>
      </c>
      <c r="F755" s="6">
        <v>2322057</v>
      </c>
    </row>
    <row r="756" spans="1:6" x14ac:dyDescent="0.2">
      <c r="A756" s="4">
        <v>45566</v>
      </c>
      <c r="B756" s="5">
        <v>40.47</v>
      </c>
      <c r="C756" s="5">
        <v>40.57</v>
      </c>
      <c r="D756" s="5">
        <v>40.274999999999999</v>
      </c>
      <c r="E756" s="5">
        <v>40.299999999999997</v>
      </c>
      <c r="F756" s="6">
        <v>3120664</v>
      </c>
    </row>
    <row r="757" spans="1:6" x14ac:dyDescent="0.2">
      <c r="A757" s="4">
        <v>45567</v>
      </c>
      <c r="B757" s="5">
        <v>40.1</v>
      </c>
      <c r="C757" s="5">
        <v>40.11</v>
      </c>
      <c r="D757" s="5">
        <v>39.369999999999997</v>
      </c>
      <c r="E757" s="5">
        <v>39.450000000000003</v>
      </c>
      <c r="F757" s="6">
        <v>5383682</v>
      </c>
    </row>
    <row r="758" spans="1:6" x14ac:dyDescent="0.2">
      <c r="A758" s="4">
        <v>45568</v>
      </c>
      <c r="B758" s="5">
        <v>38.6</v>
      </c>
      <c r="C758" s="5">
        <v>38.65</v>
      </c>
      <c r="D758" s="5">
        <v>38.155000000000001</v>
      </c>
      <c r="E758" s="5">
        <v>38.369999999999997</v>
      </c>
      <c r="F758" s="6">
        <v>5360964</v>
      </c>
    </row>
    <row r="759" spans="1:6" x14ac:dyDescent="0.2">
      <c r="A759" s="4">
        <v>45569</v>
      </c>
      <c r="B759" s="5">
        <v>38.07</v>
      </c>
      <c r="C759" s="5">
        <v>38.840000000000003</v>
      </c>
      <c r="D759" s="5">
        <v>37.93</v>
      </c>
      <c r="E759" s="5">
        <v>38.82</v>
      </c>
      <c r="F759" s="6">
        <v>6582359</v>
      </c>
    </row>
    <row r="760" spans="1:6" x14ac:dyDescent="0.2">
      <c r="A760" s="4">
        <v>45572</v>
      </c>
      <c r="B760" s="5">
        <v>39.04</v>
      </c>
      <c r="C760" s="5">
        <v>39.115000000000002</v>
      </c>
      <c r="D760" s="5">
        <v>38.61</v>
      </c>
      <c r="E760" s="5">
        <v>38.630000000000003</v>
      </c>
      <c r="F760" s="6">
        <v>3853184</v>
      </c>
    </row>
    <row r="761" spans="1:6" x14ac:dyDescent="0.2">
      <c r="A761" s="4">
        <v>45573</v>
      </c>
      <c r="B761" s="5">
        <v>38.31</v>
      </c>
      <c r="C761" s="5">
        <v>38.380000000000003</v>
      </c>
      <c r="D761" s="5">
        <v>37.94</v>
      </c>
      <c r="E761" s="5">
        <v>38.020000000000003</v>
      </c>
      <c r="F761" s="6">
        <v>4625673</v>
      </c>
    </row>
    <row r="762" spans="1:6" x14ac:dyDescent="0.2">
      <c r="A762" s="4">
        <v>45574</v>
      </c>
      <c r="B762" s="5">
        <v>37.880000000000003</v>
      </c>
      <c r="C762" s="5">
        <v>41.8</v>
      </c>
      <c r="D762" s="5">
        <v>37.799999999999997</v>
      </c>
      <c r="E762" s="5">
        <v>40.24</v>
      </c>
      <c r="F762" s="6">
        <v>19967660</v>
      </c>
    </row>
    <row r="763" spans="1:6" x14ac:dyDescent="0.2">
      <c r="A763" s="4">
        <v>45575</v>
      </c>
      <c r="B763" s="5">
        <v>40.29</v>
      </c>
      <c r="C763" s="5">
        <v>40.369999999999997</v>
      </c>
      <c r="D763" s="5">
        <v>39.055</v>
      </c>
      <c r="E763" s="5">
        <v>39.21</v>
      </c>
      <c r="F763" s="6">
        <v>7774962</v>
      </c>
    </row>
    <row r="764" spans="1:6" x14ac:dyDescent="0.2">
      <c r="A764" s="4">
        <v>45576</v>
      </c>
      <c r="B764" s="5">
        <v>39.020000000000003</v>
      </c>
      <c r="C764" s="5">
        <v>39.15</v>
      </c>
      <c r="D764" s="5">
        <v>38.634</v>
      </c>
      <c r="E764" s="5">
        <v>38.83</v>
      </c>
      <c r="F764" s="6">
        <v>7244135</v>
      </c>
    </row>
    <row r="765" spans="1:6" x14ac:dyDescent="0.2">
      <c r="A765" s="4">
        <v>45579</v>
      </c>
      <c r="B765" s="5">
        <v>39.17</v>
      </c>
      <c r="C765" s="5">
        <v>39.229999999999997</v>
      </c>
      <c r="D765" s="5">
        <v>38.835000000000001</v>
      </c>
      <c r="E765" s="5">
        <v>39.130000000000003</v>
      </c>
      <c r="F765" s="6">
        <v>4799361</v>
      </c>
    </row>
    <row r="766" spans="1:6" x14ac:dyDescent="0.2">
      <c r="A766" s="4">
        <v>45580</v>
      </c>
      <c r="B766" s="5">
        <v>38.93</v>
      </c>
      <c r="C766" s="5">
        <v>39.4</v>
      </c>
      <c r="D766" s="5">
        <v>38.82</v>
      </c>
      <c r="E766" s="5">
        <v>38.96</v>
      </c>
      <c r="F766" s="6">
        <v>4291285</v>
      </c>
    </row>
    <row r="767" spans="1:6" x14ac:dyDescent="0.2">
      <c r="A767" s="4">
        <v>45581</v>
      </c>
      <c r="B767" s="5">
        <v>38.9</v>
      </c>
      <c r="C767" s="5">
        <v>39.284999999999997</v>
      </c>
      <c r="D767" s="5">
        <v>38.9</v>
      </c>
      <c r="E767" s="5">
        <v>39.21</v>
      </c>
      <c r="F767" s="6">
        <v>4952600</v>
      </c>
    </row>
    <row r="768" spans="1:6" x14ac:dyDescent="0.2">
      <c r="A768" s="4">
        <v>45582</v>
      </c>
      <c r="B768" s="5">
        <v>39.21</v>
      </c>
      <c r="C768" s="5">
        <v>39.24</v>
      </c>
      <c r="D768" s="5">
        <v>38.92</v>
      </c>
      <c r="E768" s="5">
        <v>38.96</v>
      </c>
      <c r="F768" s="6">
        <v>4990561</v>
      </c>
    </row>
    <row r="769" spans="1:6" x14ac:dyDescent="0.2">
      <c r="A769" s="4">
        <v>45583</v>
      </c>
      <c r="B769" s="5">
        <v>38.799999999999997</v>
      </c>
      <c r="C769" s="5">
        <v>38.840000000000003</v>
      </c>
      <c r="D769" s="5">
        <v>38.380000000000003</v>
      </c>
      <c r="E769" s="5">
        <v>38.549999999999997</v>
      </c>
      <c r="F769" s="6">
        <v>3728344</v>
      </c>
    </row>
    <row r="770" spans="1:6" x14ac:dyDescent="0.2">
      <c r="A770" s="4">
        <v>45586</v>
      </c>
      <c r="B770" s="5">
        <v>38.49</v>
      </c>
      <c r="C770" s="5">
        <v>38.51</v>
      </c>
      <c r="D770" s="5">
        <v>38.085000000000001</v>
      </c>
      <c r="E770" s="5">
        <v>38.159999999999997</v>
      </c>
      <c r="F770" s="6">
        <v>2872533</v>
      </c>
    </row>
    <row r="771" spans="1:6" x14ac:dyDescent="0.2">
      <c r="A771" s="4">
        <v>45587</v>
      </c>
      <c r="B771" s="5">
        <v>37.72</v>
      </c>
      <c r="C771" s="5">
        <v>38.045000000000002</v>
      </c>
      <c r="D771" s="5">
        <v>37.72</v>
      </c>
      <c r="E771" s="5">
        <v>38</v>
      </c>
      <c r="F771" s="6">
        <v>3890217</v>
      </c>
    </row>
    <row r="772" spans="1:6" x14ac:dyDescent="0.2">
      <c r="A772" s="4">
        <v>45588</v>
      </c>
      <c r="B772" s="5">
        <v>37.74</v>
      </c>
      <c r="C772" s="5">
        <v>37.989899999999999</v>
      </c>
      <c r="D772" s="5">
        <v>37.6511</v>
      </c>
      <c r="E772" s="5">
        <v>37.979999999999997</v>
      </c>
      <c r="F772" s="6">
        <v>4865936</v>
      </c>
    </row>
    <row r="773" spans="1:6" x14ac:dyDescent="0.2">
      <c r="A773" s="4">
        <v>45589</v>
      </c>
      <c r="B773" s="5">
        <v>38.03</v>
      </c>
      <c r="C773" s="5">
        <v>38.19</v>
      </c>
      <c r="D773" s="5">
        <v>37.664999999999999</v>
      </c>
      <c r="E773" s="5">
        <v>37.74</v>
      </c>
      <c r="F773" s="6">
        <v>4665570</v>
      </c>
    </row>
    <row r="774" spans="1:6" x14ac:dyDescent="0.2">
      <c r="A774" s="4">
        <v>45590</v>
      </c>
      <c r="B774" s="5">
        <v>37.950000000000003</v>
      </c>
      <c r="C774" s="5">
        <v>38.005000000000003</v>
      </c>
      <c r="D774" s="5">
        <v>37.43</v>
      </c>
      <c r="E774" s="5">
        <v>37.520000000000003</v>
      </c>
      <c r="F774" s="6">
        <v>3375405</v>
      </c>
    </row>
    <row r="775" spans="1:6" x14ac:dyDescent="0.2">
      <c r="A775" s="4">
        <v>45593</v>
      </c>
      <c r="B775" s="5">
        <v>37.700000000000003</v>
      </c>
      <c r="C775" s="5">
        <v>38.085000000000001</v>
      </c>
      <c r="D775" s="5">
        <v>37.67</v>
      </c>
      <c r="E775" s="5">
        <v>37.880000000000003</v>
      </c>
      <c r="F775" s="6">
        <v>4111601</v>
      </c>
    </row>
    <row r="776" spans="1:6" x14ac:dyDescent="0.2">
      <c r="A776" s="4">
        <v>45594</v>
      </c>
      <c r="B776" s="5">
        <v>37.94</v>
      </c>
      <c r="C776" s="5">
        <v>38.255000000000003</v>
      </c>
      <c r="D776" s="5">
        <v>37.880000000000003</v>
      </c>
      <c r="E776" s="5">
        <v>38.17</v>
      </c>
      <c r="F776" s="6">
        <v>6140692</v>
      </c>
    </row>
    <row r="777" spans="1:6" x14ac:dyDescent="0.2">
      <c r="A777" s="4">
        <v>45595</v>
      </c>
      <c r="B777" s="5">
        <v>36.5</v>
      </c>
      <c r="C777" s="5">
        <v>37.229999999999997</v>
      </c>
      <c r="D777" s="5">
        <v>36.28</v>
      </c>
      <c r="E777" s="5">
        <v>37.01</v>
      </c>
      <c r="F777" s="6">
        <v>13420000</v>
      </c>
    </row>
    <row r="778" spans="1:6" x14ac:dyDescent="0.2">
      <c r="A778" s="4">
        <v>45596</v>
      </c>
      <c r="B778" s="5">
        <v>36.270000000000003</v>
      </c>
      <c r="C778" s="5">
        <v>37.01</v>
      </c>
      <c r="D778" s="5">
        <v>36.07</v>
      </c>
      <c r="E778" s="5">
        <v>36.76</v>
      </c>
      <c r="F778" s="6">
        <v>12121660</v>
      </c>
    </row>
    <row r="779" spans="1:6" x14ac:dyDescent="0.2">
      <c r="A779" s="4">
        <v>45597</v>
      </c>
      <c r="B779" s="5">
        <v>37.590000000000003</v>
      </c>
      <c r="C779" s="5">
        <v>37.6</v>
      </c>
      <c r="D779" s="5">
        <v>36.85</v>
      </c>
      <c r="E779" s="5">
        <v>36.880000000000003</v>
      </c>
      <c r="F779" s="6">
        <v>6877236</v>
      </c>
    </row>
    <row r="780" spans="1:6" x14ac:dyDescent="0.2">
      <c r="A780" s="4">
        <v>45600</v>
      </c>
      <c r="B780" s="5">
        <v>37.03</v>
      </c>
      <c r="C780" s="5">
        <v>37.26</v>
      </c>
      <c r="D780" s="5">
        <v>36.94</v>
      </c>
      <c r="E780" s="5">
        <v>36.97</v>
      </c>
      <c r="F780" s="6">
        <v>3994531</v>
      </c>
    </row>
    <row r="781" spans="1:6" x14ac:dyDescent="0.2">
      <c r="A781" s="4">
        <v>45601</v>
      </c>
      <c r="B781" s="5">
        <v>36.695</v>
      </c>
      <c r="C781" s="5">
        <v>37.049999999999997</v>
      </c>
      <c r="D781" s="5">
        <v>36.480499999999999</v>
      </c>
      <c r="E781" s="5">
        <v>37.020000000000003</v>
      </c>
      <c r="F781" s="6">
        <v>7088128</v>
      </c>
    </row>
    <row r="782" spans="1:6" x14ac:dyDescent="0.2">
      <c r="A782" s="4">
        <v>45602</v>
      </c>
      <c r="B782" s="5">
        <v>35.93</v>
      </c>
      <c r="C782" s="5">
        <v>36.14</v>
      </c>
      <c r="D782" s="5">
        <v>35.625</v>
      </c>
      <c r="E782" s="5">
        <v>35.9</v>
      </c>
      <c r="F782" s="6">
        <v>14281670</v>
      </c>
    </row>
    <row r="783" spans="1:6" x14ac:dyDescent="0.2">
      <c r="A783" s="4">
        <v>45603</v>
      </c>
      <c r="B783" s="5">
        <v>36.229999999999997</v>
      </c>
      <c r="C783" s="5">
        <v>36.729999999999997</v>
      </c>
      <c r="D783" s="5">
        <v>36.134999999999998</v>
      </c>
      <c r="E783" s="5">
        <v>36.659999999999997</v>
      </c>
      <c r="F783" s="6">
        <v>14931960</v>
      </c>
    </row>
    <row r="784" spans="1:6" x14ac:dyDescent="0.2">
      <c r="A784" s="4">
        <v>45604</v>
      </c>
      <c r="B784" s="5">
        <v>36.119999999999997</v>
      </c>
      <c r="C784" s="5">
        <v>36.42</v>
      </c>
      <c r="D784" s="5">
        <v>36.1</v>
      </c>
      <c r="E784" s="5">
        <v>36.29</v>
      </c>
      <c r="F784" s="6">
        <v>8866773</v>
      </c>
    </row>
    <row r="785" spans="1:6" x14ac:dyDescent="0.2">
      <c r="A785" s="4">
        <v>45607</v>
      </c>
      <c r="B785" s="5">
        <v>36.549999999999997</v>
      </c>
      <c r="C785" s="5">
        <v>36.74</v>
      </c>
      <c r="D785" s="5">
        <v>36.314999999999998</v>
      </c>
      <c r="E785" s="5">
        <v>36.35</v>
      </c>
      <c r="F785" s="6">
        <v>5053971</v>
      </c>
    </row>
    <row r="786" spans="1:6" x14ac:dyDescent="0.2">
      <c r="A786" s="4">
        <v>45608</v>
      </c>
      <c r="B786" s="5">
        <v>35.5</v>
      </c>
      <c r="C786" s="5">
        <v>35.630000000000003</v>
      </c>
      <c r="D786" s="5">
        <v>35.25</v>
      </c>
      <c r="E786" s="5">
        <v>35.520000000000003</v>
      </c>
      <c r="F786" s="6">
        <v>7245974</v>
      </c>
    </row>
    <row r="787" spans="1:6" x14ac:dyDescent="0.2">
      <c r="A787" s="4">
        <v>45609</v>
      </c>
      <c r="B787" s="5">
        <v>35.17</v>
      </c>
      <c r="C787" s="5">
        <v>35.29</v>
      </c>
      <c r="D787" s="5">
        <v>34.81</v>
      </c>
      <c r="E787" s="5">
        <v>35.11</v>
      </c>
      <c r="F787" s="6">
        <v>7279471</v>
      </c>
    </row>
    <row r="788" spans="1:6" x14ac:dyDescent="0.2">
      <c r="A788" s="4">
        <v>45610</v>
      </c>
      <c r="B788" s="5">
        <v>35.4</v>
      </c>
      <c r="C788" s="5">
        <v>35.46</v>
      </c>
      <c r="D788" s="5">
        <v>34.36</v>
      </c>
      <c r="E788" s="5">
        <v>34.39</v>
      </c>
      <c r="F788" s="6">
        <v>7032511</v>
      </c>
    </row>
    <row r="789" spans="1:6" x14ac:dyDescent="0.2">
      <c r="A789" s="4">
        <v>45611</v>
      </c>
      <c r="B789" s="5">
        <v>33.26</v>
      </c>
      <c r="C789" s="5">
        <v>33.5</v>
      </c>
      <c r="D789" s="5">
        <v>32.825000000000003</v>
      </c>
      <c r="E789" s="5">
        <v>33.35</v>
      </c>
      <c r="F789" s="6">
        <v>13747890</v>
      </c>
    </row>
    <row r="790" spans="1:6" x14ac:dyDescent="0.2">
      <c r="A790" s="4">
        <v>45614</v>
      </c>
      <c r="B790" s="5">
        <v>33.29</v>
      </c>
      <c r="C790" s="5">
        <v>33.79</v>
      </c>
      <c r="D790" s="5">
        <v>33.25</v>
      </c>
      <c r="E790" s="5">
        <v>33.69</v>
      </c>
      <c r="F790" s="6">
        <v>8802112</v>
      </c>
    </row>
    <row r="791" spans="1:6" x14ac:dyDescent="0.2">
      <c r="A791" s="4">
        <v>45615</v>
      </c>
      <c r="B791" s="5">
        <v>33.28</v>
      </c>
      <c r="C791" s="5">
        <v>33.6</v>
      </c>
      <c r="D791" s="5">
        <v>33.229999999999997</v>
      </c>
      <c r="E791" s="5">
        <v>33.46</v>
      </c>
      <c r="F791" s="6">
        <v>8988437</v>
      </c>
    </row>
    <row r="792" spans="1:6" x14ac:dyDescent="0.2">
      <c r="A792" s="4">
        <v>45616</v>
      </c>
      <c r="B792" s="5">
        <v>33.4</v>
      </c>
      <c r="C792" s="5">
        <v>33.53</v>
      </c>
      <c r="D792" s="5">
        <v>33.19</v>
      </c>
      <c r="E792" s="5">
        <v>33.35</v>
      </c>
      <c r="F792" s="6">
        <v>7519391</v>
      </c>
    </row>
    <row r="793" spans="1:6" x14ac:dyDescent="0.2">
      <c r="A793" s="4">
        <v>45617</v>
      </c>
      <c r="B793" s="5">
        <v>33.4</v>
      </c>
      <c r="C793" s="5">
        <v>33.700000000000003</v>
      </c>
      <c r="D793" s="5">
        <v>33.174999999999997</v>
      </c>
      <c r="E793" s="5">
        <v>33.700000000000003</v>
      </c>
      <c r="F793" s="6">
        <v>7030641</v>
      </c>
    </row>
    <row r="794" spans="1:6" x14ac:dyDescent="0.2">
      <c r="A794" s="4">
        <v>45618</v>
      </c>
      <c r="B794" s="5">
        <v>33.83</v>
      </c>
      <c r="C794" s="5">
        <v>34.15</v>
      </c>
      <c r="D794" s="5">
        <v>33.76</v>
      </c>
      <c r="E794" s="5">
        <v>33.96</v>
      </c>
      <c r="F794" s="6">
        <v>4173390</v>
      </c>
    </row>
    <row r="795" spans="1:6" x14ac:dyDescent="0.2">
      <c r="A795" s="4">
        <v>45621</v>
      </c>
      <c r="B795" s="5">
        <v>34.049999999999997</v>
      </c>
      <c r="C795" s="5">
        <v>34.25</v>
      </c>
      <c r="D795" s="5">
        <v>34.020000000000003</v>
      </c>
      <c r="E795" s="5">
        <v>34.15</v>
      </c>
      <c r="F795" s="6">
        <v>4148516</v>
      </c>
    </row>
    <row r="796" spans="1:6" x14ac:dyDescent="0.2">
      <c r="A796" s="4">
        <v>45622</v>
      </c>
      <c r="B796" s="5">
        <v>34.229999999999997</v>
      </c>
      <c r="C796" s="5">
        <v>34.29</v>
      </c>
      <c r="D796" s="5">
        <v>33.854999999999997</v>
      </c>
      <c r="E796" s="5">
        <v>34.020000000000003</v>
      </c>
      <c r="F796" s="6">
        <v>4194666</v>
      </c>
    </row>
    <row r="797" spans="1:6" x14ac:dyDescent="0.2">
      <c r="A797" s="4">
        <v>45623</v>
      </c>
      <c r="B797" s="5">
        <v>34.19</v>
      </c>
      <c r="C797" s="5">
        <v>34.47</v>
      </c>
      <c r="D797" s="5">
        <v>34.185000000000002</v>
      </c>
      <c r="E797" s="5">
        <v>34.33</v>
      </c>
      <c r="F797" s="6">
        <v>2959073</v>
      </c>
    </row>
    <row r="798" spans="1:6" x14ac:dyDescent="0.2">
      <c r="A798" s="4">
        <v>45625</v>
      </c>
      <c r="B798" s="5">
        <v>34.049999999999997</v>
      </c>
      <c r="C798" s="5">
        <v>34.200000000000003</v>
      </c>
      <c r="D798" s="5">
        <v>33.89</v>
      </c>
      <c r="E798" s="5">
        <v>34.130000000000003</v>
      </c>
      <c r="F798" s="6">
        <v>2051795</v>
      </c>
    </row>
    <row r="799" spans="1:6" x14ac:dyDescent="0.2">
      <c r="A799" s="4">
        <v>45628</v>
      </c>
      <c r="B799" s="5">
        <v>34.229999999999997</v>
      </c>
      <c r="C799" s="5">
        <v>34.33</v>
      </c>
      <c r="D799" s="5">
        <v>33.965000000000003</v>
      </c>
      <c r="E799" s="5">
        <v>34.31</v>
      </c>
      <c r="F799" s="6">
        <v>3145146</v>
      </c>
    </row>
    <row r="800" spans="1:6" x14ac:dyDescent="0.2">
      <c r="A800" s="4">
        <v>45629</v>
      </c>
      <c r="B800" s="5">
        <v>34.700000000000003</v>
      </c>
      <c r="C800" s="5">
        <v>35.085000000000001</v>
      </c>
      <c r="D800" s="5">
        <v>34.58</v>
      </c>
      <c r="E800" s="5">
        <v>34.9</v>
      </c>
      <c r="F800" s="6">
        <v>5911131</v>
      </c>
    </row>
    <row r="801" spans="1:6" x14ac:dyDescent="0.2">
      <c r="A801" s="4">
        <v>45630</v>
      </c>
      <c r="B801" s="5">
        <v>34.74</v>
      </c>
      <c r="C801" s="5">
        <v>34.75</v>
      </c>
      <c r="D801" s="5">
        <v>34.4</v>
      </c>
      <c r="E801" s="5">
        <v>34.4</v>
      </c>
      <c r="F801" s="6">
        <v>4394206</v>
      </c>
    </row>
    <row r="802" spans="1:6" x14ac:dyDescent="0.2">
      <c r="A802" s="4">
        <v>45631</v>
      </c>
      <c r="B802" s="5">
        <v>34.42</v>
      </c>
      <c r="C802" s="5">
        <v>34.56</v>
      </c>
      <c r="D802" s="5">
        <v>34.214500000000001</v>
      </c>
      <c r="E802" s="5">
        <v>34.53</v>
      </c>
      <c r="F802" s="6">
        <v>4509145</v>
      </c>
    </row>
    <row r="803" spans="1:6" x14ac:dyDescent="0.2">
      <c r="A803" s="4">
        <v>45632</v>
      </c>
      <c r="B803" s="5">
        <v>34.6</v>
      </c>
      <c r="C803" s="5">
        <v>34.799999999999997</v>
      </c>
      <c r="D803" s="5">
        <v>34.43</v>
      </c>
      <c r="E803" s="5">
        <v>34.57</v>
      </c>
      <c r="F803" s="6">
        <v>3702817</v>
      </c>
    </row>
    <row r="804" spans="1:6" x14ac:dyDescent="0.2">
      <c r="A804" s="4">
        <v>45635</v>
      </c>
      <c r="B804" s="5">
        <v>34.950000000000003</v>
      </c>
      <c r="C804" s="5">
        <v>36.284999999999997</v>
      </c>
      <c r="D804" s="5">
        <v>34.909999999999997</v>
      </c>
      <c r="E804" s="5">
        <v>35.99</v>
      </c>
      <c r="F804" s="6">
        <v>7252562</v>
      </c>
    </row>
    <row r="805" spans="1:6" x14ac:dyDescent="0.2">
      <c r="A805" s="4">
        <v>45636</v>
      </c>
      <c r="B805" s="5">
        <v>35.89</v>
      </c>
      <c r="C805" s="5">
        <v>35.9</v>
      </c>
      <c r="D805" s="5">
        <v>35.18</v>
      </c>
      <c r="E805" s="5">
        <v>35.21</v>
      </c>
      <c r="F805" s="6">
        <v>5383630</v>
      </c>
    </row>
    <row r="806" spans="1:6" x14ac:dyDescent="0.2">
      <c r="A806" s="4">
        <v>45637</v>
      </c>
      <c r="B806" s="5">
        <v>34.81</v>
      </c>
      <c r="C806" s="5">
        <v>34.977499999999999</v>
      </c>
      <c r="D806" s="5">
        <v>34.42</v>
      </c>
      <c r="E806" s="5">
        <v>34.450000000000003</v>
      </c>
      <c r="F806" s="6">
        <v>3954138</v>
      </c>
    </row>
    <row r="807" spans="1:6" x14ac:dyDescent="0.2">
      <c r="A807" s="4">
        <v>45638</v>
      </c>
      <c r="B807" s="5">
        <v>34.270000000000003</v>
      </c>
      <c r="C807" s="5">
        <v>34.433500000000002</v>
      </c>
      <c r="D807" s="5">
        <v>34.08</v>
      </c>
      <c r="E807" s="5">
        <v>34.17</v>
      </c>
      <c r="F807" s="6">
        <v>3386339</v>
      </c>
    </row>
    <row r="808" spans="1:6" x14ac:dyDescent="0.2">
      <c r="A808" s="4">
        <v>45639</v>
      </c>
      <c r="B808" s="5">
        <v>34.020000000000003</v>
      </c>
      <c r="C808" s="5">
        <v>34.08</v>
      </c>
      <c r="D808" s="5">
        <v>33.753599999999999</v>
      </c>
      <c r="E808" s="5">
        <v>33.950000000000003</v>
      </c>
      <c r="F808" s="6">
        <v>3391380</v>
      </c>
    </row>
    <row r="809" spans="1:6" x14ac:dyDescent="0.2">
      <c r="A809" s="4">
        <v>45642</v>
      </c>
      <c r="B809" s="5">
        <v>33.68</v>
      </c>
      <c r="C809" s="5">
        <v>33.97</v>
      </c>
      <c r="D809" s="5">
        <v>33.58</v>
      </c>
      <c r="E809" s="5">
        <v>33.58</v>
      </c>
      <c r="F809" s="6">
        <v>4916560</v>
      </c>
    </row>
    <row r="810" spans="1:6" x14ac:dyDescent="0.2">
      <c r="A810" s="4">
        <v>45643</v>
      </c>
      <c r="B810" s="5">
        <v>34.119999999999997</v>
      </c>
      <c r="C810" s="5">
        <v>34.555</v>
      </c>
      <c r="D810" s="5">
        <v>34.03</v>
      </c>
      <c r="E810" s="5">
        <v>34.229999999999997</v>
      </c>
      <c r="F810" s="6">
        <v>4546446</v>
      </c>
    </row>
    <row r="811" spans="1:6" x14ac:dyDescent="0.2">
      <c r="A811" s="4">
        <v>45644</v>
      </c>
      <c r="B811" s="5">
        <v>34.1</v>
      </c>
      <c r="C811" s="5">
        <v>34.3401</v>
      </c>
      <c r="D811" s="5">
        <v>33.69</v>
      </c>
      <c r="E811" s="5">
        <v>33.69</v>
      </c>
      <c r="F811" s="6">
        <v>3075050</v>
      </c>
    </row>
    <row r="812" spans="1:6" x14ac:dyDescent="0.2">
      <c r="A812" s="4">
        <v>45645</v>
      </c>
      <c r="B812" s="5">
        <v>33.61</v>
      </c>
      <c r="C812" s="5">
        <v>33.700000000000003</v>
      </c>
      <c r="D812" s="5">
        <v>33.39</v>
      </c>
      <c r="E812" s="5">
        <v>33.43</v>
      </c>
      <c r="F812" s="6">
        <v>3307234</v>
      </c>
    </row>
    <row r="813" spans="1:6" x14ac:dyDescent="0.2">
      <c r="A813" s="4">
        <v>45646</v>
      </c>
      <c r="B813" s="5">
        <v>33.134999999999998</v>
      </c>
      <c r="C813" s="5">
        <v>33.869999999999997</v>
      </c>
      <c r="D813" s="5">
        <v>33.04</v>
      </c>
      <c r="E813" s="5">
        <v>33.6</v>
      </c>
      <c r="F813" s="6">
        <v>6813063</v>
      </c>
    </row>
    <row r="814" spans="1:6" x14ac:dyDescent="0.2">
      <c r="A814" s="4">
        <v>45649</v>
      </c>
      <c r="B814" s="5">
        <v>33.86</v>
      </c>
      <c r="C814" s="5">
        <v>34.11</v>
      </c>
      <c r="D814" s="5">
        <v>33.630000000000003</v>
      </c>
      <c r="E814" s="5">
        <v>34.06</v>
      </c>
      <c r="F814" s="6">
        <v>3228802</v>
      </c>
    </row>
    <row r="815" spans="1:6" x14ac:dyDescent="0.2">
      <c r="A815" s="4">
        <v>45650</v>
      </c>
      <c r="B815" s="5">
        <v>33.86</v>
      </c>
      <c r="C815" s="5">
        <v>34.21</v>
      </c>
      <c r="D815" s="5">
        <v>33.840000000000003</v>
      </c>
      <c r="E815" s="5">
        <v>34.03</v>
      </c>
      <c r="F815" s="6">
        <v>1383078</v>
      </c>
    </row>
    <row r="816" spans="1:6" x14ac:dyDescent="0.2">
      <c r="A816" s="4">
        <v>45652</v>
      </c>
      <c r="B816" s="5">
        <v>34</v>
      </c>
      <c r="C816" s="5">
        <v>34.15</v>
      </c>
      <c r="D816" s="5">
        <v>33.89</v>
      </c>
      <c r="E816" s="5">
        <v>34.119999999999997</v>
      </c>
      <c r="F816" s="6">
        <v>1993615</v>
      </c>
    </row>
    <row r="817" spans="1:6" x14ac:dyDescent="0.2">
      <c r="A817" s="4">
        <v>45653</v>
      </c>
      <c r="B817" s="5">
        <v>33.97</v>
      </c>
      <c r="C817" s="5">
        <v>34.17</v>
      </c>
      <c r="D817" s="5">
        <v>33.869999999999997</v>
      </c>
      <c r="E817" s="5">
        <v>34.08</v>
      </c>
      <c r="F817" s="6">
        <v>3174412</v>
      </c>
    </row>
    <row r="818" spans="1:6" x14ac:dyDescent="0.2">
      <c r="A818" s="4">
        <v>45656</v>
      </c>
      <c r="B818" s="5">
        <v>34.08</v>
      </c>
      <c r="C818" s="5">
        <v>34.08</v>
      </c>
      <c r="D818" s="5">
        <v>33.549999999999997</v>
      </c>
      <c r="E818" s="5">
        <v>33.65</v>
      </c>
      <c r="F818" s="6">
        <v>5081275</v>
      </c>
    </row>
    <row r="819" spans="1:6" x14ac:dyDescent="0.2">
      <c r="A819" s="4">
        <v>45657</v>
      </c>
      <c r="B819" s="5">
        <v>33.83</v>
      </c>
      <c r="C819" s="5">
        <v>34.020000000000003</v>
      </c>
      <c r="D819" s="5">
        <v>33.630000000000003</v>
      </c>
      <c r="E819" s="5">
        <v>33.82</v>
      </c>
      <c r="F819" s="6">
        <v>2413894</v>
      </c>
    </row>
    <row r="820" spans="1:6" x14ac:dyDescent="0.2">
      <c r="A820" s="4">
        <v>45659</v>
      </c>
      <c r="B820" s="5">
        <v>33.94</v>
      </c>
      <c r="C820" s="5">
        <v>34.19</v>
      </c>
      <c r="D820" s="5">
        <v>33.835000000000001</v>
      </c>
      <c r="E820" s="5">
        <v>33.950000000000003</v>
      </c>
      <c r="F820" s="6">
        <v>1999102</v>
      </c>
    </row>
    <row r="821" spans="1:6" x14ac:dyDescent="0.2">
      <c r="A821" s="4">
        <v>45660</v>
      </c>
      <c r="B821" s="5">
        <v>33.979999999999997</v>
      </c>
      <c r="C821" s="5">
        <v>33.979999999999997</v>
      </c>
      <c r="D821" s="5">
        <v>33.414999999999999</v>
      </c>
      <c r="E821" s="5">
        <v>33.47</v>
      </c>
      <c r="F821" s="6">
        <v>2903352</v>
      </c>
    </row>
    <row r="822" spans="1:6" x14ac:dyDescent="0.2">
      <c r="A822" s="4">
        <v>45663</v>
      </c>
      <c r="B822" s="5">
        <v>33.54</v>
      </c>
      <c r="C822" s="5">
        <v>34.119999999999997</v>
      </c>
      <c r="D822" s="5">
        <v>33.424999999999997</v>
      </c>
      <c r="E822" s="5">
        <v>33.96</v>
      </c>
      <c r="F822" s="6">
        <v>3333753</v>
      </c>
    </row>
    <row r="823" spans="1:6" x14ac:dyDescent="0.2">
      <c r="A823" s="4">
        <v>45664</v>
      </c>
      <c r="B823" s="5">
        <v>33.97</v>
      </c>
      <c r="C823" s="5">
        <v>34.46</v>
      </c>
      <c r="D823" s="5">
        <v>33.97</v>
      </c>
      <c r="E823" s="5">
        <v>34.090000000000003</v>
      </c>
      <c r="F823" s="6">
        <v>3031253</v>
      </c>
    </row>
    <row r="824" spans="1:6" x14ac:dyDescent="0.2">
      <c r="A824" s="4">
        <v>45665</v>
      </c>
      <c r="B824" s="5">
        <v>33.71</v>
      </c>
      <c r="C824" s="5">
        <v>33.92</v>
      </c>
      <c r="D824" s="5">
        <v>33.395000000000003</v>
      </c>
      <c r="E824" s="5">
        <v>33.75</v>
      </c>
      <c r="F824" s="6">
        <v>2709540</v>
      </c>
    </row>
    <row r="825" spans="1:6" x14ac:dyDescent="0.2">
      <c r="A825" s="4">
        <v>45667</v>
      </c>
      <c r="B825" s="5">
        <v>33.26</v>
      </c>
      <c r="C825" s="5">
        <v>33.395000000000003</v>
      </c>
      <c r="D825" s="5">
        <v>33.005000000000003</v>
      </c>
      <c r="E825" s="5">
        <v>33.090000000000003</v>
      </c>
      <c r="F825" s="6">
        <v>3842142</v>
      </c>
    </row>
    <row r="826" spans="1:6" x14ac:dyDescent="0.2">
      <c r="A826" s="4">
        <v>45670</v>
      </c>
      <c r="B826" s="5">
        <v>32.74</v>
      </c>
      <c r="C826" s="5">
        <v>32.86</v>
      </c>
      <c r="D826" s="5">
        <v>32.549999999999997</v>
      </c>
      <c r="E826" s="5">
        <v>32.700000000000003</v>
      </c>
      <c r="F826" s="6">
        <v>4673828</v>
      </c>
    </row>
    <row r="827" spans="1:6" x14ac:dyDescent="0.2">
      <c r="A827" s="4">
        <v>45671</v>
      </c>
      <c r="B827" s="5">
        <v>32.22</v>
      </c>
      <c r="C827" s="5">
        <v>32.28</v>
      </c>
      <c r="D827" s="5">
        <v>31.715</v>
      </c>
      <c r="E827" s="5">
        <v>32.08</v>
      </c>
      <c r="F827" s="6">
        <v>6251524</v>
      </c>
    </row>
    <row r="828" spans="1:6" x14ac:dyDescent="0.2">
      <c r="A828" s="4">
        <v>45672</v>
      </c>
      <c r="B828" s="5">
        <v>32.79</v>
      </c>
      <c r="C828" s="5">
        <v>32.92</v>
      </c>
      <c r="D828" s="5">
        <v>32.51</v>
      </c>
      <c r="E828" s="5">
        <v>32.799999999999997</v>
      </c>
      <c r="F828" s="6">
        <v>4782402</v>
      </c>
    </row>
    <row r="829" spans="1:6" x14ac:dyDescent="0.2">
      <c r="A829" s="4">
        <v>45673</v>
      </c>
      <c r="B829" s="5">
        <v>32.82</v>
      </c>
      <c r="C829" s="5">
        <v>33.51</v>
      </c>
      <c r="D829" s="5">
        <v>32.72</v>
      </c>
      <c r="E829" s="5">
        <v>33.44</v>
      </c>
      <c r="F829" s="6">
        <v>4535039</v>
      </c>
    </row>
    <row r="830" spans="1:6" x14ac:dyDescent="0.2">
      <c r="A830" s="4">
        <v>45674</v>
      </c>
      <c r="B830" s="5">
        <v>33.6</v>
      </c>
      <c r="C830" s="5">
        <v>33.604999999999997</v>
      </c>
      <c r="D830" s="5">
        <v>33.25</v>
      </c>
      <c r="E830" s="5">
        <v>33.43</v>
      </c>
      <c r="F830" s="6">
        <v>3930595</v>
      </c>
    </row>
    <row r="831" spans="1:6" x14ac:dyDescent="0.2">
      <c r="A831" s="4">
        <v>45678</v>
      </c>
      <c r="B831" s="5">
        <v>33.57</v>
      </c>
      <c r="C831" s="5">
        <v>33.79</v>
      </c>
      <c r="D831" s="5">
        <v>33.53</v>
      </c>
      <c r="E831" s="5">
        <v>33.78</v>
      </c>
      <c r="F831" s="6">
        <v>4111320</v>
      </c>
    </row>
    <row r="832" spans="1:6" x14ac:dyDescent="0.2">
      <c r="A832" s="4">
        <v>45679</v>
      </c>
      <c r="B832" s="5">
        <v>33.64</v>
      </c>
      <c r="C832" s="5">
        <v>33.729999999999997</v>
      </c>
      <c r="D832" s="5">
        <v>33.409999999999997</v>
      </c>
      <c r="E832" s="5">
        <v>33.43</v>
      </c>
      <c r="F832" s="6">
        <v>3546186</v>
      </c>
    </row>
    <row r="833" spans="1:6" x14ac:dyDescent="0.2">
      <c r="A833" s="4">
        <v>45680</v>
      </c>
      <c r="B833" s="5">
        <v>33.85</v>
      </c>
      <c r="C833" s="5">
        <v>34.164999999999999</v>
      </c>
      <c r="D833" s="5">
        <v>33.79</v>
      </c>
      <c r="E833" s="5">
        <v>34.049999999999997</v>
      </c>
      <c r="F833" s="6">
        <v>3738614</v>
      </c>
    </row>
    <row r="834" spans="1:6" x14ac:dyDescent="0.2">
      <c r="A834" s="4">
        <v>45681</v>
      </c>
      <c r="B834" s="5">
        <v>34.01</v>
      </c>
      <c r="C834" s="5">
        <v>34.31</v>
      </c>
      <c r="D834" s="5">
        <v>33.950000000000003</v>
      </c>
      <c r="E834" s="5">
        <v>34.270000000000003</v>
      </c>
      <c r="F834" s="6">
        <v>3165928</v>
      </c>
    </row>
    <row r="835" spans="1:6" x14ac:dyDescent="0.2">
      <c r="A835" s="4">
        <v>45684</v>
      </c>
      <c r="B835" s="5">
        <v>34.83</v>
      </c>
      <c r="C835" s="5">
        <v>35.5</v>
      </c>
      <c r="D835" s="5">
        <v>34.83</v>
      </c>
      <c r="E835" s="5">
        <v>35.5</v>
      </c>
      <c r="F835" s="6">
        <v>6505288</v>
      </c>
    </row>
    <row r="836" spans="1:6" x14ac:dyDescent="0.2">
      <c r="A836" s="4">
        <v>45685</v>
      </c>
      <c r="B836" s="5">
        <v>35.51</v>
      </c>
      <c r="C836" s="5">
        <v>35.585000000000001</v>
      </c>
      <c r="D836" s="5">
        <v>34.83</v>
      </c>
      <c r="E836" s="5">
        <v>35.1</v>
      </c>
      <c r="F836" s="6">
        <v>4552898</v>
      </c>
    </row>
    <row r="837" spans="1:6" x14ac:dyDescent="0.2">
      <c r="A837" s="4">
        <v>45686</v>
      </c>
      <c r="B837" s="5">
        <v>34.950000000000003</v>
      </c>
      <c r="C837" s="5">
        <v>35.25</v>
      </c>
      <c r="D837" s="5">
        <v>34.935000000000002</v>
      </c>
      <c r="E837" s="5">
        <v>35.06</v>
      </c>
      <c r="F837" s="6">
        <v>6057362</v>
      </c>
    </row>
    <row r="838" spans="1:6" x14ac:dyDescent="0.2">
      <c r="A838" s="4">
        <v>45687</v>
      </c>
      <c r="B838" s="5">
        <v>35.07</v>
      </c>
      <c r="C838" s="5">
        <v>35.585000000000001</v>
      </c>
      <c r="D838" s="5">
        <v>34.92</v>
      </c>
      <c r="E838" s="5">
        <v>35.36</v>
      </c>
      <c r="F838" s="6">
        <v>5020445</v>
      </c>
    </row>
    <row r="839" spans="1:6" x14ac:dyDescent="0.2">
      <c r="A839" s="4">
        <v>45688</v>
      </c>
      <c r="B839" s="5">
        <v>35.19</v>
      </c>
      <c r="C839" s="5">
        <v>35.520000000000003</v>
      </c>
      <c r="D839" s="5">
        <v>35.055</v>
      </c>
      <c r="E839" s="5">
        <v>35.270000000000003</v>
      </c>
      <c r="F839" s="6">
        <v>5112730</v>
      </c>
    </row>
    <row r="840" spans="1:6" x14ac:dyDescent="0.2">
      <c r="A840" s="4">
        <v>45691</v>
      </c>
      <c r="B840" s="5">
        <v>34.869999999999997</v>
      </c>
      <c r="C840" s="5">
        <v>35.200000000000003</v>
      </c>
      <c r="D840" s="5">
        <v>34.58</v>
      </c>
      <c r="E840" s="5">
        <v>34.9</v>
      </c>
      <c r="F840" s="6">
        <v>3279980</v>
      </c>
    </row>
    <row r="841" spans="1:6" x14ac:dyDescent="0.2">
      <c r="A841" s="4">
        <v>45692</v>
      </c>
      <c r="B841" s="5">
        <v>34.590000000000003</v>
      </c>
      <c r="C841" s="5">
        <v>34.975000000000001</v>
      </c>
      <c r="D841" s="5">
        <v>34.2224</v>
      </c>
      <c r="E841" s="5">
        <v>34.840000000000003</v>
      </c>
      <c r="F841" s="6">
        <v>7120968</v>
      </c>
    </row>
    <row r="842" spans="1:6" x14ac:dyDescent="0.2">
      <c r="A842" s="4">
        <v>45693</v>
      </c>
      <c r="B842" s="5">
        <v>37.06</v>
      </c>
      <c r="C842" s="5">
        <v>37.909999999999997</v>
      </c>
      <c r="D842" s="5">
        <v>37.03</v>
      </c>
      <c r="E842" s="5">
        <v>37.700000000000003</v>
      </c>
      <c r="F842" s="6">
        <v>10193210</v>
      </c>
    </row>
    <row r="843" spans="1:6" x14ac:dyDescent="0.2">
      <c r="A843" s="4">
        <v>45694</v>
      </c>
      <c r="B843" s="5">
        <v>37.520000000000003</v>
      </c>
      <c r="C843" s="5">
        <v>37.61</v>
      </c>
      <c r="D843" s="5">
        <v>36.369999999999997</v>
      </c>
      <c r="E843" s="5">
        <v>36.380000000000003</v>
      </c>
      <c r="F843" s="6">
        <v>7167978</v>
      </c>
    </row>
    <row r="844" spans="1:6" x14ac:dyDescent="0.2">
      <c r="A844" s="4">
        <v>45695</v>
      </c>
      <c r="B844" s="5">
        <v>36.49</v>
      </c>
      <c r="C844" s="5">
        <v>36.520000000000003</v>
      </c>
      <c r="D844" s="5">
        <v>35.97</v>
      </c>
      <c r="E844" s="5">
        <v>36.04</v>
      </c>
      <c r="F844" s="6">
        <v>5356543</v>
      </c>
    </row>
    <row r="845" spans="1:6" x14ac:dyDescent="0.2">
      <c r="A845" s="4">
        <v>45698</v>
      </c>
      <c r="B845" s="5">
        <v>36.369999999999997</v>
      </c>
      <c r="C845" s="5">
        <v>36.905000000000001</v>
      </c>
      <c r="D845" s="5">
        <v>36.365000000000002</v>
      </c>
      <c r="E845" s="5">
        <v>36.47</v>
      </c>
      <c r="F845" s="6">
        <v>4539615</v>
      </c>
    </row>
    <row r="846" spans="1:6" x14ac:dyDescent="0.2">
      <c r="A846" s="4">
        <v>45699</v>
      </c>
      <c r="B846" s="5">
        <v>36.314999999999998</v>
      </c>
      <c r="C846" s="5">
        <v>36.35</v>
      </c>
      <c r="D846" s="5">
        <v>35.975000000000001</v>
      </c>
      <c r="E846" s="5">
        <v>36.07</v>
      </c>
      <c r="F846" s="6">
        <v>4893117</v>
      </c>
    </row>
    <row r="847" spans="1:6" x14ac:dyDescent="0.2">
      <c r="A847" s="4">
        <v>45700</v>
      </c>
      <c r="B847" s="5">
        <v>35.72</v>
      </c>
      <c r="C847" s="5">
        <v>36.259900000000002</v>
      </c>
      <c r="D847" s="5">
        <v>35.53</v>
      </c>
      <c r="E847" s="5">
        <v>36.130000000000003</v>
      </c>
      <c r="F847" s="6">
        <v>3619986</v>
      </c>
    </row>
    <row r="848" spans="1:6" x14ac:dyDescent="0.2">
      <c r="A848" s="4">
        <v>45701</v>
      </c>
      <c r="B848" s="5">
        <v>36.17</v>
      </c>
      <c r="C848" s="5">
        <v>36.619999999999997</v>
      </c>
      <c r="D848" s="5">
        <v>36.005000000000003</v>
      </c>
      <c r="E848" s="5">
        <v>36.549999999999997</v>
      </c>
      <c r="F848" s="6">
        <v>4462616</v>
      </c>
    </row>
    <row r="849" spans="1:6" x14ac:dyDescent="0.2">
      <c r="A849" s="4">
        <v>45702</v>
      </c>
      <c r="B849" s="5">
        <v>36.479999999999997</v>
      </c>
      <c r="C849" s="5">
        <v>36.604999999999997</v>
      </c>
      <c r="D849" s="5">
        <v>36.159999999999997</v>
      </c>
      <c r="E849" s="5">
        <v>36.17</v>
      </c>
      <c r="F849" s="6">
        <v>4541919</v>
      </c>
    </row>
    <row r="850" spans="1:6" x14ac:dyDescent="0.2">
      <c r="A850" s="4">
        <v>45706</v>
      </c>
      <c r="B850" s="5">
        <v>36.590000000000003</v>
      </c>
      <c r="C850" s="5">
        <v>36.85</v>
      </c>
      <c r="D850" s="5">
        <v>36.465000000000003</v>
      </c>
      <c r="E850" s="5">
        <v>36.61</v>
      </c>
      <c r="F850" s="6">
        <v>4368601</v>
      </c>
    </row>
    <row r="851" spans="1:6" x14ac:dyDescent="0.2">
      <c r="A851" s="4">
        <v>45707</v>
      </c>
      <c r="B851" s="5">
        <v>36.5</v>
      </c>
      <c r="C851" s="5">
        <v>36.645000000000003</v>
      </c>
      <c r="D851" s="5">
        <v>36.35</v>
      </c>
      <c r="E851" s="5">
        <v>36.54</v>
      </c>
      <c r="F851" s="6">
        <v>3408594</v>
      </c>
    </row>
    <row r="852" spans="1:6" x14ac:dyDescent="0.2">
      <c r="A852" s="4">
        <v>45708</v>
      </c>
      <c r="B852" s="5">
        <v>36.72</v>
      </c>
      <c r="C852" s="5">
        <v>37.22</v>
      </c>
      <c r="D852" s="5">
        <v>36.621200000000002</v>
      </c>
      <c r="E852" s="5">
        <v>36.96</v>
      </c>
      <c r="F852" s="6">
        <v>6244672</v>
      </c>
    </row>
    <row r="853" spans="1:6" x14ac:dyDescent="0.2">
      <c r="A853" s="4">
        <v>45709</v>
      </c>
      <c r="B853" s="5">
        <v>36.200000000000003</v>
      </c>
      <c r="C853" s="5">
        <v>36.674999999999997</v>
      </c>
      <c r="D853" s="5">
        <v>36.049999999999997</v>
      </c>
      <c r="E853" s="5">
        <v>36.64</v>
      </c>
      <c r="F853" s="6">
        <v>5644723</v>
      </c>
    </row>
    <row r="854" spans="1:6" x14ac:dyDescent="0.2">
      <c r="A854" s="4">
        <v>45712</v>
      </c>
      <c r="B854" s="5">
        <v>36.82</v>
      </c>
      <c r="C854" s="5">
        <v>37.14</v>
      </c>
      <c r="D854" s="5">
        <v>36.72</v>
      </c>
      <c r="E854" s="5">
        <v>37.08</v>
      </c>
      <c r="F854" s="6">
        <v>2857899</v>
      </c>
    </row>
    <row r="855" spans="1:6" x14ac:dyDescent="0.2">
      <c r="A855" s="4">
        <v>45713</v>
      </c>
      <c r="B855" s="5">
        <v>37.56</v>
      </c>
      <c r="C855" s="5">
        <v>38.4</v>
      </c>
      <c r="D855" s="5">
        <v>37.56</v>
      </c>
      <c r="E855" s="5">
        <v>38.36</v>
      </c>
      <c r="F855" s="6">
        <v>10536500</v>
      </c>
    </row>
    <row r="856" spans="1:6" x14ac:dyDescent="0.2">
      <c r="A856" s="4">
        <v>45714</v>
      </c>
      <c r="B856" s="5">
        <v>37.81</v>
      </c>
      <c r="C856" s="5">
        <v>37.83</v>
      </c>
      <c r="D856" s="5">
        <v>37.35</v>
      </c>
      <c r="E856" s="5">
        <v>37.4</v>
      </c>
      <c r="F856" s="6">
        <v>7938470</v>
      </c>
    </row>
    <row r="857" spans="1:6" x14ac:dyDescent="0.2">
      <c r="A857" s="4">
        <v>45715</v>
      </c>
      <c r="B857" s="5">
        <v>37.07</v>
      </c>
      <c r="C857" s="5">
        <v>37.380000000000003</v>
      </c>
      <c r="D857" s="5">
        <v>36.99</v>
      </c>
      <c r="E857" s="5">
        <v>37.299999999999997</v>
      </c>
      <c r="F857" s="6">
        <v>7168264</v>
      </c>
    </row>
    <row r="858" spans="1:6" x14ac:dyDescent="0.2">
      <c r="A858" s="4">
        <v>45716</v>
      </c>
      <c r="B858" s="5">
        <v>37.64</v>
      </c>
      <c r="C858" s="5">
        <v>37.69</v>
      </c>
      <c r="D858" s="5">
        <v>37.1509</v>
      </c>
      <c r="E858" s="5">
        <v>37.590000000000003</v>
      </c>
      <c r="F858" s="6">
        <v>6045956</v>
      </c>
    </row>
    <row r="859" spans="1:6" x14ac:dyDescent="0.2">
      <c r="A859" s="4">
        <v>45719</v>
      </c>
      <c r="B859" s="5">
        <v>38.17</v>
      </c>
      <c r="C859" s="5">
        <v>38.405000000000001</v>
      </c>
      <c r="D859" s="5">
        <v>37.770000000000003</v>
      </c>
      <c r="E859" s="5">
        <v>37.950000000000003</v>
      </c>
      <c r="F859" s="6">
        <v>3978770</v>
      </c>
    </row>
    <row r="860" spans="1:6" x14ac:dyDescent="0.2">
      <c r="A860" s="4">
        <v>45720</v>
      </c>
      <c r="B860" s="5">
        <v>38.659999999999997</v>
      </c>
      <c r="C860" s="5">
        <v>39.185000000000002</v>
      </c>
      <c r="D860" s="5">
        <v>38.36</v>
      </c>
      <c r="E860" s="5">
        <v>38.43</v>
      </c>
      <c r="F860" s="6">
        <v>6829920</v>
      </c>
    </row>
    <row r="861" spans="1:6" x14ac:dyDescent="0.2">
      <c r="A861" s="4">
        <v>45721</v>
      </c>
      <c r="B861" s="5">
        <v>38.4</v>
      </c>
      <c r="C861" s="5">
        <v>38.855800000000002</v>
      </c>
      <c r="D861" s="5">
        <v>38.369999999999997</v>
      </c>
      <c r="E861" s="5">
        <v>38.81</v>
      </c>
      <c r="F861" s="6">
        <v>2465902</v>
      </c>
    </row>
    <row r="862" spans="1:6" x14ac:dyDescent="0.2">
      <c r="A862" s="4">
        <v>45722</v>
      </c>
      <c r="B862" s="5">
        <v>38.61</v>
      </c>
      <c r="C862" s="5">
        <v>39.42</v>
      </c>
      <c r="D862" s="5">
        <v>38.6</v>
      </c>
      <c r="E862" s="5">
        <v>39.299999999999997</v>
      </c>
      <c r="F862" s="6">
        <v>5511194</v>
      </c>
    </row>
    <row r="863" spans="1:6" x14ac:dyDescent="0.2">
      <c r="A863" s="4">
        <v>45723</v>
      </c>
      <c r="B863" s="5">
        <v>39.5</v>
      </c>
      <c r="C863" s="5">
        <v>40.590000000000003</v>
      </c>
      <c r="D863" s="5">
        <v>39.479999999999997</v>
      </c>
      <c r="E863" s="5">
        <v>40.049999999999997</v>
      </c>
      <c r="F863" s="6">
        <v>8122546</v>
      </c>
    </row>
    <row r="864" spans="1:6" x14ac:dyDescent="0.2">
      <c r="A864" s="4">
        <v>45726</v>
      </c>
      <c r="B864" s="5">
        <v>40.369999999999997</v>
      </c>
      <c r="C864" s="5">
        <v>40.805</v>
      </c>
      <c r="D864" s="5">
        <v>40.094999999999999</v>
      </c>
      <c r="E864" s="5">
        <v>40.32</v>
      </c>
      <c r="F864" s="6">
        <v>7799319</v>
      </c>
    </row>
    <row r="865" spans="1:6" x14ac:dyDescent="0.2">
      <c r="A865" s="4">
        <v>45727</v>
      </c>
      <c r="B865" s="5">
        <v>40.119999999999997</v>
      </c>
      <c r="C865" s="5">
        <v>40.119999999999997</v>
      </c>
      <c r="D865" s="5">
        <v>39.33</v>
      </c>
      <c r="E865" s="5">
        <v>39.5</v>
      </c>
      <c r="F865" s="6">
        <v>6015119</v>
      </c>
    </row>
    <row r="866" spans="1:6" x14ac:dyDescent="0.2">
      <c r="A866" s="4">
        <v>45728</v>
      </c>
      <c r="B866" s="5">
        <v>39.32</v>
      </c>
      <c r="C866" s="5">
        <v>39.32</v>
      </c>
      <c r="D866" s="5">
        <v>38.78</v>
      </c>
      <c r="E866" s="5">
        <v>38.880000000000003</v>
      </c>
      <c r="F866" s="6">
        <v>5601119</v>
      </c>
    </row>
    <row r="867" spans="1:6" x14ac:dyDescent="0.2">
      <c r="A867" s="4">
        <v>45729</v>
      </c>
      <c r="B867" s="5">
        <v>39.020000000000003</v>
      </c>
      <c r="C867" s="5">
        <v>39.385100000000001</v>
      </c>
      <c r="D867" s="5">
        <v>38.924999999999997</v>
      </c>
      <c r="E867" s="5">
        <v>39.229999999999997</v>
      </c>
      <c r="F867" s="6">
        <v>3937653</v>
      </c>
    </row>
    <row r="868" spans="1:6" x14ac:dyDescent="0.2">
      <c r="A868" s="4">
        <v>45730</v>
      </c>
      <c r="B868" s="5">
        <v>39.21</v>
      </c>
      <c r="C868" s="5">
        <v>39.61</v>
      </c>
      <c r="D868" s="5">
        <v>39.049999999999997</v>
      </c>
      <c r="E868" s="5">
        <v>39.49</v>
      </c>
      <c r="F868" s="6">
        <v>4939691</v>
      </c>
    </row>
    <row r="869" spans="1:6" x14ac:dyDescent="0.2">
      <c r="A869" s="4">
        <v>45733</v>
      </c>
      <c r="B869" s="5">
        <v>39.880000000000003</v>
      </c>
      <c r="C869" s="5">
        <v>40.465000000000003</v>
      </c>
      <c r="D869" s="5">
        <v>39.846800000000002</v>
      </c>
      <c r="E869" s="5">
        <v>40.25</v>
      </c>
      <c r="F869" s="6">
        <v>4160818</v>
      </c>
    </row>
    <row r="870" spans="1:6" x14ac:dyDescent="0.2">
      <c r="A870" s="4">
        <v>45734</v>
      </c>
      <c r="B870" s="5">
        <v>40.229999999999997</v>
      </c>
      <c r="C870" s="5">
        <v>40.39</v>
      </c>
      <c r="D870" s="5">
        <v>40.11</v>
      </c>
      <c r="E870" s="5">
        <v>40.39</v>
      </c>
      <c r="F870" s="6">
        <v>3657702</v>
      </c>
    </row>
    <row r="871" spans="1:6" x14ac:dyDescent="0.2">
      <c r="A871" s="4">
        <v>45735</v>
      </c>
      <c r="B871" s="5">
        <v>39.549999999999997</v>
      </c>
      <c r="C871" s="5">
        <v>39.799999999999997</v>
      </c>
      <c r="D871" s="5">
        <v>39.265000000000001</v>
      </c>
      <c r="E871" s="5">
        <v>39.549999999999997</v>
      </c>
      <c r="F871" s="6">
        <v>4421106</v>
      </c>
    </row>
    <row r="872" spans="1:6" x14ac:dyDescent="0.2">
      <c r="A872" s="4">
        <v>45736</v>
      </c>
      <c r="B872" s="5">
        <v>39.58</v>
      </c>
      <c r="C872" s="5">
        <v>39.659999999999997</v>
      </c>
      <c r="D872" s="5">
        <v>39.24</v>
      </c>
      <c r="E872" s="5">
        <v>39.409999999999997</v>
      </c>
      <c r="F872" s="6">
        <v>3346134</v>
      </c>
    </row>
    <row r="873" spans="1:6" x14ac:dyDescent="0.2">
      <c r="A873" s="4">
        <v>45737</v>
      </c>
      <c r="B873" s="5">
        <v>39.29</v>
      </c>
      <c r="C873" s="5">
        <v>39.5</v>
      </c>
      <c r="D873" s="5">
        <v>39.14</v>
      </c>
      <c r="E873" s="5">
        <v>39.24</v>
      </c>
      <c r="F873" s="6">
        <v>4021638</v>
      </c>
    </row>
    <row r="874" spans="1:6" x14ac:dyDescent="0.2">
      <c r="A874" s="4">
        <v>45740</v>
      </c>
      <c r="B874" s="5">
        <v>38.770000000000003</v>
      </c>
      <c r="C874" s="5">
        <v>38.93</v>
      </c>
      <c r="D874" s="5">
        <v>38.47</v>
      </c>
      <c r="E874" s="5">
        <v>38.57</v>
      </c>
      <c r="F874" s="6">
        <v>4066945</v>
      </c>
    </row>
    <row r="875" spans="1:6" x14ac:dyDescent="0.2">
      <c r="A875" s="4">
        <v>45741</v>
      </c>
      <c r="B875" s="5">
        <v>39.28</v>
      </c>
      <c r="C875" s="5">
        <v>39.31</v>
      </c>
      <c r="D875" s="5">
        <v>38.51</v>
      </c>
      <c r="E875" s="5">
        <v>38.58</v>
      </c>
      <c r="F875" s="6">
        <v>5837805</v>
      </c>
    </row>
    <row r="876" spans="1:6" x14ac:dyDescent="0.2">
      <c r="A876" s="4">
        <v>45742</v>
      </c>
      <c r="B876" s="5">
        <v>38</v>
      </c>
      <c r="C876" s="5">
        <v>38.494999999999997</v>
      </c>
      <c r="D876" s="5">
        <v>37.76</v>
      </c>
      <c r="E876" s="5">
        <v>38.31</v>
      </c>
      <c r="F876" s="6">
        <v>4916160</v>
      </c>
    </row>
    <row r="877" spans="1:6" x14ac:dyDescent="0.2">
      <c r="A877" s="4">
        <v>45743</v>
      </c>
      <c r="B877" s="5">
        <v>38.314999999999998</v>
      </c>
      <c r="C877" s="5">
        <v>38.664999999999999</v>
      </c>
      <c r="D877" s="5">
        <v>38.314999999999998</v>
      </c>
      <c r="E877" s="5">
        <v>38.520000000000003</v>
      </c>
      <c r="F877" s="6">
        <v>2248301</v>
      </c>
    </row>
    <row r="878" spans="1:6" x14ac:dyDescent="0.2">
      <c r="A878" s="4">
        <v>45744</v>
      </c>
      <c r="B878" s="5">
        <v>38.81</v>
      </c>
      <c r="C878" s="5">
        <v>38.975000000000001</v>
      </c>
      <c r="D878" s="5">
        <v>38.590000000000003</v>
      </c>
      <c r="E878" s="5">
        <v>38.74</v>
      </c>
      <c r="F878" s="6">
        <v>3220710</v>
      </c>
    </row>
    <row r="879" spans="1:6" x14ac:dyDescent="0.2">
      <c r="A879" s="4">
        <v>45747</v>
      </c>
      <c r="B879" s="5">
        <v>38.11</v>
      </c>
      <c r="C879" s="5">
        <v>38.840000000000003</v>
      </c>
      <c r="D879" s="5">
        <v>37.880000000000003</v>
      </c>
      <c r="E879" s="5">
        <v>38.74</v>
      </c>
      <c r="F879" s="6">
        <v>5357845</v>
      </c>
    </row>
    <row r="880" spans="1:6" x14ac:dyDescent="0.2">
      <c r="A880" s="4">
        <v>45748</v>
      </c>
      <c r="B880" s="5">
        <v>38.729999999999997</v>
      </c>
      <c r="C880" s="5">
        <v>38.765000000000001</v>
      </c>
      <c r="D880" s="5">
        <v>37.68</v>
      </c>
      <c r="E880" s="5">
        <v>37.869999999999997</v>
      </c>
      <c r="F880" s="6">
        <v>5290738</v>
      </c>
    </row>
    <row r="881" spans="1:6" x14ac:dyDescent="0.2">
      <c r="A881" s="4">
        <v>45749</v>
      </c>
      <c r="B881" s="5">
        <v>37.384999999999998</v>
      </c>
      <c r="C881" s="5">
        <v>37.72</v>
      </c>
      <c r="D881" s="5">
        <v>37.17</v>
      </c>
      <c r="E881" s="5">
        <v>37.64</v>
      </c>
      <c r="F881" s="6">
        <v>3720508</v>
      </c>
    </row>
    <row r="882" spans="1:6" x14ac:dyDescent="0.2">
      <c r="A882" s="4">
        <v>45750</v>
      </c>
      <c r="B882" s="5">
        <v>39.090000000000003</v>
      </c>
      <c r="C882" s="5">
        <v>39.174999999999997</v>
      </c>
      <c r="D882" s="5">
        <v>38.47</v>
      </c>
      <c r="E882" s="5">
        <v>39.01</v>
      </c>
      <c r="F882" s="6">
        <v>10940010</v>
      </c>
    </row>
    <row r="883" spans="1:6" x14ac:dyDescent="0.2">
      <c r="A883" s="4">
        <v>45751</v>
      </c>
      <c r="B883" s="5">
        <v>37.74</v>
      </c>
      <c r="C883" s="5">
        <v>37.979999999999997</v>
      </c>
      <c r="D883" s="5">
        <v>36.270000000000003</v>
      </c>
      <c r="E883" s="5">
        <v>36.53</v>
      </c>
      <c r="F883" s="6">
        <v>10603740</v>
      </c>
    </row>
    <row r="884" spans="1:6" x14ac:dyDescent="0.2">
      <c r="A884" s="4">
        <v>45754</v>
      </c>
      <c r="B884" s="5">
        <v>34.51</v>
      </c>
      <c r="C884" s="5">
        <v>35.72</v>
      </c>
      <c r="D884" s="5">
        <v>34.18</v>
      </c>
      <c r="E884" s="5">
        <v>34.840000000000003</v>
      </c>
      <c r="F884" s="6">
        <v>7495426</v>
      </c>
    </row>
    <row r="885" spans="1:6" x14ac:dyDescent="0.2">
      <c r="A885" s="4">
        <v>45755</v>
      </c>
      <c r="B885" s="5">
        <v>35.06</v>
      </c>
      <c r="C885" s="5">
        <v>35.159999999999997</v>
      </c>
      <c r="D885" s="5">
        <v>33.72</v>
      </c>
      <c r="E885" s="5">
        <v>34.130000000000003</v>
      </c>
      <c r="F885" s="6">
        <v>7228764</v>
      </c>
    </row>
    <row r="886" spans="1:6" x14ac:dyDescent="0.2">
      <c r="A886" s="4">
        <v>45756</v>
      </c>
      <c r="B886" s="5">
        <v>32.590000000000003</v>
      </c>
      <c r="C886" s="5">
        <v>34.844999999999999</v>
      </c>
      <c r="D886" s="5">
        <v>32.380000000000003</v>
      </c>
      <c r="E886" s="5">
        <v>34.479999999999997</v>
      </c>
      <c r="F886" s="6">
        <v>9674183</v>
      </c>
    </row>
    <row r="887" spans="1:6" x14ac:dyDescent="0.2">
      <c r="A887" s="4">
        <v>45757</v>
      </c>
      <c r="B887" s="5">
        <v>34.24</v>
      </c>
      <c r="C887" s="5">
        <v>34.26</v>
      </c>
      <c r="D887" s="5">
        <v>32.729999999999997</v>
      </c>
      <c r="E887" s="5">
        <v>33.6</v>
      </c>
      <c r="F887" s="6">
        <v>8484822</v>
      </c>
    </row>
    <row r="888" spans="1:6" x14ac:dyDescent="0.2">
      <c r="A888" s="4">
        <v>45758</v>
      </c>
      <c r="B888" s="5">
        <v>33.770000000000003</v>
      </c>
      <c r="C888" s="5">
        <v>34.784999999999997</v>
      </c>
      <c r="D888" s="5">
        <v>33.53</v>
      </c>
      <c r="E888" s="5">
        <v>34.64</v>
      </c>
      <c r="F888" s="6">
        <v>9084666</v>
      </c>
    </row>
    <row r="889" spans="1:6" x14ac:dyDescent="0.2">
      <c r="A889" s="4">
        <v>45761</v>
      </c>
      <c r="B889" s="5">
        <v>34.82</v>
      </c>
      <c r="C889" s="5">
        <v>35.454999999999998</v>
      </c>
      <c r="D889" s="5">
        <v>34.729999999999997</v>
      </c>
      <c r="E889" s="5">
        <v>35.28</v>
      </c>
      <c r="F889" s="6">
        <v>5891978</v>
      </c>
    </row>
    <row r="890" spans="1:6" x14ac:dyDescent="0.2">
      <c r="A890" s="4">
        <v>45762</v>
      </c>
      <c r="B890" s="5">
        <v>35.86</v>
      </c>
      <c r="C890" s="5">
        <v>36.159999999999997</v>
      </c>
      <c r="D890" s="5">
        <v>35.515000000000001</v>
      </c>
      <c r="E890" s="5">
        <v>35.68</v>
      </c>
      <c r="F890" s="6">
        <v>3700686</v>
      </c>
    </row>
    <row r="891" spans="1:6" x14ac:dyDescent="0.2">
      <c r="A891" s="4">
        <v>45763</v>
      </c>
      <c r="B891" s="5">
        <v>35.82</v>
      </c>
      <c r="C891" s="5">
        <v>35.89</v>
      </c>
      <c r="D891" s="5">
        <v>35.28</v>
      </c>
      <c r="E891" s="5">
        <v>35.369999999999997</v>
      </c>
      <c r="F891" s="6">
        <v>2897666</v>
      </c>
    </row>
    <row r="892" spans="1:6" x14ac:dyDescent="0.2">
      <c r="A892" s="4">
        <v>45764</v>
      </c>
      <c r="B892" s="5">
        <v>35.15</v>
      </c>
      <c r="C892" s="5">
        <v>36.11</v>
      </c>
      <c r="D892" s="5">
        <v>35.08</v>
      </c>
      <c r="E892" s="5">
        <v>35.93</v>
      </c>
      <c r="F892" s="6">
        <v>4813943</v>
      </c>
    </row>
    <row r="893" spans="1:6" x14ac:dyDescent="0.2">
      <c r="A893" s="4">
        <v>45768</v>
      </c>
      <c r="B893" s="5">
        <v>36.15</v>
      </c>
      <c r="C893" s="5">
        <v>36.53</v>
      </c>
      <c r="D893" s="5">
        <v>35.795000000000002</v>
      </c>
      <c r="E893" s="5">
        <v>36.450000000000003</v>
      </c>
      <c r="F893" s="6">
        <v>6612621</v>
      </c>
    </row>
    <row r="894" spans="1:6" x14ac:dyDescent="0.2">
      <c r="A894" s="4">
        <v>45769</v>
      </c>
      <c r="B894" s="5">
        <v>36.1</v>
      </c>
      <c r="C894" s="5">
        <v>36.984999999999999</v>
      </c>
      <c r="D894" s="5">
        <v>36.075000000000003</v>
      </c>
      <c r="E894" s="5">
        <v>36.630000000000003</v>
      </c>
      <c r="F894" s="6">
        <v>6776530</v>
      </c>
    </row>
    <row r="895" spans="1:6" x14ac:dyDescent="0.2">
      <c r="A895" s="4">
        <v>45770</v>
      </c>
      <c r="B895" s="5">
        <v>37.1</v>
      </c>
      <c r="C895" s="5">
        <v>37.32</v>
      </c>
      <c r="D895" s="5">
        <v>36.72</v>
      </c>
      <c r="E895" s="5">
        <v>37.03</v>
      </c>
      <c r="F895" s="6">
        <v>4458712</v>
      </c>
    </row>
    <row r="896" spans="1:6" x14ac:dyDescent="0.2">
      <c r="A896" s="4">
        <v>45771</v>
      </c>
      <c r="B896" s="5">
        <v>37.04</v>
      </c>
      <c r="C896" s="5">
        <v>37.51</v>
      </c>
      <c r="D896" s="5">
        <v>36.835000000000001</v>
      </c>
      <c r="E896" s="5">
        <v>37.5</v>
      </c>
      <c r="F896" s="6">
        <v>4765088</v>
      </c>
    </row>
    <row r="897" spans="1:6" x14ac:dyDescent="0.2">
      <c r="A897" s="4">
        <v>45772</v>
      </c>
      <c r="B897" s="5">
        <v>37.450000000000003</v>
      </c>
      <c r="C897" s="5">
        <v>37.549999999999997</v>
      </c>
      <c r="D897" s="5">
        <v>37.04</v>
      </c>
      <c r="E897" s="5">
        <v>37.43</v>
      </c>
      <c r="F897" s="6">
        <v>3909323</v>
      </c>
    </row>
    <row r="898" spans="1:6" x14ac:dyDescent="0.2">
      <c r="A898" s="4">
        <v>45775</v>
      </c>
      <c r="B898" s="5">
        <v>37.78</v>
      </c>
      <c r="C898" s="5">
        <v>38.200000000000003</v>
      </c>
      <c r="D898" s="5">
        <v>37.770000000000003</v>
      </c>
      <c r="E898" s="5">
        <v>38.06</v>
      </c>
      <c r="F898" s="6">
        <v>5758835</v>
      </c>
    </row>
    <row r="899" spans="1:6" x14ac:dyDescent="0.2">
      <c r="A899" s="4">
        <v>45776</v>
      </c>
      <c r="B899" s="5">
        <v>38.5</v>
      </c>
      <c r="C899" s="5">
        <v>39.22</v>
      </c>
      <c r="D899" s="5">
        <v>38.229999999999997</v>
      </c>
      <c r="E899" s="5">
        <v>38.97</v>
      </c>
      <c r="F899" s="6">
        <v>8255873</v>
      </c>
    </row>
    <row r="900" spans="1:6" x14ac:dyDescent="0.2">
      <c r="A900" s="4">
        <v>45777</v>
      </c>
      <c r="B900" s="5">
        <v>40.18</v>
      </c>
      <c r="C900" s="5">
        <v>40.380000000000003</v>
      </c>
      <c r="D900" s="5">
        <v>39.229999999999997</v>
      </c>
      <c r="E900" s="5">
        <v>39.85</v>
      </c>
      <c r="F900" s="6">
        <v>8033136</v>
      </c>
    </row>
    <row r="901" spans="1:6" x14ac:dyDescent="0.2">
      <c r="A901" s="4">
        <v>45778</v>
      </c>
      <c r="B901" s="5">
        <v>39.42</v>
      </c>
      <c r="C901" s="5">
        <v>39.42</v>
      </c>
      <c r="D901" s="5">
        <v>38.72</v>
      </c>
      <c r="E901" s="5">
        <v>38.75</v>
      </c>
      <c r="F901" s="6">
        <v>4449688</v>
      </c>
    </row>
    <row r="902" spans="1:6" x14ac:dyDescent="0.2">
      <c r="A902" s="4">
        <v>45779</v>
      </c>
      <c r="B902" s="5">
        <v>39.44</v>
      </c>
      <c r="C902" s="5">
        <v>39.51</v>
      </c>
      <c r="D902" s="5">
        <v>38.585000000000001</v>
      </c>
      <c r="E902" s="5">
        <v>39.07</v>
      </c>
      <c r="F902" s="6">
        <v>4287438</v>
      </c>
    </row>
    <row r="903" spans="1:6" x14ac:dyDescent="0.2">
      <c r="A903" s="4">
        <v>45782</v>
      </c>
      <c r="B903" s="5">
        <v>39.11</v>
      </c>
      <c r="C903" s="5">
        <v>39.204999999999998</v>
      </c>
      <c r="D903" s="5">
        <v>38.83</v>
      </c>
      <c r="E903" s="5">
        <v>38.85</v>
      </c>
      <c r="F903" s="6">
        <v>2821018</v>
      </c>
    </row>
    <row r="904" spans="1:6" x14ac:dyDescent="0.2">
      <c r="A904" s="4">
        <v>45783</v>
      </c>
      <c r="B904" s="5">
        <v>39.229999999999997</v>
      </c>
      <c r="C904" s="5">
        <v>39.229999999999997</v>
      </c>
      <c r="D904" s="5">
        <v>37.479999999999997</v>
      </c>
      <c r="E904" s="5">
        <v>37.5</v>
      </c>
      <c r="F904" s="6">
        <v>9185610</v>
      </c>
    </row>
    <row r="905" spans="1:6" x14ac:dyDescent="0.2">
      <c r="A905" s="4">
        <v>45784</v>
      </c>
      <c r="B905" s="5">
        <v>37.19</v>
      </c>
      <c r="C905" s="5">
        <v>37.393900000000002</v>
      </c>
      <c r="D905" s="5">
        <v>36.92</v>
      </c>
      <c r="E905" s="5">
        <v>37.17</v>
      </c>
      <c r="F905" s="6">
        <v>5030292</v>
      </c>
    </row>
    <row r="906" spans="1:6" x14ac:dyDescent="0.2">
      <c r="A906" s="4">
        <v>45785</v>
      </c>
      <c r="B906" s="5">
        <v>36.729999999999997</v>
      </c>
      <c r="C906" s="5">
        <v>36.979999999999997</v>
      </c>
      <c r="D906" s="5">
        <v>36.414999999999999</v>
      </c>
      <c r="E906" s="5">
        <v>36.869999999999997</v>
      </c>
      <c r="F906" s="6">
        <v>5942866</v>
      </c>
    </row>
    <row r="907" spans="1:6" x14ac:dyDescent="0.2">
      <c r="A907" s="4">
        <v>45786</v>
      </c>
      <c r="B907" s="5">
        <v>36.9</v>
      </c>
      <c r="C907" s="5">
        <v>37.145000000000003</v>
      </c>
      <c r="D907" s="5">
        <v>36.590000000000003</v>
      </c>
      <c r="E907" s="5">
        <v>36.619999999999997</v>
      </c>
      <c r="F907" s="6">
        <v>3511872</v>
      </c>
    </row>
    <row r="908" spans="1:6" x14ac:dyDescent="0.2">
      <c r="A908" s="4">
        <v>45789</v>
      </c>
      <c r="B908" s="5">
        <v>36.630000000000003</v>
      </c>
      <c r="C908" s="5">
        <v>37.494999999999997</v>
      </c>
      <c r="D908" s="5">
        <v>36.505000000000003</v>
      </c>
      <c r="E908" s="5">
        <v>37.369999999999997</v>
      </c>
      <c r="F908" s="6">
        <v>6018253</v>
      </c>
    </row>
    <row r="909" spans="1:6" x14ac:dyDescent="0.2">
      <c r="A909" s="4">
        <v>45790</v>
      </c>
      <c r="B909" s="5">
        <v>36.68</v>
      </c>
      <c r="C909" s="5">
        <v>36.685000000000002</v>
      </c>
      <c r="D909" s="5">
        <v>36.17</v>
      </c>
      <c r="E909" s="5">
        <v>36.35</v>
      </c>
      <c r="F909" s="6">
        <v>5084195</v>
      </c>
    </row>
    <row r="910" spans="1:6" x14ac:dyDescent="0.2">
      <c r="A910" s="4">
        <v>45791</v>
      </c>
      <c r="B910" s="5">
        <v>36.78</v>
      </c>
      <c r="C910" s="5">
        <v>36.825000000000003</v>
      </c>
      <c r="D910" s="5">
        <v>36.195</v>
      </c>
      <c r="E910" s="5">
        <v>36.22</v>
      </c>
      <c r="F910" s="6">
        <v>7084171</v>
      </c>
    </row>
    <row r="911" spans="1:6" x14ac:dyDescent="0.2">
      <c r="A911" s="4">
        <v>45792</v>
      </c>
      <c r="B911" s="5">
        <v>36.479999999999997</v>
      </c>
      <c r="C911" s="5">
        <v>37.604999999999997</v>
      </c>
      <c r="D911" s="5">
        <v>36.33</v>
      </c>
      <c r="E911" s="5">
        <v>37.57</v>
      </c>
      <c r="F911" s="6">
        <v>7528211</v>
      </c>
    </row>
    <row r="912" spans="1:6" x14ac:dyDescent="0.2">
      <c r="A912" s="4">
        <v>45793</v>
      </c>
      <c r="B912" s="5">
        <v>37.119999999999997</v>
      </c>
      <c r="C912" s="5">
        <v>37.68</v>
      </c>
      <c r="D912" s="5">
        <v>37.090000000000003</v>
      </c>
      <c r="E912" s="5">
        <v>37.64</v>
      </c>
      <c r="F912" s="6">
        <v>7222246</v>
      </c>
    </row>
    <row r="913" spans="1:6" x14ac:dyDescent="0.2">
      <c r="A913" s="4">
        <v>45796</v>
      </c>
      <c r="B913" s="5">
        <v>37.58</v>
      </c>
      <c r="C913" s="5">
        <v>37.97</v>
      </c>
      <c r="D913" s="5">
        <v>37.42</v>
      </c>
      <c r="E913" s="5">
        <v>37.96</v>
      </c>
      <c r="F913" s="6">
        <v>3866897</v>
      </c>
    </row>
    <row r="914" spans="1:6" x14ac:dyDescent="0.2">
      <c r="A914" s="4">
        <v>45797</v>
      </c>
      <c r="B914" s="5">
        <v>38.39</v>
      </c>
      <c r="C914" s="5">
        <v>38.450000000000003</v>
      </c>
      <c r="D914" s="5">
        <v>37.979999999999997</v>
      </c>
      <c r="E914" s="5">
        <v>38.4</v>
      </c>
      <c r="F914" s="6">
        <v>2749166</v>
      </c>
    </row>
    <row r="915" spans="1:6" x14ac:dyDescent="0.2">
      <c r="A915" s="4">
        <v>45798</v>
      </c>
      <c r="B915" s="5">
        <v>38.69</v>
      </c>
      <c r="C915" s="5">
        <v>38.854999999999997</v>
      </c>
      <c r="D915" s="5">
        <v>38.47</v>
      </c>
      <c r="E915" s="5">
        <v>38.54</v>
      </c>
      <c r="F915" s="6">
        <v>2996428</v>
      </c>
    </row>
    <row r="916" spans="1:6" x14ac:dyDescent="0.2">
      <c r="A916" s="4">
        <v>45799</v>
      </c>
      <c r="B916" s="5">
        <v>38.39</v>
      </c>
      <c r="C916" s="5">
        <v>39.049999999999997</v>
      </c>
      <c r="D916" s="5">
        <v>38.305</v>
      </c>
      <c r="E916" s="5">
        <v>38.92</v>
      </c>
      <c r="F916" s="6">
        <v>5844906</v>
      </c>
    </row>
    <row r="917" spans="1:6" x14ac:dyDescent="0.2">
      <c r="A917" s="4">
        <v>45800</v>
      </c>
      <c r="B917" s="5">
        <v>38.74</v>
      </c>
      <c r="C917" s="5">
        <v>38.869999999999997</v>
      </c>
      <c r="D917" s="5">
        <v>38.61</v>
      </c>
      <c r="E917" s="5">
        <v>38.659999999999997</v>
      </c>
      <c r="F917" s="6">
        <v>3667064</v>
      </c>
    </row>
    <row r="918" spans="1:6" x14ac:dyDescent="0.2">
      <c r="A918" s="4">
        <v>45804</v>
      </c>
      <c r="B918" s="5">
        <v>39.534999999999997</v>
      </c>
      <c r="C918" s="5">
        <v>39.65</v>
      </c>
      <c r="D918" s="5">
        <v>39.31</v>
      </c>
      <c r="E918" s="5">
        <v>39.44</v>
      </c>
      <c r="F918" s="6">
        <v>3511835</v>
      </c>
    </row>
    <row r="919" spans="1:6" x14ac:dyDescent="0.2">
      <c r="A919" s="4">
        <v>45805</v>
      </c>
      <c r="B919" s="5">
        <v>39.090000000000003</v>
      </c>
      <c r="C919" s="5">
        <v>39.49</v>
      </c>
      <c r="D919" s="5">
        <v>39.045000000000002</v>
      </c>
      <c r="E919" s="5">
        <v>39.18</v>
      </c>
      <c r="F919" s="6">
        <v>4221416</v>
      </c>
    </row>
    <row r="920" spans="1:6" x14ac:dyDescent="0.2">
      <c r="A920" s="4">
        <v>45806</v>
      </c>
      <c r="B920" s="5">
        <v>39.26</v>
      </c>
      <c r="C920" s="5">
        <v>40.049999999999997</v>
      </c>
      <c r="D920" s="5">
        <v>39.22</v>
      </c>
      <c r="E920" s="5">
        <v>40</v>
      </c>
      <c r="F920" s="6">
        <v>5048296</v>
      </c>
    </row>
    <row r="921" spans="1:6" x14ac:dyDescent="0.2">
      <c r="A921" s="4">
        <v>45807</v>
      </c>
      <c r="B921" s="5">
        <v>40.465000000000003</v>
      </c>
      <c r="C921" s="5">
        <v>41.17</v>
      </c>
      <c r="D921" s="5">
        <v>40.17</v>
      </c>
      <c r="E921" s="5">
        <v>41.03</v>
      </c>
      <c r="F921" s="6">
        <v>7372579</v>
      </c>
    </row>
    <row r="922" spans="1:6" x14ac:dyDescent="0.2">
      <c r="A922" s="4">
        <v>45810</v>
      </c>
      <c r="B922" s="5">
        <v>41.38</v>
      </c>
      <c r="C922" s="5">
        <v>41.66</v>
      </c>
      <c r="D922" s="5">
        <v>41.03</v>
      </c>
      <c r="E922" s="5">
        <v>41.66</v>
      </c>
      <c r="F922" s="6">
        <v>4420011</v>
      </c>
    </row>
    <row r="923" spans="1:6" x14ac:dyDescent="0.2">
      <c r="A923" s="4">
        <v>45811</v>
      </c>
      <c r="B923" s="5">
        <v>40.68</v>
      </c>
      <c r="C923" s="5">
        <v>40.79</v>
      </c>
      <c r="D923" s="5">
        <v>40.17</v>
      </c>
      <c r="E923" s="5">
        <v>40.46</v>
      </c>
      <c r="F923" s="6">
        <v>6328903</v>
      </c>
    </row>
    <row r="924" spans="1:6" x14ac:dyDescent="0.2">
      <c r="A924" s="4">
        <v>45812</v>
      </c>
      <c r="B924" s="5">
        <v>40.54</v>
      </c>
      <c r="C924" s="5">
        <v>40.96</v>
      </c>
      <c r="D924" s="5">
        <v>40.54</v>
      </c>
      <c r="E924" s="5">
        <v>40.799999999999997</v>
      </c>
      <c r="F924" s="6">
        <v>2939921</v>
      </c>
    </row>
    <row r="925" spans="1:6" x14ac:dyDescent="0.2">
      <c r="A925" s="4">
        <v>45813</v>
      </c>
      <c r="B925" s="5">
        <v>41.02</v>
      </c>
      <c r="C925" s="5">
        <v>41.44</v>
      </c>
      <c r="D925" s="5">
        <v>40.854999999999997</v>
      </c>
      <c r="E925" s="5">
        <v>41.15</v>
      </c>
      <c r="F925" s="6">
        <v>3248815</v>
      </c>
    </row>
    <row r="926" spans="1:6" x14ac:dyDescent="0.2">
      <c r="A926" s="4">
        <v>45814</v>
      </c>
      <c r="B926" s="5">
        <v>41.04</v>
      </c>
      <c r="C926" s="5">
        <v>41.33</v>
      </c>
      <c r="D926" s="5">
        <v>40.96</v>
      </c>
      <c r="E926" s="5">
        <v>41.2</v>
      </c>
      <c r="F926" s="6">
        <v>3225597</v>
      </c>
    </row>
    <row r="927" spans="1:6" x14ac:dyDescent="0.2">
      <c r="A927" s="4">
        <v>45817</v>
      </c>
      <c r="B927" s="5">
        <v>41.055</v>
      </c>
      <c r="C927" s="5">
        <v>41.295000000000002</v>
      </c>
      <c r="D927" s="5">
        <v>40.83</v>
      </c>
      <c r="E927" s="5">
        <v>40.86</v>
      </c>
      <c r="F927" s="6">
        <v>3920110</v>
      </c>
    </row>
    <row r="928" spans="1:6" x14ac:dyDescent="0.2">
      <c r="A928" s="4">
        <v>45818</v>
      </c>
      <c r="B928" s="5">
        <v>40.68</v>
      </c>
      <c r="C928" s="5">
        <v>41.366500000000002</v>
      </c>
      <c r="D928" s="5">
        <v>40.67</v>
      </c>
      <c r="E928" s="5">
        <v>41.3</v>
      </c>
      <c r="F928" s="6">
        <v>5087865</v>
      </c>
    </row>
    <row r="929" spans="1:6" x14ac:dyDescent="0.2">
      <c r="A929" s="4">
        <v>45819</v>
      </c>
      <c r="B929" s="5">
        <v>41.35</v>
      </c>
      <c r="C929" s="5">
        <v>41.755000000000003</v>
      </c>
      <c r="D929" s="5">
        <v>41.32</v>
      </c>
      <c r="E929" s="5">
        <v>41.62</v>
      </c>
      <c r="F929" s="6">
        <v>4494382</v>
      </c>
    </row>
    <row r="930" spans="1:6" x14ac:dyDescent="0.2">
      <c r="A930" s="4">
        <v>45820</v>
      </c>
      <c r="B930" s="5">
        <v>42.21</v>
      </c>
      <c r="C930" s="5">
        <v>42.63</v>
      </c>
      <c r="D930" s="5">
        <v>42.09</v>
      </c>
      <c r="E930" s="5">
        <v>42.49</v>
      </c>
      <c r="F930" s="6">
        <v>3558863</v>
      </c>
    </row>
    <row r="931" spans="1:6" x14ac:dyDescent="0.2">
      <c r="A931" s="4">
        <v>45821</v>
      </c>
      <c r="B931" s="5">
        <v>41.62</v>
      </c>
      <c r="C931" s="5">
        <v>41.93</v>
      </c>
      <c r="D931" s="5">
        <v>40.81</v>
      </c>
      <c r="E931" s="5">
        <v>40.86</v>
      </c>
      <c r="F931" s="6">
        <v>7658807</v>
      </c>
    </row>
    <row r="932" spans="1:6" x14ac:dyDescent="0.2">
      <c r="A932" s="4">
        <v>45824</v>
      </c>
      <c r="B932" s="5">
        <v>40.93</v>
      </c>
      <c r="C932" s="5">
        <v>41.104999999999997</v>
      </c>
      <c r="D932" s="5">
        <v>40.354999999999997</v>
      </c>
      <c r="E932" s="5">
        <v>40.49</v>
      </c>
      <c r="F932" s="6">
        <v>4651855</v>
      </c>
    </row>
    <row r="933" spans="1:6" x14ac:dyDescent="0.2">
      <c r="A933" s="4">
        <v>45825</v>
      </c>
      <c r="B933" s="5">
        <v>40.200000000000003</v>
      </c>
      <c r="C933" s="5">
        <v>40.39</v>
      </c>
      <c r="D933" s="5">
        <v>39.643700000000003</v>
      </c>
      <c r="E933" s="5">
        <v>39.72</v>
      </c>
      <c r="F933" s="6">
        <v>4685472</v>
      </c>
    </row>
    <row r="934" spans="1:6" x14ac:dyDescent="0.2">
      <c r="A934" s="4">
        <v>45826</v>
      </c>
      <c r="B934" s="5">
        <v>39.47</v>
      </c>
      <c r="C934" s="5">
        <v>39.520000000000003</v>
      </c>
      <c r="D934" s="5">
        <v>38.58</v>
      </c>
      <c r="E934" s="5">
        <v>38.64</v>
      </c>
      <c r="F934" s="6">
        <v>8171577</v>
      </c>
    </row>
    <row r="935" spans="1:6" x14ac:dyDescent="0.2">
      <c r="A935" s="4">
        <v>45828</v>
      </c>
      <c r="B935" s="5">
        <v>38.72</v>
      </c>
      <c r="C935" s="5">
        <v>38.72</v>
      </c>
      <c r="D935" s="5">
        <v>37.814999999999998</v>
      </c>
      <c r="E935" s="5">
        <v>38.07</v>
      </c>
      <c r="F935" s="6">
        <v>8246148</v>
      </c>
    </row>
    <row r="936" spans="1:6" x14ac:dyDescent="0.2">
      <c r="A936" s="4">
        <v>45831</v>
      </c>
      <c r="B936" s="5">
        <v>37.799999999999997</v>
      </c>
      <c r="C936" s="5">
        <v>38.31</v>
      </c>
      <c r="D936" s="5">
        <v>37.79</v>
      </c>
      <c r="E936" s="5">
        <v>38.26</v>
      </c>
      <c r="F936" s="6">
        <v>4858851</v>
      </c>
    </row>
    <row r="937" spans="1:6" x14ac:dyDescent="0.2">
      <c r="A937" s="4">
        <v>45832</v>
      </c>
      <c r="B937" s="5">
        <v>38.49</v>
      </c>
      <c r="C937" s="5">
        <v>38.908999999999999</v>
      </c>
      <c r="D937" s="5">
        <v>38.4</v>
      </c>
      <c r="E937" s="5">
        <v>38.68</v>
      </c>
      <c r="F937" s="6">
        <v>4821255</v>
      </c>
    </row>
    <row r="938" spans="1:6" x14ac:dyDescent="0.2">
      <c r="A938" s="4">
        <v>45833</v>
      </c>
      <c r="B938" s="5">
        <v>38.39</v>
      </c>
      <c r="C938" s="5">
        <v>38.43</v>
      </c>
      <c r="D938" s="5">
        <v>38.15</v>
      </c>
      <c r="E938" s="5">
        <v>38.28</v>
      </c>
      <c r="F938" s="6">
        <v>3829520</v>
      </c>
    </row>
    <row r="939" spans="1:6" x14ac:dyDescent="0.2">
      <c r="A939" s="4">
        <v>45834</v>
      </c>
      <c r="B939" s="5">
        <v>38.520000000000003</v>
      </c>
      <c r="C939" s="5">
        <v>38.813000000000002</v>
      </c>
      <c r="D939" s="5">
        <v>38.380000000000003</v>
      </c>
      <c r="E939" s="5">
        <v>38.549999999999997</v>
      </c>
      <c r="F939" s="6">
        <v>4773211</v>
      </c>
    </row>
    <row r="940" spans="1:6" x14ac:dyDescent="0.2">
      <c r="A940" s="4">
        <v>45835</v>
      </c>
      <c r="B940" s="5">
        <v>38.74</v>
      </c>
      <c r="C940" s="5">
        <v>38.840000000000003</v>
      </c>
      <c r="D940" s="5">
        <v>38.395000000000003</v>
      </c>
      <c r="E940" s="5">
        <v>38.58</v>
      </c>
      <c r="F940" s="6">
        <v>4919232</v>
      </c>
    </row>
    <row r="941" spans="1:6" x14ac:dyDescent="0.2">
      <c r="A941" s="4">
        <v>45838</v>
      </c>
      <c r="B941" s="5">
        <v>38.51</v>
      </c>
      <c r="C941" s="5">
        <v>38.715400000000002</v>
      </c>
      <c r="D941" s="5">
        <v>38.22</v>
      </c>
      <c r="E941" s="5">
        <v>38.4</v>
      </c>
      <c r="F941" s="6">
        <v>4803745</v>
      </c>
    </row>
    <row r="942" spans="1:6" x14ac:dyDescent="0.2">
      <c r="A942" s="4">
        <v>45839</v>
      </c>
      <c r="B942" s="5">
        <v>38.479999999999997</v>
      </c>
      <c r="C942" s="5">
        <v>39.4</v>
      </c>
      <c r="D942" s="5">
        <v>38.325000000000003</v>
      </c>
      <c r="E942" s="5">
        <v>38.950000000000003</v>
      </c>
      <c r="F942" s="6">
        <v>6553798</v>
      </c>
    </row>
    <row r="943" spans="1:6" x14ac:dyDescent="0.2">
      <c r="A943" s="4">
        <v>45840</v>
      </c>
      <c r="B943" s="5">
        <v>38.51</v>
      </c>
      <c r="C943" s="5">
        <v>38.869999999999997</v>
      </c>
      <c r="D943" s="5">
        <v>38.28</v>
      </c>
      <c r="E943" s="5">
        <v>38.51</v>
      </c>
      <c r="F943" s="6">
        <v>4880440</v>
      </c>
    </row>
    <row r="944" spans="1:6" x14ac:dyDescent="0.2">
      <c r="A944" s="4">
        <v>45841</v>
      </c>
      <c r="B944" s="5">
        <v>38.369999999999997</v>
      </c>
      <c r="C944" s="5">
        <v>38.585000000000001</v>
      </c>
      <c r="D944" s="5">
        <v>37.93</v>
      </c>
      <c r="E944" s="5">
        <v>38.18</v>
      </c>
      <c r="F944" s="6">
        <v>3002585</v>
      </c>
    </row>
    <row r="945" spans="1:6" x14ac:dyDescent="0.2">
      <c r="A945" s="4">
        <v>45845</v>
      </c>
      <c r="B945" s="5">
        <v>38.19</v>
      </c>
      <c r="C945" s="5">
        <v>38.369999999999997</v>
      </c>
      <c r="D945" s="5">
        <v>38.015000000000001</v>
      </c>
      <c r="E945" s="5">
        <v>38.19</v>
      </c>
      <c r="F945" s="6">
        <v>3866114</v>
      </c>
    </row>
    <row r="946" spans="1:6" x14ac:dyDescent="0.2">
      <c r="A946" s="4">
        <v>45846</v>
      </c>
      <c r="B946" s="5">
        <v>37.97</v>
      </c>
      <c r="C946" s="5">
        <v>38.68</v>
      </c>
      <c r="D946" s="5">
        <v>37.94</v>
      </c>
      <c r="E946" s="5">
        <v>38.479999999999997</v>
      </c>
      <c r="F946" s="6">
        <v>5121333</v>
      </c>
    </row>
    <row r="947" spans="1:6" x14ac:dyDescent="0.2">
      <c r="A947" s="4">
        <v>45847</v>
      </c>
      <c r="B947" s="5">
        <v>38.71</v>
      </c>
      <c r="C947" s="5">
        <v>39.115000000000002</v>
      </c>
      <c r="D947" s="5">
        <v>38.68</v>
      </c>
      <c r="E947" s="5">
        <v>39.04</v>
      </c>
      <c r="F947" s="6">
        <v>3624560</v>
      </c>
    </row>
    <row r="948" spans="1:6" x14ac:dyDescent="0.2">
      <c r="A948" s="4">
        <v>45848</v>
      </c>
      <c r="B948" s="5">
        <v>39.39</v>
      </c>
      <c r="C948" s="5">
        <v>40.11</v>
      </c>
      <c r="D948" s="5">
        <v>39.31</v>
      </c>
      <c r="E948" s="5">
        <v>39.58</v>
      </c>
      <c r="F948" s="6">
        <v>6088931</v>
      </c>
    </row>
    <row r="949" spans="1:6" x14ac:dyDescent="0.2">
      <c r="A949" s="4">
        <v>45849</v>
      </c>
      <c r="B949" s="5">
        <v>38.700000000000003</v>
      </c>
      <c r="C949" s="5">
        <v>38.715000000000003</v>
      </c>
      <c r="D949" s="5">
        <v>38.15</v>
      </c>
      <c r="E949" s="5">
        <v>38.28</v>
      </c>
      <c r="F949" s="6">
        <v>6300029</v>
      </c>
    </row>
    <row r="950" spans="1:6" x14ac:dyDescent="0.2">
      <c r="A950" s="4">
        <v>45852</v>
      </c>
      <c r="B950" s="5">
        <v>38.340000000000003</v>
      </c>
      <c r="C950" s="5">
        <v>38.6</v>
      </c>
      <c r="D950" s="5">
        <v>38.193199999999997</v>
      </c>
      <c r="E950" s="5">
        <v>38.29</v>
      </c>
      <c r="F950" s="6">
        <v>4798013</v>
      </c>
    </row>
    <row r="951" spans="1:6" x14ac:dyDescent="0.2">
      <c r="A951" s="4">
        <v>45853</v>
      </c>
      <c r="B951" s="5">
        <v>38.97</v>
      </c>
      <c r="C951" s="5">
        <v>38.97</v>
      </c>
      <c r="D951" s="5">
        <v>37.585000000000001</v>
      </c>
      <c r="E951" s="5">
        <v>37.82</v>
      </c>
      <c r="F951" s="6">
        <v>8569349</v>
      </c>
    </row>
    <row r="952" spans="1:6" x14ac:dyDescent="0.2">
      <c r="A952" s="4">
        <v>45854</v>
      </c>
      <c r="B952" s="5">
        <v>37.880000000000003</v>
      </c>
      <c r="C952" s="5">
        <v>38.575000000000003</v>
      </c>
      <c r="D952" s="5">
        <v>37.869999999999997</v>
      </c>
      <c r="E952" s="5">
        <v>38.28</v>
      </c>
      <c r="F952" s="6">
        <v>6323837</v>
      </c>
    </row>
    <row r="953" spans="1:6" x14ac:dyDescent="0.2">
      <c r="A953" s="4">
        <v>45855</v>
      </c>
      <c r="B953" s="5">
        <v>37.950000000000003</v>
      </c>
      <c r="C953" s="5">
        <v>38.244999999999997</v>
      </c>
      <c r="D953" s="5">
        <v>35.450000000000003</v>
      </c>
      <c r="E953" s="5">
        <v>36.47</v>
      </c>
      <c r="F953" s="6">
        <v>14705980</v>
      </c>
    </row>
    <row r="954" spans="1:6" x14ac:dyDescent="0.2">
      <c r="A954" s="4">
        <v>45856</v>
      </c>
      <c r="B954" s="5">
        <v>36.799999999999997</v>
      </c>
      <c r="C954" s="5">
        <v>36.869999999999997</v>
      </c>
      <c r="D954" s="5">
        <v>36.159999999999997</v>
      </c>
      <c r="E954" s="5">
        <v>36.31</v>
      </c>
      <c r="F954" s="6">
        <v>6134638</v>
      </c>
    </row>
    <row r="955" spans="1:6" x14ac:dyDescent="0.2">
      <c r="A955" s="4">
        <v>45859</v>
      </c>
      <c r="B955" s="5">
        <v>36.29</v>
      </c>
      <c r="C955" s="5">
        <v>36.615000000000002</v>
      </c>
      <c r="D955" s="5">
        <v>36.19</v>
      </c>
      <c r="E955" s="5">
        <v>36.200000000000003</v>
      </c>
      <c r="F955" s="6">
        <v>3344162</v>
      </c>
    </row>
    <row r="956" spans="1:6" x14ac:dyDescent="0.2">
      <c r="A956" s="4">
        <v>45860</v>
      </c>
      <c r="B956" s="5">
        <v>36.35</v>
      </c>
      <c r="C956" s="5">
        <v>37.020000000000003</v>
      </c>
      <c r="D956" s="5">
        <v>36.340000000000003</v>
      </c>
      <c r="E956" s="5">
        <v>37.020000000000003</v>
      </c>
      <c r="F956" s="6">
        <v>5146643</v>
      </c>
    </row>
    <row r="957" spans="1:6" x14ac:dyDescent="0.2">
      <c r="A957" s="4">
        <v>45861</v>
      </c>
      <c r="B957" s="5">
        <v>37.15</v>
      </c>
      <c r="C957" s="5">
        <v>38.9</v>
      </c>
      <c r="D957" s="5">
        <v>37.130000000000003</v>
      </c>
      <c r="E957" s="5">
        <v>38.03</v>
      </c>
      <c r="F957" s="6">
        <v>13453960</v>
      </c>
    </row>
    <row r="958" spans="1:6" x14ac:dyDescent="0.2">
      <c r="A958" s="4">
        <v>45862</v>
      </c>
      <c r="B958" s="5">
        <v>37.93</v>
      </c>
      <c r="C958" s="5">
        <v>38.314999999999998</v>
      </c>
      <c r="D958" s="5">
        <v>37.770000000000003</v>
      </c>
      <c r="E958" s="5">
        <v>38.229999999999997</v>
      </c>
      <c r="F958" s="6">
        <v>4735200</v>
      </c>
    </row>
    <row r="959" spans="1:6" x14ac:dyDescent="0.2">
      <c r="A959" s="4">
        <v>45863</v>
      </c>
      <c r="B959" s="5">
        <v>37.71</v>
      </c>
      <c r="C959" s="5">
        <v>37.97</v>
      </c>
      <c r="D959" s="5">
        <v>37.51</v>
      </c>
      <c r="E959" s="5">
        <v>37.97</v>
      </c>
      <c r="F959" s="6">
        <v>4016820</v>
      </c>
    </row>
    <row r="960" spans="1:6" x14ac:dyDescent="0.2">
      <c r="A960" s="4">
        <v>45866</v>
      </c>
      <c r="B960" s="5">
        <v>37.96</v>
      </c>
      <c r="C960" s="5">
        <v>37.984999999999999</v>
      </c>
      <c r="D960" s="5">
        <v>37.305</v>
      </c>
      <c r="E960" s="5">
        <v>37.450000000000003</v>
      </c>
      <c r="F960" s="6">
        <v>3731451</v>
      </c>
    </row>
    <row r="961" spans="1:6" x14ac:dyDescent="0.2">
      <c r="A961" s="4">
        <v>45867</v>
      </c>
      <c r="B961" s="5">
        <v>37.43</v>
      </c>
      <c r="C961" s="5">
        <v>37.909999999999997</v>
      </c>
      <c r="D961" s="5">
        <v>37.1</v>
      </c>
      <c r="E961" s="5">
        <v>37.67</v>
      </c>
      <c r="F961" s="6">
        <v>6336387</v>
      </c>
    </row>
    <row r="962" spans="1:6" x14ac:dyDescent="0.2">
      <c r="A962" s="4">
        <v>45868</v>
      </c>
      <c r="B962" s="5">
        <v>38.32</v>
      </c>
      <c r="C962" s="5">
        <v>39.164999999999999</v>
      </c>
      <c r="D962" s="5">
        <v>38.26</v>
      </c>
      <c r="E962" s="5">
        <v>38.97</v>
      </c>
      <c r="F962" s="6">
        <v>7846799</v>
      </c>
    </row>
    <row r="963" spans="1:6" x14ac:dyDescent="0.2">
      <c r="A963" s="4">
        <v>45869</v>
      </c>
      <c r="B963" s="5">
        <v>37.454999999999998</v>
      </c>
      <c r="C963" s="5">
        <v>38.22</v>
      </c>
      <c r="D963" s="5">
        <v>37.085000000000001</v>
      </c>
      <c r="E963" s="5">
        <v>37.15</v>
      </c>
      <c r="F963" s="6">
        <v>8005923</v>
      </c>
    </row>
    <row r="964" spans="1:6" x14ac:dyDescent="0.2">
      <c r="A964" s="4">
        <v>45870</v>
      </c>
      <c r="B964" s="5">
        <v>37.68</v>
      </c>
      <c r="C964" s="5">
        <v>37.784999999999997</v>
      </c>
      <c r="D964" s="5">
        <v>37.174999999999997</v>
      </c>
      <c r="E964" s="5">
        <v>37.56</v>
      </c>
      <c r="F964" s="6">
        <v>3678368</v>
      </c>
    </row>
    <row r="965" spans="1:6" x14ac:dyDescent="0.2">
      <c r="A965" s="4">
        <v>45873</v>
      </c>
      <c r="B965" s="5">
        <v>37.119999999999997</v>
      </c>
      <c r="C965" s="5">
        <v>37.68</v>
      </c>
      <c r="D965" s="5">
        <v>37.04</v>
      </c>
      <c r="E965" s="5">
        <v>37.68</v>
      </c>
      <c r="F965" s="6">
        <v>3288143</v>
      </c>
    </row>
    <row r="966" spans="1:6" x14ac:dyDescent="0.2">
      <c r="A966" s="4">
        <v>45874</v>
      </c>
      <c r="B966" s="5">
        <v>37.58</v>
      </c>
      <c r="C966" s="5">
        <v>37.67</v>
      </c>
      <c r="D966" s="5">
        <v>37.085000000000001</v>
      </c>
      <c r="E966" s="5">
        <v>37.32</v>
      </c>
      <c r="F966" s="6">
        <v>3405394</v>
      </c>
    </row>
    <row r="967" spans="1:6" x14ac:dyDescent="0.2">
      <c r="A967" s="4">
        <v>45875</v>
      </c>
      <c r="B967" s="5">
        <v>37.14</v>
      </c>
      <c r="C967" s="5">
        <v>37.380000000000003</v>
      </c>
      <c r="D967" s="5">
        <v>36.75</v>
      </c>
      <c r="E967" s="5">
        <v>36.75</v>
      </c>
      <c r="F967" s="6">
        <v>3121336</v>
      </c>
    </row>
    <row r="968" spans="1:6" x14ac:dyDescent="0.2">
      <c r="A968" s="4">
        <v>45876</v>
      </c>
      <c r="B968" s="5">
        <v>37.14</v>
      </c>
      <c r="C968" s="5">
        <v>37.795000000000002</v>
      </c>
      <c r="D968" s="5">
        <v>37.07</v>
      </c>
      <c r="E968" s="5">
        <v>37.58</v>
      </c>
      <c r="F968" s="6">
        <v>3709763</v>
      </c>
    </row>
    <row r="969" spans="1:6" x14ac:dyDescent="0.2">
      <c r="A969" s="4">
        <v>45877</v>
      </c>
      <c r="B969" s="5">
        <v>37.71</v>
      </c>
      <c r="C969" s="5">
        <v>37.97</v>
      </c>
      <c r="D969" s="5">
        <v>37.67</v>
      </c>
      <c r="E969" s="5">
        <v>37.799999999999997</v>
      </c>
      <c r="F969" s="6">
        <v>3409790</v>
      </c>
    </row>
    <row r="970" spans="1:6" x14ac:dyDescent="0.2">
      <c r="A970" s="4">
        <v>45880</v>
      </c>
      <c r="B970" s="5">
        <v>37.96</v>
      </c>
      <c r="C970" s="5">
        <v>38.195999999999998</v>
      </c>
      <c r="D970" s="5">
        <v>37.71</v>
      </c>
      <c r="E970" s="5">
        <v>37.71</v>
      </c>
      <c r="F970" s="6">
        <v>2605580</v>
      </c>
    </row>
    <row r="971" spans="1:6" x14ac:dyDescent="0.2">
      <c r="A971" s="4">
        <v>45881</v>
      </c>
      <c r="B971" s="5">
        <v>37.880000000000003</v>
      </c>
      <c r="C971" s="5">
        <v>38.268999999999998</v>
      </c>
      <c r="D971" s="5">
        <v>37.799999999999997</v>
      </c>
      <c r="E971" s="5">
        <v>38.22</v>
      </c>
      <c r="F971" s="6">
        <v>2656232</v>
      </c>
    </row>
    <row r="972" spans="1:6" x14ac:dyDescent="0.2">
      <c r="A972" s="4">
        <v>45882</v>
      </c>
      <c r="B972" s="5">
        <v>38.75</v>
      </c>
      <c r="C972" s="5">
        <v>39.33</v>
      </c>
      <c r="D972" s="5">
        <v>38.615000000000002</v>
      </c>
      <c r="E972" s="5">
        <v>39.130000000000003</v>
      </c>
      <c r="F972" s="6">
        <v>3493245</v>
      </c>
    </row>
    <row r="973" spans="1:6" x14ac:dyDescent="0.2">
      <c r="A973" s="4">
        <v>45883</v>
      </c>
      <c r="B973" s="5">
        <v>38.75</v>
      </c>
      <c r="C973" s="5">
        <v>39.229999999999997</v>
      </c>
      <c r="D973" s="5">
        <v>38.64</v>
      </c>
      <c r="E973" s="5">
        <v>39.229999999999997</v>
      </c>
      <c r="F973" s="6">
        <v>2705251</v>
      </c>
    </row>
    <row r="974" spans="1:6" x14ac:dyDescent="0.2">
      <c r="A974" s="4">
        <v>45884</v>
      </c>
      <c r="B974" s="5">
        <v>38.72</v>
      </c>
      <c r="C974" s="5">
        <v>39.36</v>
      </c>
      <c r="D974" s="5">
        <v>38.700000000000003</v>
      </c>
      <c r="E974" s="5">
        <v>39.36</v>
      </c>
      <c r="F974" s="6">
        <v>3038542</v>
      </c>
    </row>
    <row r="975" spans="1:6" x14ac:dyDescent="0.2">
      <c r="A975" s="4">
        <v>45887</v>
      </c>
      <c r="B975" s="5">
        <v>39.24</v>
      </c>
      <c r="C975" s="5">
        <v>39.36</v>
      </c>
      <c r="D975" s="5">
        <v>39.020000000000003</v>
      </c>
      <c r="E975" s="5">
        <v>39.07</v>
      </c>
      <c r="F975" s="6">
        <v>2442386</v>
      </c>
    </row>
    <row r="976" spans="1:6" x14ac:dyDescent="0.2">
      <c r="A976" s="4">
        <v>45888</v>
      </c>
      <c r="B976" s="5">
        <v>39.15</v>
      </c>
      <c r="C976" s="5">
        <v>39.625</v>
      </c>
      <c r="D976" s="5">
        <v>39.15</v>
      </c>
      <c r="E976" s="5">
        <v>39.619999999999997</v>
      </c>
      <c r="F976" s="6">
        <v>3447859</v>
      </c>
    </row>
    <row r="977" spans="1:6" x14ac:dyDescent="0.2">
      <c r="A977" s="4">
        <v>45889</v>
      </c>
      <c r="B977" s="5">
        <v>39.81</v>
      </c>
      <c r="C977" s="5">
        <v>40.545000000000002</v>
      </c>
      <c r="D977" s="5">
        <v>39.81</v>
      </c>
      <c r="E977" s="5">
        <v>40.07</v>
      </c>
      <c r="F977" s="6">
        <v>4492319</v>
      </c>
    </row>
    <row r="978" spans="1:6" x14ac:dyDescent="0.2">
      <c r="A978" s="4">
        <v>45890</v>
      </c>
      <c r="B978" s="5">
        <v>40.090000000000003</v>
      </c>
      <c r="C978" s="5">
        <v>40.335599999999999</v>
      </c>
      <c r="D978" s="5">
        <v>40.034999999999997</v>
      </c>
      <c r="E978" s="5">
        <v>40.08</v>
      </c>
      <c r="F978" s="6">
        <v>2140009</v>
      </c>
    </row>
    <row r="979" spans="1:6" x14ac:dyDescent="0.2">
      <c r="A979" s="4">
        <v>45891</v>
      </c>
      <c r="B979" s="5">
        <v>40.36</v>
      </c>
      <c r="C979" s="5">
        <v>40.57</v>
      </c>
      <c r="D979" s="5">
        <v>40.08</v>
      </c>
      <c r="E979" s="5">
        <v>40.19</v>
      </c>
      <c r="F979" s="6">
        <v>3403653</v>
      </c>
    </row>
    <row r="980" spans="1:6" x14ac:dyDescent="0.2">
      <c r="A980" s="4">
        <v>45894</v>
      </c>
      <c r="B980" s="5">
        <v>40.19</v>
      </c>
      <c r="C980" s="5">
        <v>40.24</v>
      </c>
      <c r="D980" s="5">
        <v>39.57</v>
      </c>
      <c r="E980" s="5">
        <v>39.64</v>
      </c>
      <c r="F980" s="6">
        <v>1877928</v>
      </c>
    </row>
    <row r="981" spans="1:6" x14ac:dyDescent="0.2">
      <c r="A981" s="4">
        <v>45895</v>
      </c>
      <c r="B981" s="5">
        <v>40.08</v>
      </c>
      <c r="C981" s="5">
        <v>40.090000000000003</v>
      </c>
      <c r="D981" s="5">
        <v>39.61</v>
      </c>
      <c r="E981" s="5">
        <v>39.83</v>
      </c>
      <c r="F981" s="6">
        <v>2280594</v>
      </c>
    </row>
    <row r="982" spans="1:6" x14ac:dyDescent="0.2">
      <c r="A982" s="4">
        <v>45896</v>
      </c>
      <c r="B982" s="5">
        <v>39.909999999999997</v>
      </c>
      <c r="C982" s="5">
        <v>40.130000000000003</v>
      </c>
      <c r="D982" s="5">
        <v>39.76</v>
      </c>
      <c r="E982" s="5">
        <v>39.909999999999997</v>
      </c>
      <c r="F982" s="6">
        <v>3757999</v>
      </c>
    </row>
    <row r="983" spans="1:6" x14ac:dyDescent="0.2">
      <c r="A983" s="4">
        <v>45897</v>
      </c>
      <c r="B983" s="5">
        <v>39.869999999999997</v>
      </c>
      <c r="C983" s="5">
        <v>39.880000000000003</v>
      </c>
      <c r="D983" s="5">
        <v>39.409999999999997</v>
      </c>
      <c r="E983" s="5">
        <v>39.44</v>
      </c>
      <c r="F983" s="6">
        <v>4676933</v>
      </c>
    </row>
    <row r="984" spans="1:6" x14ac:dyDescent="0.2">
      <c r="A984" s="4">
        <v>45898</v>
      </c>
      <c r="B984" s="5">
        <v>39.32</v>
      </c>
      <c r="C984" s="5">
        <v>39.69</v>
      </c>
      <c r="D984" s="5">
        <v>39.21</v>
      </c>
      <c r="E984" s="5">
        <v>39.67</v>
      </c>
      <c r="F984" s="6">
        <v>3591556</v>
      </c>
    </row>
    <row r="985" spans="1:6" x14ac:dyDescent="0.2">
      <c r="A985" s="4">
        <v>45902</v>
      </c>
      <c r="B985" s="5">
        <v>39.159999999999997</v>
      </c>
      <c r="C985" s="5">
        <v>39.53</v>
      </c>
      <c r="D985" s="5">
        <v>38.630000000000003</v>
      </c>
      <c r="E985" s="5">
        <v>38.96</v>
      </c>
      <c r="F985" s="6">
        <v>4325820</v>
      </c>
    </row>
    <row r="986" spans="1:6" x14ac:dyDescent="0.2">
      <c r="A986" s="4">
        <v>45903</v>
      </c>
      <c r="B986" s="5">
        <v>39.24</v>
      </c>
      <c r="C986" s="5">
        <v>39.700000000000003</v>
      </c>
      <c r="D986" s="5">
        <v>39.17</v>
      </c>
      <c r="E986" s="5">
        <v>39.36</v>
      </c>
      <c r="F986" s="6">
        <v>4207597</v>
      </c>
    </row>
    <row r="987" spans="1:6" x14ac:dyDescent="0.2">
      <c r="A987" s="4">
        <v>45904</v>
      </c>
      <c r="B987" s="5">
        <v>39.36</v>
      </c>
      <c r="C987" s="5">
        <v>39.69</v>
      </c>
      <c r="D987" s="5">
        <v>39.18</v>
      </c>
      <c r="E987" s="5">
        <v>39.61</v>
      </c>
      <c r="F987" s="6">
        <v>2935651</v>
      </c>
    </row>
    <row r="988" spans="1:6" x14ac:dyDescent="0.2">
      <c r="A988" s="4">
        <v>45905</v>
      </c>
      <c r="B988" s="5">
        <v>39.89</v>
      </c>
      <c r="C988" s="5">
        <v>40.71</v>
      </c>
      <c r="D988" s="5">
        <v>39.85</v>
      </c>
      <c r="E988" s="5">
        <v>40.5</v>
      </c>
      <c r="F988" s="6">
        <v>6540654</v>
      </c>
    </row>
    <row r="989" spans="1:6" x14ac:dyDescent="0.2">
      <c r="A989" s="4">
        <v>45908</v>
      </c>
      <c r="B989" s="5">
        <v>39.76</v>
      </c>
      <c r="C989" s="5">
        <v>40.08</v>
      </c>
      <c r="D989" s="5">
        <v>39.369999999999997</v>
      </c>
      <c r="E989" s="5">
        <v>40.049999999999997</v>
      </c>
      <c r="F989" s="6">
        <v>2817444</v>
      </c>
    </row>
    <row r="990" spans="1:6" x14ac:dyDescent="0.2">
      <c r="A990" s="4">
        <v>45909</v>
      </c>
      <c r="B990" s="5">
        <v>40.42</v>
      </c>
      <c r="C990" s="5">
        <v>41</v>
      </c>
      <c r="D990" s="5">
        <v>40.340000000000003</v>
      </c>
      <c r="E990" s="5">
        <v>40.78</v>
      </c>
      <c r="F990" s="6">
        <v>9420887</v>
      </c>
    </row>
    <row r="991" spans="1:6" x14ac:dyDescent="0.2">
      <c r="A991" s="4">
        <v>45910</v>
      </c>
      <c r="B991" s="5">
        <v>40.54</v>
      </c>
      <c r="C991" s="5">
        <v>40.630000000000003</v>
      </c>
      <c r="D991" s="5">
        <v>40.380000000000003</v>
      </c>
      <c r="E991" s="5">
        <v>40.5</v>
      </c>
      <c r="F991" s="6">
        <v>3014128</v>
      </c>
    </row>
    <row r="992" spans="1:6" x14ac:dyDescent="0.2">
      <c r="A992" s="4">
        <v>45911</v>
      </c>
      <c r="B992" s="5">
        <v>40.909999999999997</v>
      </c>
      <c r="C992" s="5">
        <v>41.53</v>
      </c>
      <c r="D992" s="5">
        <v>40.840000000000003</v>
      </c>
      <c r="E992" s="5">
        <v>41.48</v>
      </c>
      <c r="F992" s="6">
        <v>2653424</v>
      </c>
    </row>
    <row r="993" spans="1:6" x14ac:dyDescent="0.2">
      <c r="A993" s="4">
        <v>45912</v>
      </c>
      <c r="B993" s="5">
        <v>41.24</v>
      </c>
      <c r="C993" s="5">
        <v>41.39</v>
      </c>
      <c r="D993" s="5">
        <v>40.5</v>
      </c>
      <c r="E993" s="5">
        <v>40.83</v>
      </c>
      <c r="F993" s="6">
        <v>4741975</v>
      </c>
    </row>
    <row r="994" spans="1:6" x14ac:dyDescent="0.2">
      <c r="A994" s="4">
        <v>45915</v>
      </c>
      <c r="B994" s="5">
        <v>40.700000000000003</v>
      </c>
      <c r="C994" s="5">
        <v>40.81</v>
      </c>
      <c r="D994" s="5">
        <v>40.234999999999999</v>
      </c>
      <c r="E994" s="5">
        <v>40.299999999999997</v>
      </c>
      <c r="F994" s="6">
        <v>2793662</v>
      </c>
    </row>
    <row r="995" spans="1:6" x14ac:dyDescent="0.2">
      <c r="A995" s="4">
        <v>45916</v>
      </c>
      <c r="B995" s="5">
        <v>40.299999999999997</v>
      </c>
      <c r="C995" s="5">
        <v>40.42</v>
      </c>
      <c r="D995" s="5">
        <v>40.024999999999999</v>
      </c>
      <c r="E995" s="5">
        <v>40.049999999999997</v>
      </c>
      <c r="F995" s="6">
        <v>3238835</v>
      </c>
    </row>
    <row r="996" spans="1:6" x14ac:dyDescent="0.2">
      <c r="A996" s="4">
        <v>45917</v>
      </c>
      <c r="B996" s="5">
        <v>40.28</v>
      </c>
      <c r="C996" s="5">
        <v>40.524999999999999</v>
      </c>
      <c r="D996" s="5">
        <v>40.130000000000003</v>
      </c>
      <c r="E996" s="5">
        <v>40.36</v>
      </c>
      <c r="F996" s="6">
        <v>3929480</v>
      </c>
    </row>
    <row r="997" spans="1:6" x14ac:dyDescent="0.2">
      <c r="A997" s="4">
        <v>45918</v>
      </c>
      <c r="B997" s="5">
        <v>40.1</v>
      </c>
      <c r="C997" s="5">
        <v>40.36</v>
      </c>
      <c r="D997" s="5">
        <v>40.045000000000002</v>
      </c>
      <c r="E997" s="5">
        <v>40.299999999999997</v>
      </c>
      <c r="F997" s="6">
        <v>2019919</v>
      </c>
    </row>
    <row r="998" spans="1:6" x14ac:dyDescent="0.2">
      <c r="A998" s="4">
        <v>45919</v>
      </c>
      <c r="B998" s="5">
        <v>40.64</v>
      </c>
      <c r="C998" s="5">
        <v>40.83</v>
      </c>
      <c r="D998" s="5">
        <v>40.505000000000003</v>
      </c>
      <c r="E998" s="5">
        <v>40.67</v>
      </c>
      <c r="F998" s="6">
        <v>3691390</v>
      </c>
    </row>
    <row r="999" spans="1:6" x14ac:dyDescent="0.2">
      <c r="A999" s="4">
        <v>45922</v>
      </c>
      <c r="B999" s="5">
        <v>40.65</v>
      </c>
      <c r="C999" s="5">
        <v>41.1</v>
      </c>
      <c r="D999" s="5">
        <v>40.53</v>
      </c>
      <c r="E999" s="5">
        <v>40.909999999999997</v>
      </c>
      <c r="F999" s="6">
        <v>3093521</v>
      </c>
    </row>
    <row r="1000" spans="1:6" x14ac:dyDescent="0.2">
      <c r="A1000" s="4">
        <v>45923</v>
      </c>
      <c r="B1000" s="5">
        <v>40.93</v>
      </c>
      <c r="C1000" s="5">
        <v>40.93</v>
      </c>
      <c r="D1000" s="5">
        <v>40.454999999999998</v>
      </c>
      <c r="E1000" s="5">
        <v>40.520000000000003</v>
      </c>
      <c r="F1000" s="6">
        <v>3389282</v>
      </c>
    </row>
    <row r="1001" spans="1:6" x14ac:dyDescent="0.2">
      <c r="A1001" s="4">
        <v>45924</v>
      </c>
      <c r="B1001" s="5">
        <v>40.11</v>
      </c>
      <c r="C1001" s="5">
        <v>40.365000000000002</v>
      </c>
      <c r="D1001" s="5">
        <v>39.920200000000001</v>
      </c>
      <c r="E1001" s="5">
        <v>40.18</v>
      </c>
      <c r="F1001" s="6">
        <v>3286115</v>
      </c>
    </row>
    <row r="1002" spans="1:6" x14ac:dyDescent="0.2">
      <c r="A1002" s="4">
        <v>45925</v>
      </c>
      <c r="B1002" s="5">
        <v>40.159999999999997</v>
      </c>
      <c r="C1002" s="5">
        <v>40.229999999999997</v>
      </c>
      <c r="D1002" s="5">
        <v>39.29</v>
      </c>
      <c r="E1002" s="5">
        <v>39.520000000000003</v>
      </c>
      <c r="F1002" s="6">
        <v>4638071</v>
      </c>
    </row>
    <row r="1003" spans="1:6" x14ac:dyDescent="0.2">
      <c r="A1003" s="4">
        <v>45926</v>
      </c>
      <c r="B1003" s="5">
        <v>39.93</v>
      </c>
      <c r="C1003" s="5">
        <v>40.229999999999997</v>
      </c>
      <c r="D1003" s="5">
        <v>39.46</v>
      </c>
      <c r="E1003" s="5">
        <v>39.85</v>
      </c>
      <c r="F1003" s="6">
        <v>4760844</v>
      </c>
    </row>
    <row r="1004" spans="1:6" x14ac:dyDescent="0.2">
      <c r="A1004" s="4">
        <v>45929</v>
      </c>
      <c r="B1004" s="5">
        <v>40.484999999999999</v>
      </c>
      <c r="C1004" s="5">
        <v>41.1</v>
      </c>
      <c r="D1004" s="5">
        <v>40.36</v>
      </c>
      <c r="E1004" s="5">
        <v>41.1</v>
      </c>
      <c r="F1004" s="6">
        <v>7271643</v>
      </c>
    </row>
    <row r="1005" spans="1:6" x14ac:dyDescent="0.2">
      <c r="A1005" s="4">
        <v>45930</v>
      </c>
      <c r="B1005" s="5">
        <v>41.85</v>
      </c>
      <c r="C1005" s="5">
        <v>43.32</v>
      </c>
      <c r="D1005" s="5">
        <v>41.75</v>
      </c>
      <c r="E1005" s="5">
        <v>43.16</v>
      </c>
      <c r="F1005" s="6">
        <v>11695550</v>
      </c>
    </row>
    <row r="1006" spans="1:6" x14ac:dyDescent="0.2">
      <c r="A1006" s="4">
        <v>45931</v>
      </c>
      <c r="B1006" s="5">
        <v>44.22</v>
      </c>
      <c r="C1006" s="5">
        <v>45.59</v>
      </c>
      <c r="D1006" s="5">
        <v>44.17</v>
      </c>
      <c r="E1006" s="5">
        <v>45.51</v>
      </c>
      <c r="F1006" s="6">
        <v>14144170</v>
      </c>
    </row>
    <row r="1007" spans="1:6" x14ac:dyDescent="0.2">
      <c r="A1007" s="4">
        <v>45932</v>
      </c>
      <c r="B1007" s="5">
        <v>44.71</v>
      </c>
      <c r="C1007" s="5">
        <v>44.96</v>
      </c>
      <c r="D1007" s="5">
        <v>43.645000000000003</v>
      </c>
      <c r="E1007" s="5">
        <v>43.69</v>
      </c>
      <c r="F1007" s="6">
        <v>13319350</v>
      </c>
    </row>
    <row r="1008" spans="1:6" x14ac:dyDescent="0.2">
      <c r="A1008" s="4">
        <v>45933</v>
      </c>
      <c r="B1008" s="5">
        <v>44.07</v>
      </c>
      <c r="C1008" s="5">
        <v>44.255000000000003</v>
      </c>
      <c r="D1008" s="5">
        <v>43.04</v>
      </c>
      <c r="E1008" s="5">
        <v>43.35</v>
      </c>
      <c r="F1008" s="6">
        <v>13115770</v>
      </c>
    </row>
    <row r="1009" spans="1:6" x14ac:dyDescent="0.2">
      <c r="A1009" s="4">
        <v>45936</v>
      </c>
      <c r="B1009" s="5">
        <v>43.7</v>
      </c>
      <c r="C1009" s="5">
        <v>44.02</v>
      </c>
      <c r="D1009" s="5">
        <v>43.35</v>
      </c>
      <c r="E1009" s="5">
        <v>43.45</v>
      </c>
      <c r="F1009" s="6">
        <v>6465430</v>
      </c>
    </row>
    <row r="1010" spans="1:6" x14ac:dyDescent="0.2">
      <c r="A1010" s="4">
        <v>45937</v>
      </c>
      <c r="B1010" s="5">
        <v>43.26</v>
      </c>
      <c r="C1010" s="5">
        <v>43.674999999999997</v>
      </c>
      <c r="D1010" s="5">
        <v>43.09</v>
      </c>
      <c r="E1010" s="5">
        <v>43.5</v>
      </c>
      <c r="F1010" s="6">
        <v>3867853</v>
      </c>
    </row>
    <row r="1011" spans="1:6" x14ac:dyDescent="0.2">
      <c r="A1011" s="4">
        <v>45938</v>
      </c>
      <c r="B1011" s="5">
        <v>43.76</v>
      </c>
      <c r="C1011" s="5">
        <v>43.9</v>
      </c>
      <c r="D1011" s="5">
        <v>43.34</v>
      </c>
      <c r="E1011" s="5">
        <v>43.35</v>
      </c>
      <c r="F1011" s="6">
        <v>2947936</v>
      </c>
    </row>
    <row r="1012" spans="1:6" x14ac:dyDescent="0.2">
      <c r="A1012" s="4">
        <v>45939</v>
      </c>
      <c r="B1012" s="5">
        <v>44.05</v>
      </c>
      <c r="C1012" s="5">
        <v>44.23</v>
      </c>
      <c r="D1012" s="5">
        <v>43.375</v>
      </c>
      <c r="E1012" s="5">
        <v>43.44</v>
      </c>
      <c r="F1012" s="6">
        <v>4429799</v>
      </c>
    </row>
    <row r="1013" spans="1:6" x14ac:dyDescent="0.2">
      <c r="A1013" s="4">
        <v>45940</v>
      </c>
      <c r="B1013" s="5">
        <v>43.76</v>
      </c>
      <c r="C1013" s="5">
        <v>43.774999999999999</v>
      </c>
      <c r="D1013" s="5">
        <v>43.101700000000001</v>
      </c>
      <c r="E1013" s="5">
        <v>43.54</v>
      </c>
      <c r="F1013" s="6">
        <v>5318571</v>
      </c>
    </row>
    <row r="1014" spans="1:6" x14ac:dyDescent="0.2">
      <c r="A1014" s="4">
        <v>45943</v>
      </c>
      <c r="B1014" s="5">
        <v>43.24</v>
      </c>
      <c r="C1014" s="5">
        <v>43.744999999999997</v>
      </c>
      <c r="D1014" s="5">
        <v>43.21</v>
      </c>
      <c r="E1014" s="5">
        <v>43.69</v>
      </c>
      <c r="F1014" s="6">
        <v>3151492</v>
      </c>
    </row>
    <row r="1015" spans="1:6" x14ac:dyDescent="0.2">
      <c r="A1015" s="4">
        <v>45944</v>
      </c>
      <c r="B1015" s="5">
        <v>43.81</v>
      </c>
      <c r="C1015" s="5">
        <v>44.164999999999999</v>
      </c>
      <c r="D1015" s="5">
        <v>43.704999999999998</v>
      </c>
      <c r="E1015" s="5">
        <v>44.15</v>
      </c>
      <c r="F1015" s="6">
        <v>3693655</v>
      </c>
    </row>
    <row r="1016" spans="1:6" x14ac:dyDescent="0.2">
      <c r="A1016" s="4">
        <v>45945</v>
      </c>
      <c r="B1016" s="5">
        <v>43.22</v>
      </c>
      <c r="C1016" s="5">
        <v>43.93</v>
      </c>
      <c r="D1016" s="5">
        <v>43.22</v>
      </c>
      <c r="E1016" s="5">
        <v>43.78</v>
      </c>
      <c r="F1016" s="6">
        <v>4551887</v>
      </c>
    </row>
    <row r="1017" spans="1:6" x14ac:dyDescent="0.2">
      <c r="A1017" s="4">
        <v>45946</v>
      </c>
      <c r="B1017" s="5">
        <v>43.97</v>
      </c>
      <c r="C1017" s="5">
        <v>44.094999999999999</v>
      </c>
      <c r="D1017" s="5">
        <v>43.622900000000001</v>
      </c>
      <c r="E1017" s="5">
        <v>43.77</v>
      </c>
      <c r="F1017" s="6">
        <v>2609859</v>
      </c>
    </row>
    <row r="1018" spans="1:6" x14ac:dyDescent="0.2">
      <c r="A1018" s="4">
        <v>45947</v>
      </c>
      <c r="B1018" s="5">
        <v>43.37</v>
      </c>
      <c r="C1018" s="5">
        <v>44.35</v>
      </c>
      <c r="D1018" s="5">
        <v>43.34</v>
      </c>
      <c r="E1018" s="5">
        <v>43.91</v>
      </c>
      <c r="F1018" s="6">
        <v>4076087</v>
      </c>
    </row>
    <row r="1019" spans="1:6" x14ac:dyDescent="0.2">
      <c r="A1019" s="4">
        <v>45950</v>
      </c>
      <c r="B1019" s="5">
        <v>43.88</v>
      </c>
      <c r="C1019" s="5">
        <v>44.305</v>
      </c>
      <c r="D1019" s="5">
        <v>43.704999999999998</v>
      </c>
      <c r="E1019" s="5">
        <v>44.12</v>
      </c>
      <c r="F1019" s="6">
        <v>3216791</v>
      </c>
    </row>
    <row r="1020" spans="1:6" x14ac:dyDescent="0.2">
      <c r="A1020" s="4">
        <v>45951</v>
      </c>
      <c r="B1020" s="5">
        <v>44.35</v>
      </c>
      <c r="C1020" s="5">
        <v>44.44</v>
      </c>
      <c r="D1020" s="5">
        <v>43.83</v>
      </c>
      <c r="E1020" s="5">
        <v>43.94</v>
      </c>
      <c r="F1020" s="6">
        <v>3909955</v>
      </c>
    </row>
    <row r="1021" spans="1:6" x14ac:dyDescent="0.2">
      <c r="A1021" s="4">
        <v>45952</v>
      </c>
      <c r="B1021" s="5">
        <v>44.06</v>
      </c>
      <c r="C1021" s="5">
        <v>44.47</v>
      </c>
      <c r="D1021" s="5">
        <v>44.01</v>
      </c>
      <c r="E1021" s="5">
        <v>44.26</v>
      </c>
      <c r="F1021" s="6">
        <v>3044494</v>
      </c>
    </row>
    <row r="1022" spans="1:6" x14ac:dyDescent="0.2">
      <c r="A1022" s="4">
        <v>45953</v>
      </c>
      <c r="B1022" s="5">
        <v>43.99</v>
      </c>
      <c r="C1022" s="5">
        <v>46.87</v>
      </c>
      <c r="D1022" s="5">
        <v>43.975000000000001</v>
      </c>
      <c r="E1022" s="5">
        <v>45.54</v>
      </c>
      <c r="F1022" s="6">
        <v>7897577</v>
      </c>
    </row>
    <row r="1023" spans="1:6" x14ac:dyDescent="0.2">
      <c r="A1023" s="4">
        <v>45954</v>
      </c>
      <c r="B1023" s="5">
        <v>43.79</v>
      </c>
      <c r="C1023" s="5">
        <v>43.99</v>
      </c>
      <c r="D1023" s="5">
        <v>42.844999999999999</v>
      </c>
      <c r="E1023" s="5">
        <v>43.24</v>
      </c>
      <c r="F1023" s="6">
        <v>9860195</v>
      </c>
    </row>
    <row r="1024" spans="1:6" x14ac:dyDescent="0.2">
      <c r="A1024" s="4">
        <v>45957</v>
      </c>
      <c r="B1024" s="5">
        <v>43.85</v>
      </c>
      <c r="C1024" s="5">
        <v>44.22</v>
      </c>
      <c r="D1024" s="5">
        <v>43.65</v>
      </c>
      <c r="E1024" s="5">
        <v>43.8</v>
      </c>
      <c r="F1024" s="6">
        <v>5573082</v>
      </c>
    </row>
    <row r="1025" spans="1:6" x14ac:dyDescent="0.2">
      <c r="A1025" s="4">
        <v>45958</v>
      </c>
      <c r="B1025" s="5">
        <v>44</v>
      </c>
      <c r="C1025" s="5">
        <v>44.24</v>
      </c>
      <c r="D1025" s="5">
        <v>42.884999999999998</v>
      </c>
      <c r="E1025" s="5">
        <v>43.7</v>
      </c>
      <c r="F1025" s="6">
        <v>8410490</v>
      </c>
    </row>
    <row r="1026" spans="1:6" x14ac:dyDescent="0.2">
      <c r="A1026" s="4">
        <v>45959</v>
      </c>
      <c r="B1026" s="5">
        <v>46.02</v>
      </c>
      <c r="C1026" s="5">
        <v>46.704999999999998</v>
      </c>
      <c r="D1026" s="5">
        <v>45.5</v>
      </c>
      <c r="E1026" s="5">
        <v>45.93</v>
      </c>
      <c r="F1026" s="6">
        <v>13924420</v>
      </c>
    </row>
    <row r="1027" spans="1:6" x14ac:dyDescent="0.2">
      <c r="A1027" s="4">
        <v>45960</v>
      </c>
      <c r="B1027" s="5">
        <v>45.93</v>
      </c>
      <c r="C1027" s="5">
        <v>47.16</v>
      </c>
      <c r="D1027" s="5">
        <v>45.82</v>
      </c>
      <c r="E1027" s="5">
        <v>46.94</v>
      </c>
      <c r="F1027" s="6">
        <v>8724758</v>
      </c>
    </row>
    <row r="1028" spans="1:6" x14ac:dyDescent="0.2">
      <c r="A1028" s="4">
        <v>45961</v>
      </c>
      <c r="B1028" s="5">
        <v>46.85</v>
      </c>
      <c r="C1028" s="5">
        <v>47.12</v>
      </c>
      <c r="D1028" s="5">
        <v>46.57</v>
      </c>
      <c r="E1028" s="5">
        <v>46.86</v>
      </c>
      <c r="F1028" s="6">
        <v>5027438</v>
      </c>
    </row>
    <row r="1029" spans="1:6" x14ac:dyDescent="0.2">
      <c r="A1029" s="4">
        <v>45964</v>
      </c>
      <c r="B1029" s="5">
        <v>46.75</v>
      </c>
      <c r="C1029" s="5">
        <v>46.75</v>
      </c>
      <c r="D1029" s="5">
        <v>46.255000000000003</v>
      </c>
      <c r="E1029" s="5">
        <v>46.35</v>
      </c>
      <c r="F1029" s="6">
        <v>4764898</v>
      </c>
    </row>
    <row r="1030" spans="1:6" x14ac:dyDescent="0.2">
      <c r="A1030" s="4">
        <v>45965</v>
      </c>
      <c r="B1030" s="5">
        <v>46.09</v>
      </c>
      <c r="C1030" s="5">
        <v>47.02</v>
      </c>
      <c r="D1030" s="5">
        <v>45.99</v>
      </c>
      <c r="E1030" s="5">
        <v>46.82</v>
      </c>
      <c r="F1030" s="6">
        <v>5065415</v>
      </c>
    </row>
    <row r="1031" spans="1:6" x14ac:dyDescent="0.2">
      <c r="A1031" s="4">
        <v>45966</v>
      </c>
      <c r="B1031" s="5">
        <v>46.56</v>
      </c>
      <c r="C1031" s="5">
        <v>47.04</v>
      </c>
      <c r="D1031" s="5">
        <v>46.52</v>
      </c>
      <c r="E1031" s="5">
        <v>46.69</v>
      </c>
      <c r="F1031" s="6">
        <v>5524960</v>
      </c>
    </row>
    <row r="1032" spans="1:6" x14ac:dyDescent="0.2">
      <c r="A1032" s="4">
        <v>45967</v>
      </c>
      <c r="B1032" s="5">
        <v>46.84</v>
      </c>
      <c r="C1032" s="5">
        <v>47.204999999999998</v>
      </c>
      <c r="D1032" s="5">
        <v>46.62</v>
      </c>
      <c r="E1032" s="5">
        <v>47.1</v>
      </c>
      <c r="F1032" s="6">
        <v>4212600</v>
      </c>
    </row>
    <row r="1033" spans="1:6" x14ac:dyDescent="0.2">
      <c r="A1033" s="4">
        <v>45968</v>
      </c>
      <c r="B1033" s="5">
        <v>46.75</v>
      </c>
      <c r="C1033" s="5">
        <v>46.93</v>
      </c>
      <c r="D1033" s="5">
        <v>46.384999999999998</v>
      </c>
      <c r="E1033" s="5">
        <v>46.63</v>
      </c>
      <c r="F1033" s="6">
        <v>5552887</v>
      </c>
    </row>
    <row r="1034" spans="1:6" x14ac:dyDescent="0.2">
      <c r="A1034" s="4">
        <v>45971</v>
      </c>
      <c r="B1034" s="5">
        <v>46.75</v>
      </c>
      <c r="C1034" s="5">
        <v>47.37</v>
      </c>
      <c r="D1034" s="5">
        <v>46.56</v>
      </c>
      <c r="E1034" s="5">
        <v>47.36</v>
      </c>
      <c r="F1034" s="6">
        <v>2861682</v>
      </c>
    </row>
    <row r="1035" spans="1:6" x14ac:dyDescent="0.2">
      <c r="A1035" s="4">
        <v>45972</v>
      </c>
      <c r="B1035" s="5">
        <v>47.83</v>
      </c>
      <c r="C1035" s="5">
        <v>48.48</v>
      </c>
      <c r="D1035" s="5">
        <v>47.82</v>
      </c>
      <c r="E1035" s="5">
        <v>48.41</v>
      </c>
      <c r="F1035" s="6">
        <v>3916115</v>
      </c>
    </row>
    <row r="1036" spans="1:6" x14ac:dyDescent="0.2">
      <c r="A1036" s="4">
        <v>45973</v>
      </c>
      <c r="B1036" s="5">
        <v>47.76</v>
      </c>
      <c r="C1036" s="5">
        <v>48.305</v>
      </c>
      <c r="D1036" s="5">
        <v>47.52</v>
      </c>
      <c r="E1036" s="5">
        <v>48.07</v>
      </c>
      <c r="F1036" s="6">
        <v>3566145</v>
      </c>
    </row>
    <row r="1037" spans="1:6" x14ac:dyDescent="0.2">
      <c r="A1037" s="4">
        <v>45974</v>
      </c>
      <c r="B1037" s="5">
        <v>48.02</v>
      </c>
      <c r="C1037" s="5">
        <v>48.685000000000002</v>
      </c>
      <c r="D1037" s="5">
        <v>48.01</v>
      </c>
      <c r="E1037" s="5">
        <v>48.14</v>
      </c>
      <c r="F1037" s="6">
        <v>4035935</v>
      </c>
    </row>
    <row r="1038" spans="1:6" x14ac:dyDescent="0.2">
      <c r="A1038" s="4">
        <v>45975</v>
      </c>
      <c r="B1038" s="5">
        <v>47.32</v>
      </c>
      <c r="C1038" s="5">
        <v>47.57</v>
      </c>
      <c r="D1038" s="5">
        <v>47.1</v>
      </c>
      <c r="E1038" s="5">
        <v>47.18</v>
      </c>
      <c r="F1038" s="6">
        <v>5054167</v>
      </c>
    </row>
    <row r="1039" spans="1:6" x14ac:dyDescent="0.2">
      <c r="A1039" s="4">
        <v>45978</v>
      </c>
      <c r="B1039" s="5">
        <v>47.6</v>
      </c>
      <c r="C1039" s="5">
        <v>47.975000000000001</v>
      </c>
      <c r="D1039" s="5">
        <v>47.42</v>
      </c>
      <c r="E1039" s="5">
        <v>47.53</v>
      </c>
      <c r="F1039" s="6">
        <v>3735109</v>
      </c>
    </row>
    <row r="1040" spans="1:6" x14ac:dyDescent="0.2">
      <c r="A1040" s="4">
        <v>45979</v>
      </c>
      <c r="B1040" s="5">
        <v>47.03</v>
      </c>
      <c r="C1040" s="5">
        <v>47.48</v>
      </c>
      <c r="D1040" s="5">
        <v>46.96</v>
      </c>
      <c r="E1040" s="5">
        <v>47.37</v>
      </c>
      <c r="F1040" s="6">
        <v>4634984</v>
      </c>
    </row>
    <row r="1041" spans="1:6" x14ac:dyDescent="0.2">
      <c r="A1041" s="4">
        <v>45980</v>
      </c>
      <c r="B1041" s="5">
        <v>47.02</v>
      </c>
      <c r="C1041" s="5">
        <v>47.08</v>
      </c>
      <c r="D1041" s="5">
        <v>46.32</v>
      </c>
      <c r="E1041" s="5">
        <v>46.34</v>
      </c>
      <c r="F1041" s="6">
        <v>6213130</v>
      </c>
    </row>
    <row r="1042" spans="1:6" x14ac:dyDescent="0.2">
      <c r="A1042" s="4">
        <v>45981</v>
      </c>
      <c r="B1042" s="5">
        <v>46.6</v>
      </c>
      <c r="C1042" s="5">
        <v>46.6</v>
      </c>
      <c r="D1042" s="5">
        <v>45.805</v>
      </c>
      <c r="E1042" s="5">
        <v>46.11</v>
      </c>
      <c r="F1042" s="6">
        <v>6208599</v>
      </c>
    </row>
    <row r="1043" spans="1:6" x14ac:dyDescent="0.2">
      <c r="A1043" s="4">
        <v>45982</v>
      </c>
      <c r="B1043" s="5">
        <v>46.49</v>
      </c>
      <c r="C1043" s="5">
        <v>47.314999999999998</v>
      </c>
      <c r="D1043" s="5">
        <v>46.47</v>
      </c>
      <c r="E1043" s="5">
        <v>47.19</v>
      </c>
      <c r="F1043" s="6">
        <v>4235435</v>
      </c>
    </row>
    <row r="1044" spans="1:6" x14ac:dyDescent="0.2">
      <c r="A1044" s="4">
        <v>45985</v>
      </c>
      <c r="B1044" s="5">
        <v>47.03</v>
      </c>
      <c r="C1044" s="5">
        <v>47.34</v>
      </c>
      <c r="D1044" s="5">
        <v>46.86</v>
      </c>
      <c r="E1044" s="5">
        <v>46.99</v>
      </c>
      <c r="F1044" s="6">
        <v>5306127</v>
      </c>
    </row>
    <row r="1045" spans="1:6" x14ac:dyDescent="0.2">
      <c r="A1045" s="4">
        <v>45986</v>
      </c>
      <c r="B1045" s="5">
        <v>47.35</v>
      </c>
      <c r="C1045" s="5">
        <v>47.92</v>
      </c>
      <c r="D1045" s="5">
        <v>47.31</v>
      </c>
      <c r="E1045" s="5">
        <v>47.55</v>
      </c>
      <c r="F1045" s="6">
        <v>6602184</v>
      </c>
    </row>
    <row r="1046" spans="1:6" x14ac:dyDescent="0.2">
      <c r="A1046" s="4">
        <v>45987</v>
      </c>
      <c r="B1046" s="5">
        <v>48.04</v>
      </c>
      <c r="C1046" s="5">
        <v>48.354999999999997</v>
      </c>
      <c r="D1046" s="5">
        <v>47.98</v>
      </c>
      <c r="E1046" s="5">
        <v>48.02</v>
      </c>
      <c r="F1046" s="6">
        <v>4282065</v>
      </c>
    </row>
    <row r="1047" spans="1:6" x14ac:dyDescent="0.2">
      <c r="A1047" s="4">
        <v>45989</v>
      </c>
      <c r="B1047" s="5">
        <v>47.88</v>
      </c>
      <c r="C1047" s="5">
        <v>47.9</v>
      </c>
      <c r="D1047" s="5">
        <v>47.414999999999999</v>
      </c>
      <c r="E1047" s="5">
        <v>47.86</v>
      </c>
      <c r="F1047" s="6">
        <v>2851788</v>
      </c>
    </row>
    <row r="1048" spans="1:6" x14ac:dyDescent="0.2">
      <c r="A1048" s="4">
        <v>45992</v>
      </c>
      <c r="B1048" s="5">
        <v>48.06</v>
      </c>
      <c r="C1048" s="5">
        <v>48.08</v>
      </c>
      <c r="D1048" s="5">
        <v>47.125</v>
      </c>
      <c r="E1048" s="5">
        <v>47.19</v>
      </c>
      <c r="F1048" s="6">
        <v>3663248</v>
      </c>
    </row>
    <row r="1049" spans="1:6" x14ac:dyDescent="0.2">
      <c r="A1049" s="4">
        <v>45993</v>
      </c>
      <c r="B1049" s="5">
        <v>48.09</v>
      </c>
      <c r="C1049" s="5">
        <v>48.405000000000001</v>
      </c>
      <c r="D1049" s="5">
        <v>47.78</v>
      </c>
      <c r="E1049" s="5">
        <v>48.27</v>
      </c>
      <c r="F1049" s="6">
        <v>4840745</v>
      </c>
    </row>
    <row r="1050" spans="1:6" x14ac:dyDescent="0.2">
      <c r="A1050" s="4">
        <v>45994</v>
      </c>
      <c r="B1050" s="5">
        <v>48.95</v>
      </c>
      <c r="C1050" s="5">
        <v>49.31</v>
      </c>
      <c r="D1050" s="5">
        <v>48.8</v>
      </c>
      <c r="E1050" s="5">
        <v>48.97</v>
      </c>
      <c r="F1050" s="6">
        <v>3696082</v>
      </c>
    </row>
    <row r="1051" spans="1:6" x14ac:dyDescent="0.2">
      <c r="A1051" s="4">
        <v>45995</v>
      </c>
      <c r="B1051" s="5">
        <v>48.95</v>
      </c>
      <c r="C1051" s="5">
        <v>49.055</v>
      </c>
      <c r="D1051" s="5">
        <v>48.53</v>
      </c>
      <c r="E1051" s="5">
        <v>48.57</v>
      </c>
      <c r="F1051" s="6">
        <v>3326056</v>
      </c>
    </row>
    <row r="1052" spans="1:6" x14ac:dyDescent="0.2">
      <c r="A1052" s="4">
        <v>45996</v>
      </c>
      <c r="B1052" s="5">
        <v>48.77</v>
      </c>
      <c r="C1052" s="5">
        <v>48.849899999999998</v>
      </c>
      <c r="D1052" s="5">
        <v>48.005000000000003</v>
      </c>
      <c r="E1052" s="5">
        <v>48.41</v>
      </c>
      <c r="F1052" s="6">
        <v>2380422</v>
      </c>
    </row>
    <row r="1053" spans="1:6" x14ac:dyDescent="0.2">
      <c r="A1053" s="4">
        <v>45999</v>
      </c>
      <c r="B1053" s="5">
        <v>48.39</v>
      </c>
      <c r="C1053" s="5">
        <v>48.58</v>
      </c>
      <c r="D1053" s="5">
        <v>48.145000000000003</v>
      </c>
      <c r="E1053" s="5">
        <v>48.47</v>
      </c>
      <c r="F1053" s="6">
        <v>4354005</v>
      </c>
    </row>
    <row r="1054" spans="1:6" x14ac:dyDescent="0.2">
      <c r="A1054" s="4">
        <v>46000</v>
      </c>
      <c r="B1054" s="5">
        <v>48.01</v>
      </c>
      <c r="C1054" s="5">
        <v>48.290100000000002</v>
      </c>
      <c r="D1054" s="5">
        <v>47.2</v>
      </c>
      <c r="E1054" s="5">
        <v>47.27</v>
      </c>
      <c r="F1054" s="6">
        <v>3782770</v>
      </c>
    </row>
    <row r="1055" spans="1:6" x14ac:dyDescent="0.2">
      <c r="A1055" s="4">
        <v>46001</v>
      </c>
      <c r="B1055" s="5">
        <v>48.04</v>
      </c>
      <c r="C1055" s="5">
        <v>48.435000000000002</v>
      </c>
      <c r="D1055" s="5">
        <v>47.82</v>
      </c>
      <c r="E1055" s="5">
        <v>48.41</v>
      </c>
      <c r="F1055" s="6">
        <v>2988235</v>
      </c>
    </row>
    <row r="1056" spans="1:6" x14ac:dyDescent="0.2">
      <c r="A1056" s="4">
        <v>46002</v>
      </c>
      <c r="B1056" s="5">
        <v>48.46</v>
      </c>
      <c r="C1056" s="5">
        <v>48.97</v>
      </c>
      <c r="D1056" s="5">
        <v>48.45</v>
      </c>
      <c r="E1056" s="5">
        <v>48.88</v>
      </c>
      <c r="F1056" s="6">
        <v>3871093</v>
      </c>
    </row>
    <row r="1057" spans="1:6" x14ac:dyDescent="0.2">
      <c r="A1057" s="4">
        <v>46003</v>
      </c>
      <c r="B1057" s="5">
        <v>48.895000000000003</v>
      </c>
      <c r="C1057" s="5">
        <v>48.99</v>
      </c>
      <c r="D1057" s="5">
        <v>48.555</v>
      </c>
      <c r="E1057" s="5">
        <v>48.81</v>
      </c>
      <c r="F1057" s="6">
        <v>2972812</v>
      </c>
    </row>
    <row r="1058" spans="1:6" x14ac:dyDescent="0.2">
      <c r="A1058" s="4">
        <v>46006</v>
      </c>
      <c r="B1058" s="5">
        <v>48.91</v>
      </c>
      <c r="C1058" s="5">
        <v>49.39</v>
      </c>
      <c r="D1058" s="5">
        <v>48.9</v>
      </c>
      <c r="E1058" s="5">
        <v>49.24</v>
      </c>
      <c r="F1058" s="6">
        <v>4059483</v>
      </c>
    </row>
    <row r="1059" spans="1:6" x14ac:dyDescent="0.2">
      <c r="A1059" s="4">
        <v>46007</v>
      </c>
      <c r="B1059" s="5">
        <v>49.28</v>
      </c>
      <c r="C1059" s="5">
        <v>49.354999999999997</v>
      </c>
      <c r="D1059" s="5">
        <v>48.52</v>
      </c>
      <c r="E1059" s="5">
        <v>48.78</v>
      </c>
      <c r="F1059" s="6">
        <v>3800683</v>
      </c>
    </row>
    <row r="1060" spans="1:6" x14ac:dyDescent="0.2">
      <c r="A1060" s="4">
        <v>46008</v>
      </c>
      <c r="B1060" s="5">
        <v>49.35</v>
      </c>
      <c r="C1060" s="5">
        <v>49.441499999999998</v>
      </c>
      <c r="D1060" s="5">
        <v>48.68</v>
      </c>
      <c r="E1060" s="5">
        <v>48.71</v>
      </c>
      <c r="F1060" s="6">
        <v>5257660</v>
      </c>
    </row>
    <row r="1061" spans="1:6" x14ac:dyDescent="0.2">
      <c r="A1061" s="4">
        <v>46009</v>
      </c>
      <c r="B1061" s="5">
        <v>48.4</v>
      </c>
      <c r="C1061" s="5">
        <v>48.69</v>
      </c>
      <c r="D1061" s="5">
        <v>48.24</v>
      </c>
      <c r="E1061" s="5">
        <v>48.29</v>
      </c>
      <c r="F1061" s="6">
        <v>3470365</v>
      </c>
    </row>
    <row r="1062" spans="1:6" x14ac:dyDescent="0.2">
      <c r="A1062" s="4">
        <v>46010</v>
      </c>
      <c r="B1062" s="5">
        <v>48.21</v>
      </c>
      <c r="C1062" s="5">
        <v>48.924999999999997</v>
      </c>
      <c r="D1062" s="5">
        <v>48.145000000000003</v>
      </c>
      <c r="E1062" s="5">
        <v>48.61</v>
      </c>
      <c r="F1062" s="6">
        <v>3286418</v>
      </c>
    </row>
    <row r="1063" spans="1:6" x14ac:dyDescent="0.2">
      <c r="A1063" s="4">
        <v>46013</v>
      </c>
      <c r="B1063" s="5">
        <v>48.65</v>
      </c>
      <c r="C1063" s="5">
        <v>48.88</v>
      </c>
      <c r="D1063" s="5">
        <v>48.5</v>
      </c>
      <c r="E1063" s="5">
        <v>48.59</v>
      </c>
      <c r="F1063" s="6">
        <v>2602844</v>
      </c>
    </row>
    <row r="1064" spans="1:6" x14ac:dyDescent="0.2">
      <c r="A1064" s="4">
        <v>46014</v>
      </c>
      <c r="B1064" s="5">
        <v>48.99</v>
      </c>
      <c r="C1064" s="5">
        <v>49.23</v>
      </c>
      <c r="D1064" s="5">
        <v>48.72</v>
      </c>
      <c r="E1064" s="5">
        <v>48.85</v>
      </c>
      <c r="F1064" s="6">
        <v>2857702</v>
      </c>
    </row>
    <row r="1065" spans="1:6" x14ac:dyDescent="0.2">
      <c r="A1065" s="4">
        <v>46015</v>
      </c>
      <c r="B1065" s="5">
        <v>48.72</v>
      </c>
      <c r="C1065" s="5">
        <v>49.04</v>
      </c>
      <c r="D1065" s="5">
        <v>48.69</v>
      </c>
      <c r="E1065" s="5">
        <v>48.96</v>
      </c>
      <c r="F1065" s="6">
        <v>1064871</v>
      </c>
    </row>
    <row r="1066" spans="1:6" x14ac:dyDescent="0.2">
      <c r="A1066" s="4">
        <v>46017</v>
      </c>
      <c r="B1066" s="5">
        <v>48.97</v>
      </c>
      <c r="C1066" s="5">
        <v>49.13</v>
      </c>
      <c r="D1066" s="5">
        <v>48.85</v>
      </c>
      <c r="E1066" s="5">
        <v>49.08</v>
      </c>
      <c r="F1066" s="6">
        <v>1207599</v>
      </c>
    </row>
    <row r="1067" spans="1:6" x14ac:dyDescent="0.2">
      <c r="A1067" s="4">
        <v>46020</v>
      </c>
      <c r="B1067" s="5">
        <v>48.92</v>
      </c>
      <c r="C1067" s="5">
        <v>49.234999999999999</v>
      </c>
      <c r="D1067" s="5">
        <v>48.92</v>
      </c>
      <c r="E1067" s="5">
        <v>49.11</v>
      </c>
      <c r="F1067" s="6">
        <v>1821112</v>
      </c>
    </row>
    <row r="1068" spans="1:6" x14ac:dyDescent="0.2">
      <c r="A1068" s="4">
        <v>46021</v>
      </c>
      <c r="B1068" s="5">
        <v>49.3</v>
      </c>
      <c r="C1068" s="5">
        <v>49.4</v>
      </c>
      <c r="D1068" s="5">
        <v>49.140999999999998</v>
      </c>
      <c r="E1068" s="5">
        <v>49.3</v>
      </c>
      <c r="F1068" s="6">
        <v>1833635</v>
      </c>
    </row>
    <row r="1069" spans="1:6" x14ac:dyDescent="0.2">
      <c r="A1069" s="4">
        <v>46022</v>
      </c>
      <c r="B1069" s="5">
        <v>49.2</v>
      </c>
      <c r="C1069" s="5">
        <v>49.24</v>
      </c>
      <c r="D1069" s="5">
        <v>48.924999999999997</v>
      </c>
      <c r="E1069" s="5">
        <v>49.04</v>
      </c>
      <c r="F1069" s="6">
        <v>1584812</v>
      </c>
    </row>
    <row r="1070" spans="1:6" x14ac:dyDescent="0.2">
      <c r="A1070" s="4">
        <v>46024</v>
      </c>
      <c r="B1070" s="5">
        <v>49.23</v>
      </c>
      <c r="C1070" s="5">
        <v>49.63</v>
      </c>
      <c r="D1070" s="5">
        <v>49.07</v>
      </c>
      <c r="E1070" s="5">
        <v>49.63</v>
      </c>
      <c r="F1070" s="6">
        <v>3486261</v>
      </c>
    </row>
    <row r="1071" spans="1:6" x14ac:dyDescent="0.2">
      <c r="A1071" s="4">
        <v>46027</v>
      </c>
      <c r="B1071" s="5">
        <v>49.5</v>
      </c>
      <c r="C1071" s="5">
        <v>49.564999999999998</v>
      </c>
      <c r="D1071" s="5">
        <v>48.585000000000001</v>
      </c>
      <c r="E1071" s="5">
        <v>49.02</v>
      </c>
      <c r="F1071" s="6">
        <v>5277928</v>
      </c>
    </row>
    <row r="1072" spans="1:6" x14ac:dyDescent="0.2">
      <c r="A1072" s="4">
        <v>46028</v>
      </c>
      <c r="B1072" s="5">
        <v>50.69</v>
      </c>
      <c r="C1072" s="5">
        <v>51.46</v>
      </c>
      <c r="D1072" s="5">
        <v>50.34</v>
      </c>
      <c r="E1072" s="5">
        <v>50.56</v>
      </c>
      <c r="F1072" s="6">
        <v>5923880</v>
      </c>
    </row>
    <row r="1073" spans="1:6" x14ac:dyDescent="0.2">
      <c r="A1073" s="4">
        <v>46029</v>
      </c>
      <c r="B1073" s="5">
        <v>50.685000000000002</v>
      </c>
      <c r="C1073" s="5">
        <v>51.39</v>
      </c>
      <c r="D1073" s="5">
        <v>50.56</v>
      </c>
      <c r="E1073" s="5">
        <v>50.62</v>
      </c>
      <c r="F1073" s="6">
        <v>5205076</v>
      </c>
    </row>
    <row r="1074" spans="1:6" x14ac:dyDescent="0.2">
      <c r="A1074" s="4">
        <v>46030</v>
      </c>
      <c r="B1074" s="5">
        <v>50.8</v>
      </c>
      <c r="C1074" s="5">
        <v>51.265000000000001</v>
      </c>
      <c r="D1074" s="5">
        <v>50.02</v>
      </c>
      <c r="E1074" s="5">
        <v>50.22</v>
      </c>
      <c r="F1074" s="6">
        <v>4406993</v>
      </c>
    </row>
    <row r="1075" spans="1:6" x14ac:dyDescent="0.2">
      <c r="A1075" s="4">
        <v>46031</v>
      </c>
      <c r="B1075" s="5">
        <v>50.43</v>
      </c>
      <c r="C1075" s="5">
        <v>50.805</v>
      </c>
      <c r="D1075" s="5">
        <v>50.36</v>
      </c>
      <c r="E1075" s="5">
        <v>50.39</v>
      </c>
      <c r="F1075" s="6">
        <v>3925737</v>
      </c>
    </row>
    <row r="1076" spans="1:6" x14ac:dyDescent="0.2">
      <c r="A1076" s="4">
        <v>46034</v>
      </c>
      <c r="B1076" s="5">
        <v>50.8</v>
      </c>
      <c r="C1076" s="5">
        <v>50.814999999999998</v>
      </c>
      <c r="D1076" s="5">
        <v>50.17</v>
      </c>
      <c r="E1076" s="5">
        <v>50.39</v>
      </c>
      <c r="F1076" s="6">
        <v>2640696</v>
      </c>
    </row>
    <row r="1077" spans="1:6" x14ac:dyDescent="0.2">
      <c r="A1077" s="4">
        <v>46035</v>
      </c>
      <c r="B1077" s="5">
        <v>49.93</v>
      </c>
      <c r="C1077" s="5">
        <v>50.07</v>
      </c>
      <c r="D1077" s="5">
        <v>49.32</v>
      </c>
      <c r="E1077" s="5">
        <v>49.9</v>
      </c>
      <c r="F1077" s="6">
        <v>3693228</v>
      </c>
    </row>
    <row r="1078" spans="1:6" x14ac:dyDescent="0.2">
      <c r="A1078" s="4">
        <v>46036</v>
      </c>
      <c r="B1078" s="5">
        <v>50.2</v>
      </c>
      <c r="C1078" s="5">
        <v>50.87</v>
      </c>
      <c r="D1078" s="5">
        <v>50.16</v>
      </c>
      <c r="E1078" s="5">
        <v>50.79</v>
      </c>
      <c r="F1078" s="6">
        <v>3684192</v>
      </c>
    </row>
    <row r="1079" spans="1:6" x14ac:dyDescent="0.2">
      <c r="A1079" s="4">
        <v>46037</v>
      </c>
      <c r="B1079" s="5">
        <v>50.48</v>
      </c>
      <c r="C1079" s="5">
        <v>50.5</v>
      </c>
      <c r="D1079" s="5">
        <v>49.07</v>
      </c>
      <c r="E1079" s="5">
        <v>49.12</v>
      </c>
      <c r="F1079" s="6">
        <v>6545320</v>
      </c>
    </row>
    <row r="1080" spans="1:6" x14ac:dyDescent="0.2">
      <c r="A1080" s="4">
        <v>46038</v>
      </c>
      <c r="B1080" s="5">
        <v>48.85</v>
      </c>
      <c r="C1080" s="5">
        <v>48.93</v>
      </c>
      <c r="D1080" s="5">
        <v>48.09</v>
      </c>
      <c r="E1080" s="5">
        <v>48.22</v>
      </c>
      <c r="F1080" s="6">
        <v>7543556</v>
      </c>
    </row>
    <row r="1081" spans="1:6" x14ac:dyDescent="0.2">
      <c r="A1081" s="4">
        <v>46042</v>
      </c>
      <c r="B1081" s="5">
        <v>48.05</v>
      </c>
      <c r="C1081" s="5">
        <v>48.344999999999999</v>
      </c>
      <c r="D1081" s="5">
        <v>47.62</v>
      </c>
      <c r="E1081" s="5">
        <v>47.65</v>
      </c>
      <c r="F1081" s="6">
        <v>8201247</v>
      </c>
    </row>
    <row r="1082" spans="1:6" x14ac:dyDescent="0.2">
      <c r="A1082" s="4">
        <v>46043</v>
      </c>
      <c r="B1082" s="5">
        <v>47.85</v>
      </c>
      <c r="C1082" s="5">
        <v>48.38</v>
      </c>
      <c r="D1082" s="5">
        <v>47.77</v>
      </c>
      <c r="E1082" s="5">
        <v>48.07</v>
      </c>
      <c r="F1082" s="6">
        <v>6516360</v>
      </c>
    </row>
    <row r="1083" spans="1:6" x14ac:dyDescent="0.2">
      <c r="A1083" s="4">
        <v>46044</v>
      </c>
      <c r="B1083" s="5">
        <v>48.41</v>
      </c>
      <c r="C1083" s="5">
        <v>48.75</v>
      </c>
      <c r="D1083" s="5">
        <v>48.08</v>
      </c>
      <c r="E1083" s="5">
        <v>48.65</v>
      </c>
      <c r="F1083" s="6">
        <v>4564463</v>
      </c>
    </row>
    <row r="1084" spans="1:6" x14ac:dyDescent="0.2">
      <c r="A1084" s="4">
        <v>46045</v>
      </c>
      <c r="B1084" s="5">
        <v>48.74</v>
      </c>
      <c r="C1084" s="5">
        <v>49.16</v>
      </c>
      <c r="D1084" s="5">
        <v>48.57</v>
      </c>
      <c r="E1084" s="5">
        <v>49.15</v>
      </c>
      <c r="F1084" s="6">
        <v>5430027</v>
      </c>
    </row>
    <row r="1085" spans="1:6" x14ac:dyDescent="0.2">
      <c r="A1085" s="4">
        <v>46048</v>
      </c>
      <c r="B1085" s="5">
        <v>49.77</v>
      </c>
      <c r="C1085" s="5">
        <v>50.57</v>
      </c>
      <c r="D1085" s="5">
        <v>49.74</v>
      </c>
      <c r="E1085" s="5">
        <v>50.32</v>
      </c>
      <c r="F1085" s="6">
        <v>4220693</v>
      </c>
    </row>
    <row r="1086" spans="1:6" x14ac:dyDescent="0.2">
      <c r="A1086" s="4">
        <v>46049</v>
      </c>
      <c r="B1086" s="5">
        <v>50.49</v>
      </c>
      <c r="C1086" s="5">
        <v>51.37</v>
      </c>
      <c r="D1086" s="5">
        <v>50.49</v>
      </c>
      <c r="E1086" s="5">
        <v>50.8</v>
      </c>
      <c r="F1086" s="6">
        <v>5105322</v>
      </c>
    </row>
    <row r="1087" spans="1:6" x14ac:dyDescent="0.2">
      <c r="A1087" s="4">
        <v>46050</v>
      </c>
      <c r="B1087" s="5">
        <v>50.17</v>
      </c>
      <c r="C1087" s="5">
        <v>50.61</v>
      </c>
      <c r="D1087" s="5">
        <v>49.594999999999999</v>
      </c>
      <c r="E1087" s="5">
        <v>50.1</v>
      </c>
      <c r="F1087" s="6">
        <v>5883597</v>
      </c>
    </row>
    <row r="1088" spans="1:6" x14ac:dyDescent="0.2">
      <c r="A1088" s="4">
        <v>46051</v>
      </c>
      <c r="B1088" s="5">
        <v>50.82</v>
      </c>
      <c r="C1088" s="5">
        <v>51.09</v>
      </c>
      <c r="D1088" s="5">
        <v>50.63</v>
      </c>
      <c r="E1088" s="5">
        <v>50.66</v>
      </c>
      <c r="F1088" s="6">
        <v>5904832</v>
      </c>
    </row>
    <row r="1089" spans="1:6" x14ac:dyDescent="0.2">
      <c r="A1089" s="4">
        <v>46052</v>
      </c>
      <c r="B1089" s="5">
        <v>51.14</v>
      </c>
      <c r="C1089" s="5">
        <v>51.69</v>
      </c>
      <c r="D1089" s="5">
        <v>51.055</v>
      </c>
      <c r="E1089" s="5">
        <v>51.6</v>
      </c>
      <c r="F1089" s="6">
        <v>5489868</v>
      </c>
    </row>
    <row r="1090" spans="1:6" x14ac:dyDescent="0.2">
      <c r="A1090" s="4">
        <v>46055</v>
      </c>
      <c r="B1090" s="5">
        <v>52.17</v>
      </c>
      <c r="C1090" s="5">
        <v>52.664999999999999</v>
      </c>
      <c r="D1090" s="5">
        <v>52.13</v>
      </c>
      <c r="E1090" s="5">
        <v>52.47</v>
      </c>
      <c r="F1090" s="6">
        <v>4151245</v>
      </c>
    </row>
    <row r="1091" spans="1:6" x14ac:dyDescent="0.2">
      <c r="A1091" s="4">
        <v>46056</v>
      </c>
      <c r="B1091" s="5">
        <v>52.49</v>
      </c>
      <c r="C1091" s="5">
        <v>53.38</v>
      </c>
      <c r="D1091" s="5">
        <v>52.43</v>
      </c>
      <c r="E1091" s="5">
        <v>53.34</v>
      </c>
      <c r="F1091" s="6">
        <v>6205900</v>
      </c>
    </row>
    <row r="1092" spans="1:6" x14ac:dyDescent="0.2">
      <c r="A1092" s="4">
        <v>46057</v>
      </c>
      <c r="B1092" s="5">
        <v>56.56</v>
      </c>
      <c r="C1092" s="5">
        <v>57.62</v>
      </c>
      <c r="D1092" s="5">
        <v>56.33</v>
      </c>
      <c r="E1092" s="5">
        <v>57.23</v>
      </c>
      <c r="F1092" s="6">
        <v>10897000</v>
      </c>
    </row>
    <row r="1093" spans="1:6" x14ac:dyDescent="0.2">
      <c r="A1093" s="4">
        <v>46058</v>
      </c>
      <c r="B1093" s="5">
        <v>57.79</v>
      </c>
      <c r="C1093" s="5">
        <v>59.615000000000002</v>
      </c>
      <c r="D1093" s="5">
        <v>57.73</v>
      </c>
      <c r="E1093" s="5">
        <v>59.17</v>
      </c>
      <c r="F1093" s="6">
        <v>13085090</v>
      </c>
    </row>
    <row r="1094" spans="1:6" x14ac:dyDescent="0.2">
      <c r="A1094" s="4">
        <v>46059</v>
      </c>
      <c r="B1094" s="5">
        <v>59.29</v>
      </c>
      <c r="C1094" s="5">
        <v>60.37</v>
      </c>
      <c r="D1094" s="5">
        <v>59.25</v>
      </c>
      <c r="E1094" s="5">
        <v>60.23</v>
      </c>
      <c r="F1094" s="6">
        <v>8149117</v>
      </c>
    </row>
    <row r="1095" spans="1:6" x14ac:dyDescent="0.2">
      <c r="A1095" s="4">
        <v>46062</v>
      </c>
      <c r="B1095" s="5">
        <v>59.92</v>
      </c>
      <c r="C1095" s="5">
        <v>59.94</v>
      </c>
      <c r="D1095" s="5">
        <v>58.61</v>
      </c>
      <c r="E1095" s="5">
        <v>59.01</v>
      </c>
      <c r="F1095" s="6">
        <v>8070939</v>
      </c>
    </row>
    <row r="1096" spans="1:6" x14ac:dyDescent="0.2">
      <c r="A1096" s="4">
        <v>46063</v>
      </c>
      <c r="B1096" s="5">
        <v>59.24</v>
      </c>
      <c r="C1096" s="5">
        <v>59.32</v>
      </c>
      <c r="D1096" s="5">
        <v>58.19</v>
      </c>
      <c r="E1096" s="5">
        <v>58.82</v>
      </c>
      <c r="F1096" s="6">
        <v>9503887</v>
      </c>
    </row>
    <row r="1097" spans="1:6" x14ac:dyDescent="0.2">
      <c r="A1097" s="4">
        <v>46064</v>
      </c>
      <c r="B1097" s="5">
        <v>58.74</v>
      </c>
      <c r="C1097" s="5">
        <v>58.92</v>
      </c>
      <c r="D1097" s="5">
        <v>58.015000000000001</v>
      </c>
      <c r="E1097" s="5">
        <v>58.49</v>
      </c>
      <c r="F1097" s="6">
        <v>6951483</v>
      </c>
    </row>
    <row r="1098" spans="1:6" x14ac:dyDescent="0.2">
      <c r="A1098" s="4">
        <v>46065</v>
      </c>
      <c r="B1098" s="5">
        <v>58.43</v>
      </c>
      <c r="C1098" s="5">
        <v>58.615000000000002</v>
      </c>
      <c r="D1098" s="5">
        <v>58.05</v>
      </c>
      <c r="E1098" s="5">
        <v>58.54</v>
      </c>
      <c r="F1098" s="6">
        <v>6244583</v>
      </c>
    </row>
    <row r="1099" spans="1:6" x14ac:dyDescent="0.2">
      <c r="A1099" s="4">
        <v>46066</v>
      </c>
      <c r="B1099" s="5">
        <v>58.87</v>
      </c>
      <c r="C1099" s="5">
        <v>59.17</v>
      </c>
      <c r="D1099" s="5">
        <v>58.56</v>
      </c>
      <c r="E1099" s="5">
        <v>58.93</v>
      </c>
      <c r="F1099" s="6">
        <v>6280813</v>
      </c>
    </row>
    <row r="1100" spans="1:6" x14ac:dyDescent="0.2">
      <c r="A1100" s="4">
        <v>46070</v>
      </c>
      <c r="B1100" s="5">
        <v>60.5</v>
      </c>
      <c r="C1100" s="5">
        <v>61.024999999999999</v>
      </c>
      <c r="D1100" s="5">
        <v>60.06</v>
      </c>
      <c r="E1100" s="5">
        <v>60.87</v>
      </c>
      <c r="F1100" s="6">
        <v>5675239</v>
      </c>
    </row>
    <row r="1101" spans="1:6" x14ac:dyDescent="0.2">
      <c r="A1101" s="4">
        <v>46071</v>
      </c>
      <c r="B1101" s="5">
        <v>61.54</v>
      </c>
      <c r="C1101" s="5">
        <v>61.695</v>
      </c>
      <c r="D1101" s="5">
        <v>60.984999999999999</v>
      </c>
      <c r="E1101" s="5">
        <v>61.18</v>
      </c>
      <c r="F1101" s="6">
        <v>5390007</v>
      </c>
    </row>
    <row r="1102" spans="1:6" x14ac:dyDescent="0.2">
      <c r="A1102" s="4">
        <v>46072</v>
      </c>
      <c r="B1102" s="5">
        <v>60.93</v>
      </c>
      <c r="C1102" s="5">
        <v>61.06</v>
      </c>
      <c r="D1102" s="5">
        <v>59.98</v>
      </c>
      <c r="E1102" s="5">
        <v>60.85</v>
      </c>
      <c r="F1102" s="6">
        <v>4868391</v>
      </c>
    </row>
    <row r="1103" spans="1:6" x14ac:dyDescent="0.2">
      <c r="A1103" s="4">
        <v>46073</v>
      </c>
      <c r="B1103" s="5">
        <v>59.87</v>
      </c>
      <c r="C1103" s="5">
        <v>60.05</v>
      </c>
      <c r="D1103" s="5">
        <v>59.33</v>
      </c>
      <c r="E1103" s="5">
        <v>59.52</v>
      </c>
      <c r="F1103" s="6">
        <v>7219656</v>
      </c>
    </row>
    <row r="1104" spans="1:6" x14ac:dyDescent="0.2">
      <c r="A1104" s="4">
        <v>46076</v>
      </c>
      <c r="B1104" s="5">
        <v>59.27</v>
      </c>
      <c r="C1104" s="5">
        <v>59.71</v>
      </c>
      <c r="D1104" s="5">
        <v>59.02</v>
      </c>
      <c r="E1104" s="5">
        <v>59.26</v>
      </c>
      <c r="F1104" s="6">
        <v>6849339</v>
      </c>
    </row>
    <row r="1105" spans="1:6" x14ac:dyDescent="0.2">
      <c r="A1105" s="4">
        <v>46077</v>
      </c>
      <c r="B1105" s="5">
        <v>59.51</v>
      </c>
      <c r="C1105" s="5">
        <v>59.82</v>
      </c>
      <c r="D1105" s="5">
        <v>59.085000000000001</v>
      </c>
      <c r="E1105" s="5">
        <v>59.12</v>
      </c>
      <c r="F1105" s="6">
        <v>5755806</v>
      </c>
    </row>
    <row r="1106" spans="1:6" x14ac:dyDescent="0.2">
      <c r="A1106" s="4">
        <v>46078</v>
      </c>
      <c r="B1106" s="5">
        <v>59.67</v>
      </c>
      <c r="C1106" s="5">
        <v>59.935000000000002</v>
      </c>
      <c r="D1106" s="5">
        <v>59.49</v>
      </c>
      <c r="E1106" s="5">
        <v>59.54</v>
      </c>
      <c r="F1106" s="6">
        <v>4627146</v>
      </c>
    </row>
    <row r="1107" spans="1:6" x14ac:dyDescent="0.2">
      <c r="A1107" s="4">
        <v>46079</v>
      </c>
      <c r="B1107" s="5">
        <v>59</v>
      </c>
      <c r="C1107" s="5">
        <v>59.07</v>
      </c>
      <c r="D1107" s="5">
        <v>58.05</v>
      </c>
      <c r="E1107" s="5">
        <v>58.07</v>
      </c>
      <c r="F1107" s="6">
        <v>6224595</v>
      </c>
    </row>
    <row r="1108" spans="1:6" x14ac:dyDescent="0.2">
      <c r="A1108" s="4">
        <v>46080</v>
      </c>
      <c r="B1108" s="5">
        <v>58.43</v>
      </c>
      <c r="C1108" s="5">
        <v>59.36</v>
      </c>
      <c r="D1108" s="5">
        <v>58.33</v>
      </c>
      <c r="E1108" s="5">
        <v>59.13</v>
      </c>
      <c r="F1108" s="6">
        <v>5981886</v>
      </c>
    </row>
    <row r="1109" spans="1:6" x14ac:dyDescent="0.2">
      <c r="A1109" s="4">
        <v>46083</v>
      </c>
      <c r="B1109" s="5">
        <v>58.56</v>
      </c>
      <c r="C1109" s="5">
        <v>58.865000000000002</v>
      </c>
      <c r="D1109" s="5">
        <v>58</v>
      </c>
      <c r="E1109" s="5">
        <v>58.29</v>
      </c>
      <c r="F1109" s="6">
        <v>3167755</v>
      </c>
    </row>
    <row r="1110" spans="1:6" x14ac:dyDescent="0.2">
      <c r="A1110" s="4">
        <v>46084</v>
      </c>
      <c r="B1110" s="5">
        <v>56.82</v>
      </c>
      <c r="C1110" s="5">
        <v>57.344999999999999</v>
      </c>
      <c r="D1110" s="5">
        <v>56.16</v>
      </c>
      <c r="E1110" s="5">
        <v>57.07</v>
      </c>
      <c r="F1110" s="6">
        <v>3914023</v>
      </c>
    </row>
    <row r="1111" spans="1:6" x14ac:dyDescent="0.2">
      <c r="A1111" s="4">
        <v>46085</v>
      </c>
      <c r="B1111" s="5">
        <v>57.02</v>
      </c>
      <c r="C1111" s="5">
        <v>57.03</v>
      </c>
      <c r="D1111" s="5">
        <v>56.29</v>
      </c>
      <c r="E1111" s="5">
        <v>56.83</v>
      </c>
      <c r="F1111" s="6">
        <v>3815317</v>
      </c>
    </row>
    <row r="1112" spans="1:6" x14ac:dyDescent="0.2">
      <c r="A1112" s="4">
        <v>46086</v>
      </c>
      <c r="B1112" s="5">
        <v>56.03</v>
      </c>
      <c r="C1112" s="5">
        <v>56.08</v>
      </c>
      <c r="D1112" s="5">
        <v>54.72</v>
      </c>
      <c r="E1112" s="5">
        <v>55.27</v>
      </c>
      <c r="F1112" s="6">
        <v>6887633</v>
      </c>
    </row>
    <row r="1113" spans="1:6" x14ac:dyDescent="0.2">
      <c r="A1113" s="4">
        <v>46087</v>
      </c>
      <c r="B1113" s="5">
        <v>54.405000000000001</v>
      </c>
      <c r="C1113" s="5">
        <v>54.92</v>
      </c>
      <c r="D1113" s="5">
        <v>54.064999999999998</v>
      </c>
      <c r="E1113" s="5">
        <v>54.51</v>
      </c>
      <c r="F1113" s="6">
        <v>6192588</v>
      </c>
    </row>
    <row r="1114" spans="1:6" x14ac:dyDescent="0.2">
      <c r="A1114" s="4">
        <v>46090</v>
      </c>
      <c r="B1114" s="5">
        <v>54.36</v>
      </c>
      <c r="C1114" s="5">
        <v>55.58</v>
      </c>
      <c r="D1114" s="5">
        <v>53.92</v>
      </c>
      <c r="E1114" s="5">
        <v>55.51</v>
      </c>
      <c r="F1114" s="6">
        <v>5966952</v>
      </c>
    </row>
    <row r="1115" spans="1:6" x14ac:dyDescent="0.2">
      <c r="A1115" s="4">
        <v>46091</v>
      </c>
      <c r="B1115" s="5">
        <v>55.53</v>
      </c>
      <c r="C1115" s="5">
        <v>56.045000000000002</v>
      </c>
      <c r="D1115" s="5">
        <v>55.094999999999999</v>
      </c>
      <c r="E1115" s="5">
        <v>55.32</v>
      </c>
      <c r="F1115" s="6">
        <v>5365332</v>
      </c>
    </row>
    <row r="1116" spans="1:6" x14ac:dyDescent="0.2">
      <c r="A1116" s="4">
        <v>46092</v>
      </c>
      <c r="B1116" s="5">
        <v>55.3</v>
      </c>
      <c r="C1116" s="5">
        <v>55.557000000000002</v>
      </c>
      <c r="D1116" s="5">
        <v>54.79</v>
      </c>
      <c r="E1116" s="5">
        <v>55.15</v>
      </c>
      <c r="F1116" s="6">
        <v>5396020</v>
      </c>
    </row>
    <row r="1117" spans="1:6" x14ac:dyDescent="0.2">
      <c r="A1117" s="4">
        <v>46093</v>
      </c>
      <c r="B1117" s="5">
        <v>54.57</v>
      </c>
      <c r="C1117" s="5">
        <v>54.57</v>
      </c>
      <c r="D1117" s="5">
        <v>53.77</v>
      </c>
      <c r="E1117" s="5">
        <v>54.28</v>
      </c>
      <c r="F1117" s="6">
        <v>5329635</v>
      </c>
    </row>
    <row r="1118" spans="1:6" x14ac:dyDescent="0.2">
      <c r="A1118" s="4">
        <v>46094</v>
      </c>
      <c r="B1118" s="5">
        <v>54.48</v>
      </c>
      <c r="C1118" s="5">
        <v>54.73</v>
      </c>
      <c r="D1118" s="5">
        <v>53.37</v>
      </c>
      <c r="E1118" s="5">
        <v>53.39</v>
      </c>
      <c r="F1118" s="6">
        <v>4661241</v>
      </c>
    </row>
    <row r="1119" spans="1:6" x14ac:dyDescent="0.2">
      <c r="A1119" s="4">
        <v>46097</v>
      </c>
      <c r="B1119" s="5">
        <v>54.204999999999998</v>
      </c>
      <c r="C1119" s="5">
        <v>54.58</v>
      </c>
      <c r="D1119" s="5">
        <v>53.695</v>
      </c>
      <c r="E1119" s="5">
        <v>53.77</v>
      </c>
      <c r="F1119" s="6">
        <v>4149076</v>
      </c>
    </row>
    <row r="1120" spans="1:6" x14ac:dyDescent="0.2">
      <c r="A1120" s="4">
        <v>46098</v>
      </c>
      <c r="B1120" s="5">
        <v>53.73</v>
      </c>
      <c r="C1120" s="5">
        <v>53.99</v>
      </c>
      <c r="D1120" s="5">
        <v>53.37</v>
      </c>
      <c r="E1120" s="5">
        <v>53.41</v>
      </c>
      <c r="F1120" s="6">
        <v>3404391</v>
      </c>
    </row>
    <row r="1121" spans="1:6" x14ac:dyDescent="0.2">
      <c r="A1121" s="4">
        <v>46099</v>
      </c>
      <c r="B1121" s="5">
        <v>52.88</v>
      </c>
      <c r="C1121" s="5">
        <v>52.88</v>
      </c>
      <c r="D1121" s="5">
        <v>51.78</v>
      </c>
      <c r="E1121" s="5">
        <v>52.06</v>
      </c>
      <c r="F1121" s="6">
        <v>4654642</v>
      </c>
    </row>
    <row r="1122" spans="1:6" x14ac:dyDescent="0.2">
      <c r="A1122" s="4">
        <v>46100</v>
      </c>
      <c r="B1122" s="5">
        <v>51.72</v>
      </c>
      <c r="C1122" s="5">
        <v>52.69</v>
      </c>
      <c r="D1122" s="5">
        <v>51.65</v>
      </c>
      <c r="E1122" s="5">
        <v>52.37</v>
      </c>
      <c r="F1122" s="6">
        <v>3990439</v>
      </c>
    </row>
    <row r="1123" spans="1:6" x14ac:dyDescent="0.2">
      <c r="A1123" s="4">
        <v>46101</v>
      </c>
      <c r="B1123" s="5">
        <v>52.17</v>
      </c>
      <c r="C1123" s="5">
        <v>52.4</v>
      </c>
      <c r="D1123" s="5">
        <v>51.545000000000002</v>
      </c>
      <c r="E1123" s="5">
        <v>51.84</v>
      </c>
      <c r="F1123" s="6">
        <v>4637321</v>
      </c>
    </row>
    <row r="1124" spans="1:6" x14ac:dyDescent="0.2">
      <c r="A1124" s="4">
        <v>46104</v>
      </c>
      <c r="B1124" s="5">
        <v>52.19</v>
      </c>
      <c r="C1124" s="5">
        <v>52.69</v>
      </c>
      <c r="D1124" s="5">
        <v>51.795000000000002</v>
      </c>
      <c r="E1124" s="5">
        <v>51.99</v>
      </c>
      <c r="F1124" s="6">
        <v>4333628</v>
      </c>
    </row>
    <row r="1125" spans="1:6" x14ac:dyDescent="0.2">
      <c r="A1125" s="4">
        <v>46105</v>
      </c>
      <c r="B1125" s="5">
        <v>51.79</v>
      </c>
      <c r="C1125" s="5">
        <v>53.1</v>
      </c>
      <c r="D1125" s="5">
        <v>51.71</v>
      </c>
      <c r="E1125" s="5">
        <v>52.95</v>
      </c>
      <c r="F1125" s="6">
        <v>4778666</v>
      </c>
    </row>
    <row r="1126" spans="1:6" x14ac:dyDescent="0.2">
      <c r="A1126" s="4">
        <v>46106</v>
      </c>
      <c r="B1126" s="5">
        <v>54.384999999999998</v>
      </c>
      <c r="C1126" s="5">
        <v>54.981000000000002</v>
      </c>
      <c r="D1126" s="5">
        <v>54.07</v>
      </c>
      <c r="E1126" s="5">
        <v>54.7</v>
      </c>
      <c r="F1126" s="6">
        <v>5306366</v>
      </c>
    </row>
    <row r="1127" spans="1:6" x14ac:dyDescent="0.2">
      <c r="A1127" s="4">
        <v>46107</v>
      </c>
      <c r="B1127" s="5">
        <v>54.58</v>
      </c>
      <c r="C1127" s="5">
        <v>54.875</v>
      </c>
      <c r="D1127" s="5">
        <v>53.854999999999997</v>
      </c>
      <c r="E1127" s="5">
        <v>53.94</v>
      </c>
      <c r="F1127" s="6">
        <v>6556812</v>
      </c>
    </row>
    <row r="1128" spans="1:6" x14ac:dyDescent="0.2">
      <c r="A1128" s="4">
        <v>46108</v>
      </c>
      <c r="B1128" s="5">
        <v>54.225000000000001</v>
      </c>
      <c r="C1128" s="5">
        <v>54.75</v>
      </c>
      <c r="D1128" s="5">
        <v>53.79</v>
      </c>
      <c r="E1128" s="5">
        <v>53.84</v>
      </c>
      <c r="F1128" s="6">
        <v>3034219</v>
      </c>
    </row>
    <row r="1129" spans="1:6" x14ac:dyDescent="0.2">
      <c r="A1129" s="4">
        <v>46111</v>
      </c>
      <c r="B1129" s="5">
        <v>54.64</v>
      </c>
      <c r="C1129" s="5">
        <v>54.65</v>
      </c>
      <c r="D1129" s="5">
        <v>54.07</v>
      </c>
      <c r="E1129" s="5">
        <v>54.23</v>
      </c>
      <c r="F1129" s="6">
        <v>3361522</v>
      </c>
    </row>
    <row r="1130" spans="1:6" x14ac:dyDescent="0.2">
      <c r="A1130" s="4">
        <v>46112</v>
      </c>
      <c r="B1130" s="5">
        <v>54.74</v>
      </c>
      <c r="C1130" s="5">
        <v>55.25</v>
      </c>
      <c r="D1130" s="5">
        <v>54.37</v>
      </c>
      <c r="E1130" s="5">
        <v>55.19</v>
      </c>
      <c r="F1130" s="6">
        <v>5532363</v>
      </c>
    </row>
    <row r="1131" spans="1:6" x14ac:dyDescent="0.2">
      <c r="A1131" s="4">
        <v>46113</v>
      </c>
      <c r="B1131" s="5">
        <v>55.52</v>
      </c>
      <c r="C1131" s="5">
        <v>56.454999999999998</v>
      </c>
      <c r="D1131" s="5">
        <v>55.41</v>
      </c>
      <c r="E1131" s="5">
        <v>55.99</v>
      </c>
      <c r="F1131" s="6">
        <v>6254070</v>
      </c>
    </row>
    <row r="1132" spans="1:6" x14ac:dyDescent="0.2">
      <c r="A1132" s="4">
        <v>46114</v>
      </c>
      <c r="B1132" s="5">
        <v>56.01</v>
      </c>
      <c r="C1132" s="5">
        <v>57.18</v>
      </c>
      <c r="D1132" s="5">
        <v>55.924999999999997</v>
      </c>
      <c r="E1132" s="5">
        <v>56.69</v>
      </c>
      <c r="F1132" s="6">
        <v>3877549</v>
      </c>
    </row>
    <row r="1133" spans="1:6" x14ac:dyDescent="0.2">
      <c r="A1133" s="4">
        <v>46118</v>
      </c>
      <c r="B1133" s="5">
        <v>56.65</v>
      </c>
      <c r="C1133" s="5">
        <v>56.76</v>
      </c>
      <c r="D1133" s="5">
        <v>56.19</v>
      </c>
      <c r="E1133" s="5">
        <v>56.37</v>
      </c>
      <c r="F1133" s="6">
        <v>2051482</v>
      </c>
    </row>
    <row r="1134" spans="1:6" x14ac:dyDescent="0.2">
      <c r="A1134" s="4">
        <v>46119</v>
      </c>
      <c r="B1134" s="5">
        <v>55.88</v>
      </c>
      <c r="C1134" s="5">
        <v>55.954999999999998</v>
      </c>
      <c r="D1134" s="5">
        <v>55.11</v>
      </c>
      <c r="E1134" s="5">
        <v>55.84</v>
      </c>
      <c r="F1134" s="6">
        <v>3845855</v>
      </c>
    </row>
    <row r="1135" spans="1:6" x14ac:dyDescent="0.2">
      <c r="A1135" s="4">
        <v>46120</v>
      </c>
      <c r="B1135" s="5">
        <v>57.03</v>
      </c>
      <c r="C1135" s="5">
        <v>57.41</v>
      </c>
      <c r="D1135" s="5">
        <v>56.51</v>
      </c>
      <c r="E1135" s="5">
        <v>57.37</v>
      </c>
      <c r="F1135" s="6">
        <v>3809531</v>
      </c>
    </row>
    <row r="1136" spans="1:6" x14ac:dyDescent="0.2">
      <c r="A1136" s="4">
        <v>46121</v>
      </c>
      <c r="B1136" s="5">
        <v>57.15</v>
      </c>
      <c r="C1136" s="5">
        <v>58.655000000000001</v>
      </c>
      <c r="D1136" s="5">
        <v>57.01</v>
      </c>
      <c r="E1136" s="5">
        <v>58.36</v>
      </c>
      <c r="F1136" s="6">
        <v>3465820</v>
      </c>
    </row>
    <row r="1137" spans="1:6" x14ac:dyDescent="0.2">
      <c r="A1137" s="4">
        <v>46122</v>
      </c>
      <c r="B1137" s="5">
        <v>59.05</v>
      </c>
      <c r="C1137" s="5">
        <v>59.06</v>
      </c>
      <c r="D1137" s="5">
        <v>58.19</v>
      </c>
      <c r="E1137" s="5">
        <v>58.21</v>
      </c>
      <c r="F1137" s="6">
        <v>4407797</v>
      </c>
    </row>
    <row r="1138" spans="1:6" x14ac:dyDescent="0.2">
      <c r="A1138" s="4">
        <v>46125</v>
      </c>
      <c r="B1138" s="5">
        <v>58.38</v>
      </c>
      <c r="C1138" s="5">
        <v>58.975000000000001</v>
      </c>
      <c r="D1138" s="5">
        <v>58.16</v>
      </c>
      <c r="E1138" s="5">
        <v>58.94</v>
      </c>
      <c r="F1138" s="6">
        <v>4153647</v>
      </c>
    </row>
    <row r="1139" spans="1:6" x14ac:dyDescent="0.2">
      <c r="A1139" s="4">
        <v>46126</v>
      </c>
      <c r="B1139" s="5">
        <v>58.96</v>
      </c>
      <c r="C1139" s="5">
        <v>59.57</v>
      </c>
      <c r="D1139" s="5">
        <v>58.14</v>
      </c>
      <c r="E1139" s="5">
        <v>59.18</v>
      </c>
      <c r="F1139" s="6">
        <v>3753518</v>
      </c>
    </row>
    <row r="1140" spans="1:6" x14ac:dyDescent="0.2">
      <c r="A1140" s="4">
        <v>46127</v>
      </c>
      <c r="B1140" s="5">
        <v>59.28</v>
      </c>
      <c r="C1140" s="5">
        <v>59.28</v>
      </c>
      <c r="D1140" s="5">
        <v>57.475000000000001</v>
      </c>
      <c r="E1140" s="5">
        <v>57.81</v>
      </c>
      <c r="F1140" s="6">
        <v>3379569</v>
      </c>
    </row>
    <row r="1141" spans="1:6" x14ac:dyDescent="0.2">
      <c r="A1141" s="4">
        <v>46128</v>
      </c>
      <c r="B1141" s="5">
        <v>57.64</v>
      </c>
      <c r="C1141" s="5">
        <v>57.78</v>
      </c>
      <c r="D1141" s="5">
        <v>57.08</v>
      </c>
      <c r="E1141" s="5">
        <v>57.13</v>
      </c>
      <c r="F1141" s="6">
        <v>3002824</v>
      </c>
    </row>
    <row r="1142" spans="1:6" x14ac:dyDescent="0.2">
      <c r="A1142" s="4">
        <v>46129</v>
      </c>
      <c r="B1142" s="5">
        <v>57.69</v>
      </c>
      <c r="C1142" s="5">
        <v>58.354999999999997</v>
      </c>
      <c r="D1142" s="5">
        <v>57.43</v>
      </c>
      <c r="E1142" s="5">
        <v>58.35</v>
      </c>
      <c r="F1142" s="6">
        <v>2986407</v>
      </c>
    </row>
    <row r="1143" spans="1:6" x14ac:dyDescent="0.2">
      <c r="A1143" s="4">
        <v>46132</v>
      </c>
      <c r="B1143" s="5">
        <v>58.17</v>
      </c>
      <c r="C1143" s="5">
        <v>58.265000000000001</v>
      </c>
      <c r="D1143" s="5">
        <v>57.3</v>
      </c>
      <c r="E1143" s="5">
        <v>57.35</v>
      </c>
      <c r="F1143" s="6">
        <v>3662217</v>
      </c>
    </row>
    <row r="1144" spans="1:6" x14ac:dyDescent="0.2">
      <c r="A1144" s="4">
        <v>46133</v>
      </c>
      <c r="B1144" s="5">
        <v>56.48</v>
      </c>
      <c r="C1144" s="5">
        <v>56.51</v>
      </c>
      <c r="D1144" s="5">
        <v>55.95</v>
      </c>
      <c r="E1144" s="5">
        <v>56.12</v>
      </c>
      <c r="F1144" s="6">
        <v>3998928</v>
      </c>
    </row>
    <row r="1145" spans="1:6" x14ac:dyDescent="0.2">
      <c r="A1145" s="4">
        <v>46134</v>
      </c>
      <c r="B1145" s="5">
        <v>56.29</v>
      </c>
      <c r="C1145" s="5">
        <v>56.34</v>
      </c>
      <c r="D1145" s="5">
        <v>55.68</v>
      </c>
      <c r="E1145" s="5">
        <v>55.7</v>
      </c>
      <c r="F1145" s="6">
        <v>3584529</v>
      </c>
    </row>
    <row r="1146" spans="1:6" x14ac:dyDescent="0.2">
      <c r="A1146" s="4">
        <v>46135</v>
      </c>
      <c r="B1146" s="5">
        <v>55.98</v>
      </c>
      <c r="C1146" s="5">
        <v>56.19</v>
      </c>
      <c r="D1146" s="5">
        <v>55.505000000000003</v>
      </c>
      <c r="E1146" s="5">
        <v>55.63</v>
      </c>
      <c r="F1146" s="6">
        <v>3454014</v>
      </c>
    </row>
    <row r="1147" spans="1:6" x14ac:dyDescent="0.2">
      <c r="A1147" s="4">
        <v>46136</v>
      </c>
      <c r="B1147" s="5">
        <v>55.22</v>
      </c>
      <c r="C1147" s="5">
        <v>55.27</v>
      </c>
      <c r="D1147" s="5">
        <v>54.19</v>
      </c>
      <c r="E1147" s="5">
        <v>54.44</v>
      </c>
      <c r="F1147" s="6">
        <v>5048859</v>
      </c>
    </row>
    <row r="1148" spans="1:6" x14ac:dyDescent="0.2">
      <c r="A1148" s="4">
        <v>46139</v>
      </c>
      <c r="B1148" s="5">
        <v>54.21</v>
      </c>
      <c r="C1148" s="5">
        <v>54.79</v>
      </c>
      <c r="D1148" s="5">
        <v>54.18</v>
      </c>
      <c r="E1148" s="5">
        <v>54.22</v>
      </c>
      <c r="F1148" s="6">
        <v>3084705</v>
      </c>
    </row>
    <row r="1149" spans="1:6" x14ac:dyDescent="0.2">
      <c r="A1149" s="4">
        <v>46140</v>
      </c>
      <c r="B1149" s="5">
        <v>54.37</v>
      </c>
      <c r="C1149" s="5">
        <v>55.02</v>
      </c>
      <c r="D1149" s="5">
        <v>54.174999999999997</v>
      </c>
      <c r="E1149" s="5">
        <v>54.47</v>
      </c>
      <c r="F1149" s="6">
        <v>6752025</v>
      </c>
    </row>
    <row r="1150" spans="1:6" x14ac:dyDescent="0.2">
      <c r="A1150" s="4">
        <v>46141</v>
      </c>
      <c r="B1150" s="5">
        <v>50</v>
      </c>
      <c r="C1150" s="5">
        <v>52.13</v>
      </c>
      <c r="D1150" s="5">
        <v>49.986499999999999</v>
      </c>
      <c r="E1150" s="5">
        <v>51.4</v>
      </c>
      <c r="F1150" s="6">
        <v>11238540</v>
      </c>
    </row>
    <row r="1151" spans="1:6" x14ac:dyDescent="0.2">
      <c r="A1151" s="4">
        <v>46142</v>
      </c>
      <c r="B1151" s="5">
        <v>51.91</v>
      </c>
      <c r="C1151" s="5">
        <v>52.63</v>
      </c>
      <c r="D1151" s="5">
        <v>51.63</v>
      </c>
      <c r="E1151" s="5">
        <v>52.31</v>
      </c>
      <c r="F1151" s="6">
        <v>5148349</v>
      </c>
    </row>
    <row r="1152" spans="1:6" x14ac:dyDescent="0.2">
      <c r="A1152" s="4">
        <v>46143</v>
      </c>
      <c r="B1152" s="5">
        <v>51.8</v>
      </c>
      <c r="C1152" s="5">
        <v>52.23</v>
      </c>
      <c r="D1152" s="5">
        <v>51.52</v>
      </c>
      <c r="E1152" s="5">
        <v>51.61</v>
      </c>
      <c r="F1152" s="6">
        <v>3938164</v>
      </c>
    </row>
    <row r="1153" spans="1:6" x14ac:dyDescent="0.2">
      <c r="A1153" s="4">
        <v>46146</v>
      </c>
      <c r="B1153" s="5">
        <v>51.52</v>
      </c>
      <c r="C1153" s="5">
        <v>51.61</v>
      </c>
      <c r="D1153" s="5">
        <v>50.784999999999997</v>
      </c>
      <c r="E1153" s="5">
        <v>50.9</v>
      </c>
      <c r="F1153" s="6">
        <v>3202813</v>
      </c>
    </row>
    <row r="1154" spans="1:6" x14ac:dyDescent="0.2">
      <c r="A1154" s="4">
        <v>46147</v>
      </c>
      <c r="B1154" s="5">
        <v>50.45</v>
      </c>
      <c r="C1154" s="5">
        <v>50.65</v>
      </c>
      <c r="D1154" s="5">
        <v>50.02</v>
      </c>
      <c r="E1154" s="5">
        <v>50.38</v>
      </c>
      <c r="F1154" s="6">
        <v>3521803</v>
      </c>
    </row>
    <row r="1155" spans="1:6" x14ac:dyDescent="0.2">
      <c r="A1155" s="4">
        <v>46148</v>
      </c>
      <c r="B1155" s="5">
        <v>51.09</v>
      </c>
      <c r="C1155" s="5">
        <v>51.22</v>
      </c>
      <c r="D1155" s="5">
        <v>50.52</v>
      </c>
      <c r="E1155" s="5">
        <v>50.53</v>
      </c>
      <c r="F1155" s="6">
        <v>3897572</v>
      </c>
    </row>
    <row r="1156" spans="1:6" x14ac:dyDescent="0.2">
      <c r="A1156" s="4">
        <v>46149</v>
      </c>
      <c r="B1156" s="5">
        <v>50.82</v>
      </c>
      <c r="C1156" s="5">
        <v>50.82</v>
      </c>
      <c r="D1156" s="5">
        <v>50.414999999999999</v>
      </c>
      <c r="E1156" s="5">
        <v>50.5</v>
      </c>
      <c r="F1156" s="6">
        <v>3403388</v>
      </c>
    </row>
    <row r="1157" spans="1:6" x14ac:dyDescent="0.2">
      <c r="A1157" s="4">
        <v>46150</v>
      </c>
      <c r="B1157" s="5">
        <v>50.51</v>
      </c>
      <c r="C1157" s="5">
        <v>50.57</v>
      </c>
      <c r="D1157" s="5">
        <v>50.045000000000002</v>
      </c>
      <c r="E1157" s="5">
        <v>50.41</v>
      </c>
      <c r="F1157" s="6">
        <v>2409267</v>
      </c>
    </row>
    <row r="1158" spans="1:6" x14ac:dyDescent="0.2">
      <c r="A1158" s="4">
        <v>46153</v>
      </c>
      <c r="B1158" s="5">
        <v>50.65</v>
      </c>
      <c r="C1158" s="5">
        <v>50.92</v>
      </c>
      <c r="D1158" s="5">
        <v>49.71</v>
      </c>
      <c r="E1158" s="5">
        <v>49.81</v>
      </c>
      <c r="F1158" s="6">
        <v>3575532</v>
      </c>
    </row>
    <row r="1159" spans="1:6" x14ac:dyDescent="0.2">
      <c r="A1159" s="4">
        <v>46154</v>
      </c>
      <c r="B1159" s="5">
        <v>50.534999999999997</v>
      </c>
      <c r="C1159" s="5">
        <v>51.19</v>
      </c>
      <c r="D1159" s="5">
        <v>50.34</v>
      </c>
      <c r="E1159" s="5">
        <v>50.9</v>
      </c>
      <c r="F1159" s="6">
        <v>4848760</v>
      </c>
    </row>
    <row r="1160" spans="1:6" x14ac:dyDescent="0.2">
      <c r="A1160" s="4">
        <v>46155</v>
      </c>
      <c r="B1160" s="5">
        <v>50.33</v>
      </c>
      <c r="C1160" s="5">
        <v>51.244999999999997</v>
      </c>
      <c r="D1160" s="5">
        <v>50.25</v>
      </c>
      <c r="E1160" s="5">
        <v>50.99</v>
      </c>
      <c r="F1160" s="6">
        <v>4114166</v>
      </c>
    </row>
    <row r="1161" spans="1:6" x14ac:dyDescent="0.2">
      <c r="A1161" s="4">
        <v>46156</v>
      </c>
      <c r="B1161" s="5">
        <v>51.24</v>
      </c>
      <c r="C1161" s="5">
        <v>51.31</v>
      </c>
      <c r="D1161" s="5">
        <v>50.784999999999997</v>
      </c>
      <c r="E1161" s="5">
        <v>50.96</v>
      </c>
      <c r="F1161" s="6">
        <v>3536038</v>
      </c>
    </row>
    <row r="1162" spans="1:6" x14ac:dyDescent="0.2">
      <c r="A1162" s="4">
        <v>46157</v>
      </c>
      <c r="B1162" s="5">
        <v>50.15</v>
      </c>
      <c r="C1162" s="5">
        <v>50.25</v>
      </c>
      <c r="D1162" s="5">
        <v>49.384999999999998</v>
      </c>
      <c r="E1162" s="5">
        <v>49.67</v>
      </c>
      <c r="F1162" s="6">
        <v>3915138</v>
      </c>
    </row>
    <row r="1163" spans="1:6" x14ac:dyDescent="0.2">
      <c r="A1163" s="4">
        <v>46160</v>
      </c>
      <c r="B1163" s="5">
        <v>49.79</v>
      </c>
      <c r="C1163" s="5">
        <v>50.53</v>
      </c>
      <c r="D1163" s="5">
        <v>49.79</v>
      </c>
      <c r="E1163" s="5">
        <v>50.26</v>
      </c>
      <c r="F1163" s="6">
        <v>3108116</v>
      </c>
    </row>
    <row r="1164" spans="1:6" x14ac:dyDescent="0.2">
      <c r="A1164" s="4">
        <v>46161</v>
      </c>
      <c r="B1164" s="5">
        <v>50.42</v>
      </c>
      <c r="C1164" s="5">
        <v>51.255000000000003</v>
      </c>
      <c r="D1164" s="5">
        <v>50.41</v>
      </c>
      <c r="E1164" s="5">
        <v>51.05</v>
      </c>
      <c r="F1164" s="6">
        <v>3834731</v>
      </c>
    </row>
    <row r="1165" spans="1:6" x14ac:dyDescent="0.2">
      <c r="A1165" s="4">
        <v>46162</v>
      </c>
      <c r="B1165" s="5">
        <v>51.14</v>
      </c>
      <c r="C1165" s="5">
        <v>51.265000000000001</v>
      </c>
      <c r="D1165" s="5">
        <v>50.68</v>
      </c>
      <c r="E1165" s="5">
        <v>50.78</v>
      </c>
      <c r="F1165" s="6">
        <v>2898791</v>
      </c>
    </row>
    <row r="1166" spans="1:6" x14ac:dyDescent="0.2">
      <c r="A1166" s="4">
        <v>46163</v>
      </c>
      <c r="B1166" s="5">
        <v>50.84</v>
      </c>
      <c r="C1166" s="5">
        <v>51.765000000000001</v>
      </c>
      <c r="D1166" s="5">
        <v>50.59</v>
      </c>
      <c r="E1166" s="5">
        <v>51.53</v>
      </c>
      <c r="F1166" s="6">
        <v>2102483</v>
      </c>
    </row>
    <row r="1167" spans="1:6" x14ac:dyDescent="0.2">
      <c r="A1167" s="4">
        <v>46164</v>
      </c>
      <c r="B1167" s="5">
        <v>51.56</v>
      </c>
      <c r="C1167" s="5">
        <v>51.8</v>
      </c>
      <c r="D1167" s="5">
        <v>51.134999999999998</v>
      </c>
      <c r="E1167" s="5">
        <v>51.38</v>
      </c>
      <c r="F1167" s="6">
        <v>3154091</v>
      </c>
    </row>
    <row r="1168" spans="1:6" x14ac:dyDescent="0.2">
      <c r="A1168" s="4">
        <v>46168</v>
      </c>
      <c r="B1168" s="5">
        <v>51.87</v>
      </c>
      <c r="C1168" s="5">
        <v>51.9</v>
      </c>
      <c r="D1168" s="5">
        <v>51.12</v>
      </c>
      <c r="E1168" s="5">
        <v>51.5</v>
      </c>
      <c r="F1168" s="6">
        <v>2835528</v>
      </c>
    </row>
    <row r="1169" spans="1:6" x14ac:dyDescent="0.2">
      <c r="A1169" s="4">
        <v>46169</v>
      </c>
      <c r="B1169" s="5">
        <v>51.78</v>
      </c>
      <c r="C1169" s="5">
        <v>52.11</v>
      </c>
      <c r="D1169" s="5">
        <v>51.545000000000002</v>
      </c>
      <c r="E1169" s="5">
        <v>51.58</v>
      </c>
      <c r="F1169" s="6">
        <v>3066585</v>
      </c>
    </row>
    <row r="1170" spans="1:6" x14ac:dyDescent="0.2">
      <c r="A1170" s="4">
        <v>46170</v>
      </c>
      <c r="B1170" s="5">
        <v>51.35</v>
      </c>
      <c r="C1170" s="5">
        <v>51.94</v>
      </c>
      <c r="D1170" s="5">
        <v>51.21</v>
      </c>
      <c r="E1170" s="5">
        <v>51.24</v>
      </c>
      <c r="F1170" s="6">
        <v>3965371</v>
      </c>
    </row>
    <row r="1171" spans="1:6" x14ac:dyDescent="0.2">
      <c r="A1171" s="4">
        <v>46171</v>
      </c>
      <c r="B1171" s="5">
        <v>51.07</v>
      </c>
      <c r="C1171" s="5">
        <v>51.26</v>
      </c>
      <c r="D1171" s="5">
        <v>50.505000000000003</v>
      </c>
      <c r="E1171" s="5">
        <v>50.54</v>
      </c>
      <c r="F1171" s="6">
        <v>2798032</v>
      </c>
    </row>
    <row r="1172" spans="1:6" x14ac:dyDescent="0.2">
      <c r="A1172" s="4">
        <v>46174</v>
      </c>
      <c r="B1172" s="5">
        <v>49.98</v>
      </c>
      <c r="C1172" s="5">
        <v>50.14</v>
      </c>
      <c r="D1172" s="5">
        <v>49.174999999999997</v>
      </c>
      <c r="E1172" s="5">
        <v>49.31</v>
      </c>
      <c r="F1172" s="6">
        <v>4053456</v>
      </c>
    </row>
    <row r="1173" spans="1:6" x14ac:dyDescent="0.2">
      <c r="A1173" s="4">
        <v>46175</v>
      </c>
      <c r="B1173" s="5">
        <v>48.95</v>
      </c>
      <c r="C1173" s="5">
        <v>49.36</v>
      </c>
      <c r="D1173" s="5">
        <v>48.57</v>
      </c>
      <c r="E1173" s="5">
        <v>49</v>
      </c>
      <c r="F1173" s="6">
        <v>2942052</v>
      </c>
    </row>
    <row r="1174" spans="1:6" x14ac:dyDescent="0.2">
      <c r="A1174" s="4">
        <v>46176</v>
      </c>
      <c r="B1174" s="5">
        <v>49.47</v>
      </c>
      <c r="C1174" s="5">
        <v>49.89</v>
      </c>
      <c r="D1174" s="5">
        <v>49.39</v>
      </c>
      <c r="E1174" s="5">
        <v>49.72</v>
      </c>
      <c r="F1174" s="6">
        <v>3811760</v>
      </c>
    </row>
    <row r="1175" spans="1:6" x14ac:dyDescent="0.2">
      <c r="A1175" s="4">
        <v>46177</v>
      </c>
      <c r="B1175" s="5">
        <v>50.81</v>
      </c>
      <c r="C1175" s="5">
        <v>51.27</v>
      </c>
      <c r="D1175" s="5">
        <v>50.704999999999998</v>
      </c>
      <c r="E1175" s="5">
        <v>51.27</v>
      </c>
      <c r="F1175" s="6">
        <v>3894031</v>
      </c>
    </row>
    <row r="1176" spans="1:6" x14ac:dyDescent="0.2">
      <c r="A1176" s="4">
        <v>46178</v>
      </c>
      <c r="B1176" s="5">
        <v>51.42</v>
      </c>
      <c r="C1176" s="5">
        <v>51.97</v>
      </c>
      <c r="D1176" s="5">
        <v>51.265000000000001</v>
      </c>
      <c r="E1176" s="5">
        <v>51.52</v>
      </c>
      <c r="F1176" s="6">
        <v>4048091</v>
      </c>
    </row>
    <row r="1177" spans="1:6" x14ac:dyDescent="0.2">
      <c r="A1177" s="4">
        <v>46181</v>
      </c>
      <c r="B1177" s="5">
        <v>50.99</v>
      </c>
      <c r="C1177" s="5">
        <v>51.375</v>
      </c>
      <c r="D1177" s="5">
        <v>50.46</v>
      </c>
      <c r="E1177" s="5">
        <v>50.64</v>
      </c>
      <c r="F1177" s="6">
        <v>4836416</v>
      </c>
    </row>
    <row r="1178" spans="1:6" x14ac:dyDescent="0.2">
      <c r="A1178" s="4">
        <v>46182</v>
      </c>
      <c r="B1178" s="5">
        <v>50.43</v>
      </c>
      <c r="C1178" s="5">
        <v>51.335000000000001</v>
      </c>
      <c r="D1178" s="5">
        <v>50.35</v>
      </c>
      <c r="E1178" s="5">
        <v>51.25</v>
      </c>
      <c r="F1178" s="6">
        <v>6115445</v>
      </c>
    </row>
    <row r="1179" spans="1:6" x14ac:dyDescent="0.2">
      <c r="A1179" s="4">
        <v>46183</v>
      </c>
      <c r="B1179" s="5">
        <v>51.32</v>
      </c>
      <c r="C1179" s="5">
        <v>51.62</v>
      </c>
      <c r="D1179" s="5">
        <v>50.984999999999999</v>
      </c>
      <c r="E1179" s="5">
        <v>51.17</v>
      </c>
      <c r="F1179" s="6">
        <v>5076049</v>
      </c>
    </row>
    <row r="1180" spans="1:6" x14ac:dyDescent="0.2">
      <c r="A1180" s="4">
        <v>46184</v>
      </c>
      <c r="B1180" s="5">
        <v>52.18</v>
      </c>
      <c r="C1180" s="5">
        <v>53.21</v>
      </c>
      <c r="D1180" s="5">
        <v>52.08</v>
      </c>
      <c r="E1180" s="5">
        <v>52.86</v>
      </c>
      <c r="F1180" s="6">
        <v>5018503</v>
      </c>
    </row>
    <row r="1181" spans="1:6" x14ac:dyDescent="0.2">
      <c r="A1181" s="4">
        <v>46185</v>
      </c>
      <c r="B1181" s="5">
        <v>53.13</v>
      </c>
      <c r="C1181" s="5">
        <v>53.45</v>
      </c>
      <c r="D1181" s="5">
        <v>52.89</v>
      </c>
      <c r="E1181" s="5">
        <v>53.04</v>
      </c>
      <c r="F1181" s="6">
        <v>3805968</v>
      </c>
    </row>
    <row r="1182" spans="1:6" x14ac:dyDescent="0.2">
      <c r="A1182" s="4">
        <v>46188</v>
      </c>
      <c r="B1182" s="5">
        <v>52.93</v>
      </c>
      <c r="C1182" s="5">
        <v>53.204999999999998</v>
      </c>
      <c r="D1182" s="5">
        <v>52.17</v>
      </c>
      <c r="E1182" s="5">
        <v>52.23</v>
      </c>
      <c r="F1182" s="6">
        <v>3434301</v>
      </c>
    </row>
    <row r="1183" spans="1:6" x14ac:dyDescent="0.2">
      <c r="A1183" s="4">
        <v>46189</v>
      </c>
      <c r="B1183" s="5">
        <v>52.62</v>
      </c>
      <c r="C1183" s="5">
        <v>52.72</v>
      </c>
      <c r="D1183" s="5">
        <v>52.005000000000003</v>
      </c>
      <c r="E1183" s="5">
        <v>52.22</v>
      </c>
      <c r="F1183" s="6">
        <v>3853989</v>
      </c>
    </row>
    <row r="1184" spans="1:6" x14ac:dyDescent="0.2">
      <c r="A1184" s="4">
        <v>46190</v>
      </c>
      <c r="B1184" s="5">
        <v>52.48</v>
      </c>
      <c r="C1184" s="5">
        <v>52.814999999999998</v>
      </c>
      <c r="D1184" s="5">
        <v>51.784999999999997</v>
      </c>
      <c r="E1184" s="5">
        <v>52.15</v>
      </c>
      <c r="F1184" s="6">
        <v>4016836</v>
      </c>
    </row>
    <row r="1185" spans="1:6" x14ac:dyDescent="0.2">
      <c r="A1185" s="4">
        <v>46191</v>
      </c>
      <c r="B1185" s="5">
        <v>51.79</v>
      </c>
      <c r="C1185" s="5">
        <v>51.94</v>
      </c>
      <c r="D1185" s="5">
        <v>50.43</v>
      </c>
      <c r="E1185" s="5">
        <v>50.67</v>
      </c>
      <c r="F1185" s="6">
        <v>4219335</v>
      </c>
    </row>
    <row r="1186" spans="1:6" x14ac:dyDescent="0.2">
      <c r="A1186" s="4">
        <v>46195</v>
      </c>
      <c r="B1186" s="5">
        <v>50.79</v>
      </c>
      <c r="C1186" s="5">
        <v>51.174999999999997</v>
      </c>
      <c r="D1186" s="5">
        <v>50.59</v>
      </c>
      <c r="E1186" s="5">
        <v>50.74</v>
      </c>
      <c r="F1186" s="6">
        <v>3735158</v>
      </c>
    </row>
    <row r="1187" spans="1:6" x14ac:dyDescent="0.2">
      <c r="A1187" s="4">
        <v>46196</v>
      </c>
      <c r="B1187" s="5">
        <v>51.63</v>
      </c>
      <c r="C1187" s="5">
        <v>52.12</v>
      </c>
      <c r="D1187" s="5">
        <v>51.51</v>
      </c>
      <c r="E1187" s="5">
        <v>52.07</v>
      </c>
      <c r="F1187" s="6">
        <v>3008450</v>
      </c>
    </row>
    <row r="1188" spans="1:6" x14ac:dyDescent="0.2">
      <c r="A1188" s="4">
        <v>46197</v>
      </c>
      <c r="B1188" s="5">
        <v>52.15</v>
      </c>
      <c r="C1188" s="5">
        <v>52.2</v>
      </c>
      <c r="D1188" s="5">
        <v>51.015000000000001</v>
      </c>
      <c r="E1188" s="5">
        <v>51.09</v>
      </c>
      <c r="F1188" s="6">
        <v>3669866</v>
      </c>
    </row>
    <row r="1189" spans="1:6" x14ac:dyDescent="0.2">
      <c r="A1189" s="4">
        <v>46198</v>
      </c>
      <c r="B1189" s="5">
        <v>51.954999999999998</v>
      </c>
      <c r="C1189" s="5">
        <v>52.48</v>
      </c>
      <c r="D1189" s="5">
        <v>51.72</v>
      </c>
      <c r="E1189" s="5">
        <v>51.89</v>
      </c>
      <c r="F1189" s="6">
        <v>3575367</v>
      </c>
    </row>
    <row r="1190" spans="1:6" x14ac:dyDescent="0.2">
      <c r="A1190" s="4">
        <v>46199</v>
      </c>
      <c r="B1190" s="5">
        <v>51.64</v>
      </c>
      <c r="C1190" s="5">
        <v>52.715000000000003</v>
      </c>
      <c r="D1190" s="5">
        <v>51.61</v>
      </c>
      <c r="E1190" s="5">
        <v>52.5</v>
      </c>
      <c r="F1190" s="6">
        <v>4205019</v>
      </c>
    </row>
    <row r="1191" spans="1:6" x14ac:dyDescent="0.2">
      <c r="A1191" s="4">
        <v>46202</v>
      </c>
      <c r="B1191" s="5">
        <v>52.48</v>
      </c>
      <c r="C1191" s="5">
        <v>52.93</v>
      </c>
      <c r="D1191" s="5">
        <v>52.104999999999997</v>
      </c>
      <c r="E1191" s="5">
        <v>52.81</v>
      </c>
      <c r="F1191" s="6">
        <v>4183345</v>
      </c>
    </row>
    <row r="1192" spans="1:6" x14ac:dyDescent="0.2">
      <c r="A1192" s="4">
        <v>46203</v>
      </c>
      <c r="B1192" s="5">
        <v>52.59</v>
      </c>
      <c r="C1192" s="5">
        <v>52.69</v>
      </c>
      <c r="D1192" s="5">
        <v>51.505000000000003</v>
      </c>
      <c r="E1192" s="5">
        <v>52.42</v>
      </c>
      <c r="F1192" s="6">
        <v>4011091</v>
      </c>
    </row>
    <row r="1193" spans="1:6" x14ac:dyDescent="0.2">
      <c r="A1193" s="4">
        <v>46204</v>
      </c>
      <c r="B1193" s="5">
        <v>52.2</v>
      </c>
      <c r="C1193" s="5">
        <v>52.244999999999997</v>
      </c>
      <c r="D1193" s="5">
        <v>51.075000000000003</v>
      </c>
      <c r="E1193" s="5">
        <v>51.3</v>
      </c>
      <c r="F1193" s="6">
        <v>3202650</v>
      </c>
    </row>
    <row r="1194" spans="1:6" x14ac:dyDescent="0.2">
      <c r="A1194" s="4">
        <v>46205</v>
      </c>
      <c r="B1194" s="5">
        <v>52.42</v>
      </c>
      <c r="C1194" s="5">
        <v>53.835000000000001</v>
      </c>
      <c r="D1194" s="5">
        <v>52.25</v>
      </c>
      <c r="E1194" s="5">
        <v>53.66</v>
      </c>
      <c r="F1194" s="6">
        <v>3802658</v>
      </c>
    </row>
    <row r="1195" spans="1:6" x14ac:dyDescent="0.2">
      <c r="A1195" s="4">
        <v>46209</v>
      </c>
      <c r="B1195" s="5">
        <v>53.8</v>
      </c>
      <c r="C1195" s="5">
        <v>53.8</v>
      </c>
      <c r="D1195" s="5">
        <v>52.45</v>
      </c>
      <c r="E1195" s="5">
        <v>53.09</v>
      </c>
      <c r="F1195" s="6">
        <v>3776825</v>
      </c>
    </row>
    <row r="1196" spans="1:6" x14ac:dyDescent="0.2">
      <c r="A1196" s="4">
        <v>46210</v>
      </c>
      <c r="B1196" s="5">
        <v>54.15</v>
      </c>
      <c r="C1196" s="5">
        <v>54.29</v>
      </c>
      <c r="D1196" s="5">
        <v>53.134999999999998</v>
      </c>
      <c r="E1196" s="5">
        <v>53.32</v>
      </c>
      <c r="F1196" s="6">
        <v>3673256</v>
      </c>
    </row>
    <row r="1197" spans="1:6" x14ac:dyDescent="0.2">
      <c r="A1197" s="4">
        <v>46211</v>
      </c>
      <c r="B1197" s="5">
        <v>52.68</v>
      </c>
      <c r="C1197" s="5">
        <v>53.02</v>
      </c>
      <c r="D1197" s="5">
        <v>52.46</v>
      </c>
      <c r="E1197" s="5">
        <v>52.52</v>
      </c>
      <c r="F1197" s="6">
        <v>3083707</v>
      </c>
    </row>
    <row r="1198" spans="1:6" x14ac:dyDescent="0.2">
      <c r="A1198" s="4">
        <v>46212</v>
      </c>
      <c r="B1198" s="5">
        <v>52.55</v>
      </c>
      <c r="C1198" s="5">
        <v>52.85</v>
      </c>
      <c r="D1198" s="5">
        <v>52.295000000000002</v>
      </c>
      <c r="E1198" s="5">
        <v>52.47</v>
      </c>
      <c r="F1198" s="6">
        <v>2358079</v>
      </c>
    </row>
    <row r="1199" spans="1:6" x14ac:dyDescent="0.2">
      <c r="A1199" s="4">
        <v>46213</v>
      </c>
      <c r="B1199" s="5">
        <v>52.98</v>
      </c>
      <c r="C1199" s="5">
        <v>53.06</v>
      </c>
      <c r="D1199" s="5">
        <v>52.31</v>
      </c>
      <c r="E1199" s="5">
        <v>52.78</v>
      </c>
      <c r="F1199" s="6">
        <v>2867670</v>
      </c>
    </row>
    <row r="1200" spans="1:6" x14ac:dyDescent="0.2">
      <c r="A1200" s="4">
        <v>46216</v>
      </c>
      <c r="B1200" s="5">
        <v>51.97</v>
      </c>
      <c r="C1200" s="5">
        <v>52.68</v>
      </c>
      <c r="D1200" s="5">
        <v>51.75</v>
      </c>
      <c r="E1200" s="5">
        <v>52.29</v>
      </c>
      <c r="F1200" s="6">
        <v>2050821</v>
      </c>
    </row>
    <row r="1201" spans="1:6" x14ac:dyDescent="0.2">
      <c r="A1201" s="4">
        <v>46217</v>
      </c>
      <c r="B1201" s="5">
        <v>51.814999999999998</v>
      </c>
      <c r="C1201" s="5">
        <v>51.945</v>
      </c>
      <c r="D1201" s="5">
        <v>51.05</v>
      </c>
      <c r="E1201" s="5">
        <v>51.25</v>
      </c>
      <c r="F1201" s="6">
        <v>3315365</v>
      </c>
    </row>
    <row r="1202" spans="1:6" x14ac:dyDescent="0.2">
      <c r="A1202" s="4">
        <v>46218</v>
      </c>
      <c r="B1202" s="5">
        <v>51.22</v>
      </c>
      <c r="C1202" s="5">
        <v>51.82</v>
      </c>
      <c r="D1202" s="5">
        <v>51.08</v>
      </c>
      <c r="E1202" s="5">
        <v>51.45</v>
      </c>
      <c r="F1202" s="6">
        <v>2800186</v>
      </c>
    </row>
    <row r="1203" spans="1:6" x14ac:dyDescent="0.2">
      <c r="A1203" s="4">
        <v>46219</v>
      </c>
      <c r="B1203" s="5">
        <v>51.48</v>
      </c>
      <c r="C1203" s="5">
        <v>52.85</v>
      </c>
      <c r="D1203" s="5">
        <v>51.4</v>
      </c>
      <c r="E1203" s="5">
        <v>52.77</v>
      </c>
      <c r="F1203" s="6">
        <v>3978763</v>
      </c>
    </row>
    <row r="1204" spans="1:6" x14ac:dyDescent="0.2">
      <c r="A1204" s="4">
        <v>46220</v>
      </c>
      <c r="B1204" s="5">
        <v>51.07</v>
      </c>
      <c r="C1204" s="5">
        <v>52.27</v>
      </c>
      <c r="D1204" s="5">
        <v>51.04</v>
      </c>
      <c r="E1204" s="5">
        <v>51.76</v>
      </c>
      <c r="F1204" s="6">
        <v>10759790</v>
      </c>
    </row>
    <row r="1205" spans="1:6" x14ac:dyDescent="0.2">
      <c r="A1205" s="4">
        <v>46223</v>
      </c>
      <c r="B1205" s="5">
        <v>51.38</v>
      </c>
      <c r="C1205" s="5">
        <v>51.67</v>
      </c>
      <c r="D1205" s="5">
        <v>50.005000000000003</v>
      </c>
      <c r="E1205" s="5">
        <v>50.04</v>
      </c>
      <c r="F1205" s="6">
        <v>5345421</v>
      </c>
    </row>
    <row r="1206" spans="1:6" x14ac:dyDescent="0.2">
      <c r="A1206" s="4">
        <v>46224</v>
      </c>
      <c r="B1206" s="5">
        <v>50.26</v>
      </c>
      <c r="C1206" s="5">
        <v>51.31</v>
      </c>
      <c r="D1206" s="5">
        <v>50.16</v>
      </c>
      <c r="E1206" s="5">
        <v>50.78</v>
      </c>
      <c r="F1206" s="6">
        <v>3901504</v>
      </c>
    </row>
    <row r="1207" spans="1:6" x14ac:dyDescent="0.2">
      <c r="A1207" s="4">
        <v>46225</v>
      </c>
      <c r="B1207" s="5">
        <v>51.73</v>
      </c>
      <c r="C1207" s="5">
        <v>51.83</v>
      </c>
      <c r="D1207" s="5">
        <v>50.68</v>
      </c>
      <c r="E1207" s="5">
        <v>50.76</v>
      </c>
      <c r="F1207" s="6">
        <v>3976764</v>
      </c>
    </row>
    <row r="1208" spans="1:6" x14ac:dyDescent="0.2">
      <c r="A1208" s="4">
        <v>46226</v>
      </c>
      <c r="B1208" s="5">
        <v>50.02</v>
      </c>
      <c r="C1208" s="5">
        <v>50.87</v>
      </c>
      <c r="D1208" s="5">
        <v>49.89</v>
      </c>
      <c r="E1208" s="5">
        <v>50.74</v>
      </c>
      <c r="F1208" s="6">
        <v>4120568</v>
      </c>
    </row>
    <row r="1209" spans="1:6" x14ac:dyDescent="0.2">
      <c r="A1209" s="4">
        <v>46227</v>
      </c>
      <c r="B1209" s="5">
        <v>51.395000000000003</v>
      </c>
      <c r="C1209" s="5">
        <v>51.564999999999998</v>
      </c>
      <c r="D1209" s="5">
        <v>51</v>
      </c>
      <c r="E1209" s="5">
        <v>51.35</v>
      </c>
      <c r="F1209" s="6">
        <v>5863357</v>
      </c>
    </row>
    <row r="1210" spans="1:6" x14ac:dyDescent="0.2">
      <c r="A1210" s="4">
        <v>46230</v>
      </c>
      <c r="B1210" s="5">
        <v>52.034999999999997</v>
      </c>
      <c r="C1210" s="5">
        <v>52.67</v>
      </c>
      <c r="D1210" s="5">
        <v>51.73</v>
      </c>
      <c r="E1210" s="5">
        <v>51.98</v>
      </c>
      <c r="F1210" s="6">
        <v>5503300</v>
      </c>
    </row>
    <row r="1211" spans="1:6" x14ac:dyDescent="0.2">
      <c r="A1211" s="4">
        <v>46231</v>
      </c>
      <c r="B1211" s="5">
        <v>54.24</v>
      </c>
      <c r="C1211" s="5">
        <v>55.784999999999997</v>
      </c>
      <c r="D1211" s="5">
        <v>53.594999999999999</v>
      </c>
      <c r="E1211" s="5">
        <v>53.71</v>
      </c>
      <c r="F1211" s="6">
        <v>8292871</v>
      </c>
    </row>
    <row r="1212" spans="1:6" x14ac:dyDescent="0.2">
      <c r="A1212" s="4">
        <v>46232</v>
      </c>
      <c r="B1212" s="5">
        <v>53.94</v>
      </c>
      <c r="C1212" s="5">
        <v>53.96</v>
      </c>
      <c r="D1212" s="5">
        <v>52.66</v>
      </c>
      <c r="E1212" s="5">
        <v>53.22</v>
      </c>
      <c r="F1212" s="6">
        <v>6309737</v>
      </c>
    </row>
    <row r="1213" spans="1:6" x14ac:dyDescent="0.2">
      <c r="A1213" s="4">
        <v>46233</v>
      </c>
      <c r="B1213" s="5">
        <v>52.33</v>
      </c>
      <c r="C1213" s="5">
        <v>52.695</v>
      </c>
      <c r="D1213" s="5">
        <v>51.865000000000002</v>
      </c>
      <c r="E1213" s="5">
        <v>52.07</v>
      </c>
      <c r="F1213" s="6">
        <v>6110522</v>
      </c>
    </row>
    <row r="1214" spans="1:6" x14ac:dyDescent="0.2">
      <c r="A1214" s="4">
        <v>46234</v>
      </c>
      <c r="B1214" s="5">
        <v>51.945</v>
      </c>
      <c r="C1214" s="5">
        <v>51.975000000000001</v>
      </c>
      <c r="D1214" s="5">
        <v>51.38</v>
      </c>
      <c r="E1214" s="5">
        <v>51.69</v>
      </c>
      <c r="F1214" s="6">
        <v>3982166</v>
      </c>
    </row>
    <row r="1215" spans="1:6" x14ac:dyDescent="0.2">
      <c r="A1215" s="4">
        <v>46237</v>
      </c>
      <c r="B1215" s="5">
        <v>52.1</v>
      </c>
      <c r="C1215" s="5">
        <v>52.27</v>
      </c>
      <c r="D1215" s="5">
        <v>51.045000000000002</v>
      </c>
      <c r="E1215" s="5">
        <v>51.51</v>
      </c>
      <c r="F1215" s="6">
        <v>4530772</v>
      </c>
    </row>
    <row r="1216" spans="1:6" x14ac:dyDescent="0.2">
      <c r="A1216" s="4">
        <v>46238</v>
      </c>
      <c r="B1216" s="5">
        <v>51.47</v>
      </c>
      <c r="C1216" s="5">
        <v>51.704999999999998</v>
      </c>
      <c r="D1216" s="5">
        <v>50.93</v>
      </c>
      <c r="E1216" s="5">
        <v>51.53</v>
      </c>
      <c r="F1216" s="6">
        <v>4559028</v>
      </c>
    </row>
    <row r="1217" spans="1:6" x14ac:dyDescent="0.2">
      <c r="A1217" s="4">
        <v>46239</v>
      </c>
      <c r="B1217" s="5">
        <v>52.06</v>
      </c>
      <c r="C1217" s="5">
        <v>52.12</v>
      </c>
      <c r="D1217" s="5">
        <v>51.36</v>
      </c>
      <c r="E1217" s="5">
        <v>51.46</v>
      </c>
      <c r="F1217" s="6">
        <v>2483314</v>
      </c>
    </row>
    <row r="1218" spans="1:6" x14ac:dyDescent="0.2">
      <c r="A1218" s="4">
        <v>46240</v>
      </c>
      <c r="B1218" s="5">
        <v>52.44</v>
      </c>
      <c r="C1218" s="5">
        <v>52.57</v>
      </c>
      <c r="D1218" s="5">
        <v>51.884999999999998</v>
      </c>
      <c r="E1218" s="5">
        <v>52.17</v>
      </c>
      <c r="F1218" s="6">
        <v>2506644</v>
      </c>
    </row>
    <row r="1219" spans="1:6" x14ac:dyDescent="0.2">
      <c r="A1219" s="4">
        <v>46241</v>
      </c>
      <c r="B1219" s="5">
        <v>52.71</v>
      </c>
      <c r="C1219" s="5">
        <v>53.085000000000001</v>
      </c>
      <c r="D1219" s="5">
        <v>52.42</v>
      </c>
      <c r="E1219" s="5">
        <v>52.96</v>
      </c>
      <c r="F1219" s="6">
        <v>2522112</v>
      </c>
    </row>
    <row r="1220" spans="1:6" x14ac:dyDescent="0.2">
      <c r="A1220" s="4">
        <v>46244</v>
      </c>
      <c r="B1220" s="5">
        <v>51.53</v>
      </c>
      <c r="C1220" s="5">
        <v>52.195</v>
      </c>
      <c r="D1220" s="5">
        <v>51.47</v>
      </c>
      <c r="E1220" s="5">
        <v>52.16</v>
      </c>
      <c r="F1220" s="6">
        <v>3136164</v>
      </c>
    </row>
    <row r="1221" spans="1:6" x14ac:dyDescent="0.2">
      <c r="A1221" s="4">
        <v>46245</v>
      </c>
      <c r="B1221" s="5">
        <v>51.95</v>
      </c>
      <c r="C1221" s="5">
        <v>52.354999999999997</v>
      </c>
      <c r="D1221" s="5">
        <v>50.9</v>
      </c>
      <c r="E1221" s="5">
        <v>50.9</v>
      </c>
      <c r="F1221" s="6">
        <v>2924651</v>
      </c>
    </row>
    <row r="1222" spans="1:6" x14ac:dyDescent="0.2">
      <c r="A1222" s="4">
        <v>46246</v>
      </c>
      <c r="B1222" s="5">
        <v>50.11</v>
      </c>
      <c r="C1222" s="5">
        <v>50.47</v>
      </c>
      <c r="D1222" s="5">
        <v>49.860399999999998</v>
      </c>
      <c r="E1222" s="5">
        <v>50.3</v>
      </c>
      <c r="F1222" s="6">
        <v>4093343</v>
      </c>
    </row>
    <row r="1223" spans="1:6" x14ac:dyDescent="0.2">
      <c r="A1223" s="4">
        <v>46247</v>
      </c>
      <c r="B1223" s="5">
        <v>50.56</v>
      </c>
      <c r="C1223" s="5">
        <v>50.63</v>
      </c>
      <c r="D1223" s="5">
        <v>50.18</v>
      </c>
      <c r="E1223" s="5">
        <v>50.45</v>
      </c>
      <c r="F1223" s="6">
        <v>2692535</v>
      </c>
    </row>
    <row r="1224" spans="1:6" x14ac:dyDescent="0.2">
      <c r="A1224" s="4">
        <v>46248</v>
      </c>
      <c r="B1224" s="5">
        <v>49.04</v>
      </c>
      <c r="C1224" s="5">
        <v>49.57</v>
      </c>
      <c r="D1224" s="5">
        <v>48.860300000000002</v>
      </c>
      <c r="E1224" s="5">
        <v>49.52</v>
      </c>
      <c r="F1224" s="6">
        <v>3722991</v>
      </c>
    </row>
    <row r="1225" spans="1:6" x14ac:dyDescent="0.2">
      <c r="A1225" s="4">
        <v>46251</v>
      </c>
      <c r="B1225" s="5">
        <v>49.93</v>
      </c>
      <c r="C1225" s="5">
        <v>50.365000000000002</v>
      </c>
      <c r="D1225" s="5">
        <v>49.875</v>
      </c>
      <c r="E1225" s="5">
        <v>50.28</v>
      </c>
      <c r="F1225" s="6">
        <v>2814957</v>
      </c>
    </row>
    <row r="1226" spans="1:6" x14ac:dyDescent="0.2">
      <c r="A1226" s="4">
        <v>46252</v>
      </c>
      <c r="B1226" s="5">
        <v>50.76</v>
      </c>
      <c r="C1226" s="5">
        <v>51.353099999999998</v>
      </c>
      <c r="D1226" s="5">
        <v>50.65</v>
      </c>
      <c r="E1226" s="5">
        <v>51.15</v>
      </c>
      <c r="F1226" s="6">
        <v>2828981</v>
      </c>
    </row>
    <row r="1227" spans="1:6" x14ac:dyDescent="0.2">
      <c r="A1227" s="4">
        <v>46253</v>
      </c>
      <c r="B1227" s="5">
        <v>51.4</v>
      </c>
      <c r="C1227" s="5">
        <v>52.945</v>
      </c>
      <c r="D1227" s="5">
        <v>51.35</v>
      </c>
      <c r="E1227" s="5">
        <v>52.88</v>
      </c>
      <c r="F1227" s="6">
        <v>3902448</v>
      </c>
    </row>
    <row r="1228" spans="1:6" x14ac:dyDescent="0.2">
      <c r="A1228" s="4">
        <v>46254</v>
      </c>
      <c r="B1228" s="5">
        <v>52.57</v>
      </c>
      <c r="C1228" s="5">
        <v>52.63</v>
      </c>
      <c r="D1228" s="5">
        <v>51.86</v>
      </c>
      <c r="E1228" s="5">
        <v>51.96</v>
      </c>
      <c r="F1228" s="6">
        <v>3598464</v>
      </c>
    </row>
    <row r="1229" spans="1:6" x14ac:dyDescent="0.2">
      <c r="A1229" s="4">
        <v>46255</v>
      </c>
      <c r="B1229" s="5">
        <v>51.35</v>
      </c>
      <c r="C1229" s="5">
        <v>52.57</v>
      </c>
      <c r="D1229" s="5">
        <v>51.35</v>
      </c>
      <c r="E1229" s="5">
        <v>52.41</v>
      </c>
      <c r="F1229" s="6">
        <v>2404981</v>
      </c>
    </row>
    <row r="1230" spans="1:6" x14ac:dyDescent="0.2">
      <c r="A1230" s="4">
        <v>46258</v>
      </c>
      <c r="B1230" s="5">
        <v>51.54</v>
      </c>
      <c r="C1230" s="5">
        <v>51.949100000000001</v>
      </c>
      <c r="D1230" s="5">
        <v>51.4</v>
      </c>
      <c r="E1230" s="5">
        <v>51.78</v>
      </c>
      <c r="F1230" s="6">
        <v>2886329</v>
      </c>
    </row>
    <row r="1231" spans="1:6" x14ac:dyDescent="0.2">
      <c r="A1231" s="4">
        <v>46259</v>
      </c>
      <c r="B1231" s="5">
        <v>51.57</v>
      </c>
      <c r="C1231" s="5">
        <v>52.21</v>
      </c>
      <c r="D1231" s="5">
        <v>51.51</v>
      </c>
      <c r="E1231" s="5">
        <v>52.07</v>
      </c>
      <c r="F1231" s="6">
        <v>2699124</v>
      </c>
    </row>
    <row r="1232" spans="1:6" x14ac:dyDescent="0.2">
      <c r="A1232" s="4">
        <v>46260</v>
      </c>
      <c r="B1232" s="5">
        <v>51.9</v>
      </c>
      <c r="C1232" s="5">
        <v>52.09</v>
      </c>
      <c r="D1232" s="5">
        <v>51.4</v>
      </c>
      <c r="E1232" s="5">
        <v>51.43</v>
      </c>
      <c r="F1232" s="6">
        <v>1717009</v>
      </c>
    </row>
    <row r="1233" spans="1:6" x14ac:dyDescent="0.2">
      <c r="A1233" s="4">
        <v>46261</v>
      </c>
      <c r="B1233" s="5">
        <v>50.945</v>
      </c>
      <c r="C1233" s="5">
        <v>51.03</v>
      </c>
      <c r="D1233" s="5">
        <v>50.164999999999999</v>
      </c>
      <c r="E1233" s="5">
        <v>50.27</v>
      </c>
      <c r="F1233" s="6">
        <v>2466386</v>
      </c>
    </row>
    <row r="1234" spans="1:6" x14ac:dyDescent="0.2">
      <c r="A1234" s="4">
        <v>46262</v>
      </c>
      <c r="B1234" s="5">
        <v>50.22</v>
      </c>
      <c r="C1234" s="5">
        <v>50.88</v>
      </c>
      <c r="D1234" s="5">
        <v>49.95</v>
      </c>
      <c r="E1234" s="5">
        <v>50.82</v>
      </c>
      <c r="F1234" s="6">
        <v>3432154</v>
      </c>
    </row>
    <row r="1235" spans="1:6" x14ac:dyDescent="0.2">
      <c r="A1235" s="4">
        <v>46265</v>
      </c>
      <c r="B1235" s="5">
        <v>50.62</v>
      </c>
      <c r="C1235" s="5">
        <v>50.82</v>
      </c>
      <c r="D1235" s="5">
        <v>50.25</v>
      </c>
      <c r="E1235" s="5">
        <v>50.25</v>
      </c>
      <c r="F1235" s="6">
        <v>2394075</v>
      </c>
    </row>
    <row r="1236" spans="1:6" x14ac:dyDescent="0.2">
      <c r="A1236" s="4">
        <v>46266</v>
      </c>
      <c r="B1236" s="5">
        <v>51.11</v>
      </c>
      <c r="C1236" s="5">
        <v>51.26</v>
      </c>
      <c r="D1236" s="5">
        <v>50.465000000000003</v>
      </c>
      <c r="E1236" s="5">
        <v>50.66</v>
      </c>
      <c r="F1236" s="6">
        <v>3272440</v>
      </c>
    </row>
    <row r="1237" spans="1:6" x14ac:dyDescent="0.2">
      <c r="A1237" s="4">
        <v>46267</v>
      </c>
      <c r="B1237" s="5">
        <v>50.36</v>
      </c>
      <c r="C1237" s="5">
        <v>51.08</v>
      </c>
      <c r="D1237" s="5">
        <v>50.04</v>
      </c>
      <c r="E1237" s="5">
        <v>50.44</v>
      </c>
      <c r="F1237" s="6">
        <v>2938445</v>
      </c>
    </row>
    <row r="1238" spans="1:6" x14ac:dyDescent="0.2">
      <c r="A1238" s="4">
        <v>46268</v>
      </c>
      <c r="B1238" s="5">
        <v>51.5</v>
      </c>
      <c r="C1238" s="5">
        <v>51.52</v>
      </c>
      <c r="D1238" s="5">
        <v>50.19</v>
      </c>
      <c r="E1238" s="5">
        <v>50.87</v>
      </c>
      <c r="F1238" s="6">
        <v>2443319</v>
      </c>
    </row>
    <row r="1239" spans="1:6" x14ac:dyDescent="0.2">
      <c r="A1239" s="4">
        <v>46269</v>
      </c>
      <c r="B1239" s="5">
        <v>49.7</v>
      </c>
      <c r="C1239" s="5">
        <v>50.06</v>
      </c>
      <c r="D1239" s="5">
        <v>49.66</v>
      </c>
      <c r="E1239" s="5">
        <v>49.89</v>
      </c>
      <c r="F1239" s="6">
        <v>2287091</v>
      </c>
    </row>
    <row r="1240" spans="1:6" x14ac:dyDescent="0.2">
      <c r="A1240" s="4">
        <v>46273</v>
      </c>
      <c r="B1240" s="5">
        <v>49</v>
      </c>
      <c r="C1240" s="5">
        <v>49.234900000000003</v>
      </c>
      <c r="D1240" s="5">
        <v>48.54</v>
      </c>
      <c r="E1240" s="5">
        <v>48.54</v>
      </c>
      <c r="F1240" s="6">
        <v>3062276</v>
      </c>
    </row>
    <row r="1241" spans="1:6" x14ac:dyDescent="0.2">
      <c r="A1241" s="4">
        <v>46274</v>
      </c>
      <c r="B1241" s="5">
        <v>48.814999999999998</v>
      </c>
      <c r="C1241" s="5">
        <v>49.16</v>
      </c>
      <c r="D1241" s="5">
        <v>48.6</v>
      </c>
      <c r="E1241" s="5">
        <v>48.63</v>
      </c>
      <c r="F1241" s="6">
        <v>2405273</v>
      </c>
    </row>
    <row r="1242" spans="1:6" x14ac:dyDescent="0.2">
      <c r="A1242" s="4">
        <v>46275</v>
      </c>
      <c r="B1242" s="5">
        <v>48.47</v>
      </c>
      <c r="C1242" s="5">
        <v>48.59</v>
      </c>
      <c r="D1242" s="5">
        <v>47.975000000000001</v>
      </c>
      <c r="E1242" s="5">
        <v>48.12</v>
      </c>
      <c r="F1242" s="6">
        <v>2151048</v>
      </c>
    </row>
    <row r="1243" spans="1:6" x14ac:dyDescent="0.2">
      <c r="A1243" s="4">
        <v>46276</v>
      </c>
      <c r="B1243" s="5">
        <v>48.7</v>
      </c>
      <c r="C1243" s="5">
        <v>48.8</v>
      </c>
      <c r="D1243" s="5">
        <v>47.85</v>
      </c>
      <c r="E1243" s="5">
        <v>48.13</v>
      </c>
      <c r="F1243" s="6">
        <v>2276994</v>
      </c>
    </row>
    <row r="1244" spans="1:6" x14ac:dyDescent="0.2">
      <c r="A1244" s="4">
        <v>46279</v>
      </c>
      <c r="B1244" s="5">
        <v>50.29</v>
      </c>
      <c r="C1244" s="5">
        <v>50.3</v>
      </c>
      <c r="D1244" s="5">
        <v>49.61</v>
      </c>
      <c r="E1244" s="5">
        <v>50.05</v>
      </c>
      <c r="F1244" s="6">
        <v>3004070</v>
      </c>
    </row>
    <row r="1245" spans="1:6" x14ac:dyDescent="0.2">
      <c r="A1245" s="4">
        <v>46280</v>
      </c>
      <c r="B1245" s="5">
        <v>49.69</v>
      </c>
      <c r="C1245" s="5">
        <v>50.155000000000001</v>
      </c>
      <c r="D1245" s="5">
        <v>49.63</v>
      </c>
      <c r="E1245" s="5">
        <v>50.01</v>
      </c>
      <c r="F1245" s="6">
        <v>2739771</v>
      </c>
    </row>
    <row r="1246" spans="1:6" x14ac:dyDescent="0.2">
      <c r="A1246" s="4">
        <v>46281</v>
      </c>
      <c r="B1246" s="5">
        <v>50.19</v>
      </c>
      <c r="C1246" s="5">
        <v>50.71</v>
      </c>
      <c r="D1246" s="5">
        <v>50.055</v>
      </c>
      <c r="E1246" s="5">
        <v>50.29</v>
      </c>
      <c r="F1246" s="6">
        <v>2844569</v>
      </c>
    </row>
    <row r="1247" spans="1:6" x14ac:dyDescent="0.2">
      <c r="A1247" s="4">
        <v>46282</v>
      </c>
      <c r="B1247" s="5">
        <v>50.72</v>
      </c>
      <c r="C1247" s="5">
        <v>51.075000000000003</v>
      </c>
      <c r="D1247" s="5">
        <v>50.62</v>
      </c>
      <c r="E1247" s="5">
        <v>51.06</v>
      </c>
      <c r="F1247" s="6">
        <v>3075204</v>
      </c>
    </row>
    <row r="1248" spans="1:6" x14ac:dyDescent="0.2">
      <c r="A1248" s="4">
        <v>46283</v>
      </c>
      <c r="B1248" s="5">
        <v>50.2</v>
      </c>
      <c r="C1248" s="5">
        <v>50.33</v>
      </c>
      <c r="D1248" s="5">
        <v>49.5</v>
      </c>
      <c r="E1248" s="5">
        <v>50.22</v>
      </c>
      <c r="F1248" s="6">
        <v>4709244</v>
      </c>
    </row>
    <row r="1249" spans="1:6" x14ac:dyDescent="0.2">
      <c r="A1249" s="4">
        <v>46286</v>
      </c>
      <c r="B1249" s="5">
        <v>50.75</v>
      </c>
      <c r="C1249" s="5">
        <v>51.32</v>
      </c>
      <c r="D1249" s="5">
        <v>50.46</v>
      </c>
      <c r="E1249" s="5">
        <v>51.08</v>
      </c>
      <c r="F1249" s="6">
        <v>2872198</v>
      </c>
    </row>
    <row r="1250" spans="1:6" x14ac:dyDescent="0.2">
      <c r="A1250" s="4">
        <v>46287</v>
      </c>
      <c r="B1250" s="5">
        <v>50.69</v>
      </c>
      <c r="C1250" s="5">
        <v>50.99</v>
      </c>
      <c r="D1250" s="5">
        <v>50.22</v>
      </c>
      <c r="E1250" s="5">
        <v>50.72</v>
      </c>
      <c r="F1250" s="6">
        <v>4296171</v>
      </c>
    </row>
    <row r="1251" spans="1:6" x14ac:dyDescent="0.2">
      <c r="A1251" s="4">
        <v>46288</v>
      </c>
      <c r="B1251" s="5">
        <v>50.18</v>
      </c>
      <c r="C1251" s="5">
        <v>50.74</v>
      </c>
      <c r="D1251" s="5">
        <v>49.67</v>
      </c>
      <c r="E1251" s="5">
        <v>49.71</v>
      </c>
      <c r="F1251" s="6">
        <v>3040863</v>
      </c>
    </row>
    <row r="1252" spans="1:6" x14ac:dyDescent="0.2">
      <c r="A1252" s="4">
        <v>46289</v>
      </c>
      <c r="B1252" s="5">
        <v>49.59</v>
      </c>
      <c r="C1252" s="5">
        <v>50.139499999999998</v>
      </c>
      <c r="D1252" s="5">
        <v>49.564999999999998</v>
      </c>
      <c r="E1252" s="5">
        <v>49.65</v>
      </c>
      <c r="F1252" s="6">
        <v>2839012</v>
      </c>
    </row>
    <row r="1253" spans="1:6" x14ac:dyDescent="0.2">
      <c r="A1253" s="4">
        <v>46290</v>
      </c>
      <c r="B1253" s="5">
        <v>49.49</v>
      </c>
      <c r="C1253" s="5">
        <v>49.494999999999997</v>
      </c>
      <c r="D1253" s="5">
        <v>49</v>
      </c>
      <c r="E1253" s="5">
        <v>49.24</v>
      </c>
      <c r="F1253" s="6">
        <v>3324156</v>
      </c>
    </row>
    <row r="1254" spans="1:6" x14ac:dyDescent="0.2">
      <c r="A1254" s="4">
        <v>46293</v>
      </c>
      <c r="B1254" s="5">
        <v>49.17</v>
      </c>
      <c r="C1254" s="5">
        <v>49.8</v>
      </c>
      <c r="D1254" s="5">
        <v>48.98</v>
      </c>
      <c r="E1254" s="5">
        <v>49.7</v>
      </c>
      <c r="F1254" s="6">
        <v>3586711</v>
      </c>
    </row>
    <row r="1255" spans="1:6" x14ac:dyDescent="0.2">
      <c r="A1255" s="4">
        <v>46294</v>
      </c>
      <c r="B1255" s="5">
        <v>49.405000000000001</v>
      </c>
      <c r="C1255" s="5">
        <v>49.82</v>
      </c>
      <c r="D1255" s="5">
        <v>48.962299999999999</v>
      </c>
      <c r="E1255" s="5">
        <v>49.35</v>
      </c>
      <c r="F1255" s="6">
        <v>2892716</v>
      </c>
    </row>
    <row r="1256" spans="1:6" x14ac:dyDescent="0.2">
      <c r="A1256" s="4">
        <v>46295</v>
      </c>
      <c r="B1256" s="5">
        <v>48.924999999999997</v>
      </c>
      <c r="C1256" s="5">
        <v>49.05</v>
      </c>
      <c r="D1256" s="5">
        <v>48.17</v>
      </c>
      <c r="E1256" s="5">
        <v>48.17</v>
      </c>
      <c r="F1256" s="6">
        <v>5852600</v>
      </c>
    </row>
    <row r="1257" spans="1:6" x14ac:dyDescent="0.2">
      <c r="A1257" s="4">
        <v>46296</v>
      </c>
      <c r="B1257" s="5">
        <v>48.16</v>
      </c>
      <c r="C1257" s="5">
        <v>48.23</v>
      </c>
      <c r="D1257" s="5">
        <v>47.13</v>
      </c>
      <c r="E1257" s="5">
        <v>47.18</v>
      </c>
      <c r="F1257" s="6">
        <v>7897512</v>
      </c>
    </row>
    <row r="1258" spans="1:6" x14ac:dyDescent="0.2">
      <c r="A1258" s="4">
        <v>46297</v>
      </c>
      <c r="B1258" s="5">
        <v>47.08</v>
      </c>
      <c r="C1258" s="5">
        <v>47.16</v>
      </c>
      <c r="D1258" s="5">
        <v>46.84</v>
      </c>
      <c r="E1258" s="5">
        <v>47.03</v>
      </c>
      <c r="F1258" s="6">
        <v>5386360</v>
      </c>
    </row>
  </sheetData>
  <autoFilter ref="A4:F1258" xr:uid="{C1386B7F-F0F5-41CC-AFD5-6427BA2C6617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6C9954AD-E7AA-4680-A4CA-459D99337FBC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4A62-0430-4ECF-89DE-5E90427972E5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47.774999999999999</v>
      </c>
      <c r="C5" s="18">
        <v>79.164299999999997</v>
      </c>
      <c r="D5" s="18">
        <v>121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-1.5593929879644142E-2</v>
      </c>
      <c r="AD5" s="34">
        <f ca="1">IF(AC5="","",AC5-ROW()*0.000000001)</f>
        <v>-1.5593934879644143E-2</v>
      </c>
      <c r="AE5" s="32">
        <f ca="1">IF(AD5="","",COUNTIF($AD$5:$AD$16,"&gt;"&amp;AD5)+1)</f>
        <v>9</v>
      </c>
      <c r="AF5" s="32" t="str">
        <f ca="1">IF(AC5="",AB5,AB5&amp;" "&amp;TEXT(AC5,"+0.0%;-0.0%;0.0%"))</f>
        <v>GSK -1.6%</v>
      </c>
      <c r="AG5" s="34">
        <f ca="1">IF(AE5="","",INDEX($AK$5:$AK$16,AE5))</f>
        <v>0.10204726466641928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47.662500000000001</v>
      </c>
      <c r="C6" s="18">
        <v>79.125600000000006</v>
      </c>
      <c r="D6" s="18">
        <v>120.27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-2.3547880690737433E-3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1.1349036402569457E-2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48.325000000000003</v>
      </c>
      <c r="C7" s="18">
        <v>79.793099999999995</v>
      </c>
      <c r="D7" s="18">
        <v>121.98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1.151229722658309E-2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2.8907922912205342E-2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48.387500000000003</v>
      </c>
      <c r="C8" s="18">
        <v>80.131699999999995</v>
      </c>
      <c r="D8" s="18">
        <v>123.83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1.2820512820512997E-2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6.8308351177730042E-2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0.11884368308351179</v>
      </c>
      <c r="AD8" s="34">
        <f ca="1">IF(AC8="","",AC8-ROW()*0.000000001)</f>
        <v>0.11884367508351179</v>
      </c>
      <c r="AE8" s="32">
        <f ca="1">IF(AD8="","",COUNTIF($AD$5:$AD$16,"&gt;"&amp;AD8)+1)</f>
        <v>7</v>
      </c>
      <c r="AF8" s="32" t="str">
        <f ca="1">IF(AC8="",AB8,AB8&amp;" "&amp;TEXT(AC8,"+0.0%;-0.0%;0.0%"))</f>
        <v>ROG +11.9%</v>
      </c>
      <c r="AG8" s="34">
        <f ca="1">IF(AE8="","",INDEX($AK$5:$AK$16,AE8))</f>
        <v>0.56424462880700554</v>
      </c>
      <c r="AH8" s="32">
        <v>4</v>
      </c>
      <c r="AI8" s="34">
        <f ca="1">IF('Stock Price'!$I$11="OK",LARGE($AD$5:$AD$16,AH8),"")</f>
        <v>0.76838234194117661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47.8</v>
      </c>
      <c r="C9" s="18">
        <v>79.657700000000006</v>
      </c>
      <c r="D9" s="18">
        <v>123.4924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5.2328623757191828E-4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4.5610278372590907E-2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-0.17384105960264895</v>
      </c>
      <c r="AD9" s="34">
        <f ca="1">IF(AC9="","",AC9-ROW()*0.000000001)</f>
        <v>-0.17384106860264895</v>
      </c>
      <c r="AE9" s="32">
        <f ca="1">IF(AD9="","",COUNTIF($AD$5:$AD$16,"&gt;"&amp;AD9)+1)</f>
        <v>11</v>
      </c>
      <c r="AF9" s="32" t="str">
        <f ca="1">IF(AC9="",AB9,AB9&amp;" "&amp;TEXT(AC9,"+0.0%;-0.0%;0.0%"))</f>
        <v>SNY -17.4%</v>
      </c>
      <c r="AG9" s="34">
        <f ca="1">IF(AE9="","",INDEX($AK$5:$AK$16,AE9))</f>
        <v>-0.36015009947416693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48.3</v>
      </c>
      <c r="C10" s="18">
        <v>79.309399999999997</v>
      </c>
      <c r="D10" s="18">
        <v>122.92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1.098901098901095E-2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3.276231263383278E-2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-2.6535253980288109E-2</v>
      </c>
      <c r="AD10" s="34">
        <f ca="1">IF(AC10="","",AC10-ROW()*0.000000001)</f>
        <v>-2.6535263980288111E-2</v>
      </c>
      <c r="AE10" s="32">
        <f ca="1">IF(AD10="","",COUNTIF($AD$5:$AD$16,"&gt;"&amp;AD10)+1)</f>
        <v>10</v>
      </c>
      <c r="AF10" s="32" t="str">
        <f ca="1">IF(AC10="",AB10,AB10&amp;" "&amp;TEXT(AC10,"+0.0%;-0.0%;0.0%"))</f>
        <v>BAYNr -2.7%</v>
      </c>
      <c r="AG10" s="34">
        <f ca="1">IF(AE10="","",INDEX($AK$5:$AK$16,AE10))</f>
        <v>-0.12905141740387382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48.5</v>
      </c>
      <c r="C11" s="18">
        <v>79.744799999999998</v>
      </c>
      <c r="D11" s="18">
        <v>119.09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1.517530088958674E-2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3.2548179871520366E-2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0.76838235294117663</v>
      </c>
      <c r="AD11" s="34">
        <f ca="1">IF(AC11="","",AC11-ROW()*0.000000001)</f>
        <v>0.76838234194117661</v>
      </c>
      <c r="AE11" s="32">
        <f ca="1">IF(AD11="","",COUNTIF($AD$5:$AD$16,"&gt;"&amp;AD11)+1)</f>
        <v>4</v>
      </c>
      <c r="AF11" s="32" t="str">
        <f ca="1">IF(AC11="",AB11,AB11&amp;" "&amp;TEXT(AC11,"+0.0%;-0.0%;0.0%"))</f>
        <v>MRK +76.8%</v>
      </c>
      <c r="AG11" s="34">
        <f ca="1">IF(AE11="","",INDEX($AK$5:$AK$16,AE11))</f>
        <v>1.257540675017885</v>
      </c>
      <c r="AH11" s="32">
        <v>7</v>
      </c>
      <c r="AI11" s="34">
        <f ca="1">IF('Stock Price'!$I$11="OK",LARGE($AD$5:$AD$16,AH11),"")</f>
        <v>0.11884367508351179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48.4</v>
      </c>
      <c r="C12" s="18">
        <v>79.909199999999998</v>
      </c>
      <c r="D12" s="18">
        <v>121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1.3082155939298845E-2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3.3190578158458273E-2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48.762500000000003</v>
      </c>
      <c r="C13" s="18">
        <v>80.615499999999997</v>
      </c>
      <c r="D13" s="18">
        <v>118.58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2.0669806384092215E-2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4.7537473233404626E-2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-1.5593934879644143E-2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48.3125</v>
      </c>
      <c r="C14" s="18">
        <v>79.657700000000006</v>
      </c>
      <c r="D14" s="18">
        <v>120.12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1.125065410779702E-2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5.2676659528907877E-2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-2.6535263980288111E-2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48.962499999999999</v>
      </c>
      <c r="C15" s="18">
        <v>80.441299999999998</v>
      </c>
      <c r="D15" s="18">
        <v>119.37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2.4856096284667784E-2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3.9614561027837114E-2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-0.17384106860264895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49.325000000000003</v>
      </c>
      <c r="C16" s="18">
        <v>81.718299999999999</v>
      </c>
      <c r="D16" s="18">
        <v>122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3.2443746729461154E-2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2.2698072805139136E-2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49.4375</v>
      </c>
      <c r="C17" s="18">
        <v>81.911799999999999</v>
      </c>
      <c r="D17" s="18">
        <v>122.4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3.4798534798534897E-2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4.5824411134903542E-2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49.712499999999999</v>
      </c>
      <c r="C18" s="18">
        <v>82.153700000000001</v>
      </c>
      <c r="D18" s="18">
        <v>123.77500000000001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4.055468341182622E-2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4.3683083511777188E-2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49.762500000000003</v>
      </c>
      <c r="C19" s="18">
        <v>80.644499999999994</v>
      </c>
      <c r="D19" s="18">
        <v>124.82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4.1601255886970279E-2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3.8115631691648666E-2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50.225000000000001</v>
      </c>
      <c r="C20" s="18">
        <v>82.076300000000003</v>
      </c>
      <c r="D20" s="18">
        <v>123.13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5.1282051282051322E-2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3.9186295503211843E-2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50.524999999999999</v>
      </c>
      <c r="C21" s="18">
        <v>80.034999999999997</v>
      </c>
      <c r="D21" s="18">
        <v>122.81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5.7561486132914785E-2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2.8693790149892928E-2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52.65</v>
      </c>
      <c r="C22" s="18">
        <v>80.596100000000007</v>
      </c>
      <c r="D22" s="18">
        <v>127.25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0.10204081632653073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4.3897216274089823E-2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52.912500000000001</v>
      </c>
      <c r="C23" s="18">
        <v>80.063999999999993</v>
      </c>
      <c r="D23" s="18">
        <v>125.27500000000001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0.1075353218210362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3.4903640256959134E-2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53.237499999999997</v>
      </c>
      <c r="C24" s="18">
        <v>81.311999999999998</v>
      </c>
      <c r="D24" s="18">
        <v>127.17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0.11433804290947136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5.6531049250535315E-2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53.5</v>
      </c>
      <c r="C25" s="18">
        <v>81.021799999999999</v>
      </c>
      <c r="D25" s="18">
        <v>126.45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0.11983254840397706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7.216274089935748E-2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54.412500000000001</v>
      </c>
      <c r="C26" s="18">
        <v>80.867000000000004</v>
      </c>
      <c r="D26" s="18">
        <v>129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0.1389324960753533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8.0299785867237627E-2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53.75</v>
      </c>
      <c r="C27" s="18">
        <v>80.963700000000003</v>
      </c>
      <c r="D27" s="18">
        <v>129.91999999999999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0.12506541077969646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9.2505353319057848E-2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54.362499999999997</v>
      </c>
      <c r="C28" s="18">
        <v>80.924999999999997</v>
      </c>
      <c r="D28" s="18">
        <v>125.47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0.13788592360020924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7.4946466809421741E-2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53.462499999999999</v>
      </c>
      <c r="C29" s="18">
        <v>80.509</v>
      </c>
      <c r="D29" s="18">
        <v>128.37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0.11904761904761907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7.5160599571734377E-2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53.412500000000001</v>
      </c>
      <c r="C30" s="18">
        <v>80.383300000000006</v>
      </c>
      <c r="D30" s="18">
        <v>126.42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0.11800104657247523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7.9871520342612357E-2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53.975000000000001</v>
      </c>
      <c r="C31" s="18">
        <v>80.460700000000003</v>
      </c>
      <c r="D31" s="18">
        <v>126.77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0.12977498691784417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7.5374732334047012E-2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54.037500000000001</v>
      </c>
      <c r="C32" s="18">
        <v>80.141400000000004</v>
      </c>
      <c r="D32" s="18">
        <v>126.92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0.13108320251177408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7.9014989293361815E-2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54.2</v>
      </c>
      <c r="C33" s="18">
        <v>79.802800000000005</v>
      </c>
      <c r="D33" s="18">
        <v>118.39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0.13448456305599166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7.1734475374732209E-2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53.962499999999999</v>
      </c>
      <c r="C34" s="18">
        <v>79.599699999999999</v>
      </c>
      <c r="D34" s="18">
        <v>123.13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0.1295133437990581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6.4453961456102826E-2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53.0625</v>
      </c>
      <c r="C35" s="18">
        <v>79.241699999999994</v>
      </c>
      <c r="D35" s="18">
        <v>116.81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0.11067503924646793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6.2312633832976472E-2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53.1875</v>
      </c>
      <c r="C36" s="18">
        <v>79.231999999999999</v>
      </c>
      <c r="D36" s="18">
        <v>115.94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0.11329147043432752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6.7665952890792136E-2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51.875</v>
      </c>
      <c r="C37" s="18">
        <v>79.299800000000005</v>
      </c>
      <c r="D37" s="18">
        <v>112.42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8.5818942961800149E-2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6.6809421841541594E-2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51.987499999999997</v>
      </c>
      <c r="C38" s="18">
        <v>78.999899999999997</v>
      </c>
      <c r="D38" s="18">
        <v>112.6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8.8173731030873892E-2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6.5310492505353146E-2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51.612499999999997</v>
      </c>
      <c r="C39" s="18">
        <v>78.670900000000003</v>
      </c>
      <c r="D39" s="18">
        <v>114.21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8.0324437467294674E-2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4.7965738758029897E-2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52</v>
      </c>
      <c r="C40" s="18">
        <v>79.977000000000004</v>
      </c>
      <c r="D40" s="18">
        <v>112.25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8.8435374149659962E-2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3.0835117773019283E-2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52</v>
      </c>
      <c r="C41" s="18">
        <v>79.241699999999994</v>
      </c>
      <c r="D41" s="18">
        <v>113.72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8.8435374149659962E-2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3.4903640256959134E-2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51.274999999999999</v>
      </c>
      <c r="C42" s="18">
        <v>78.071100000000001</v>
      </c>
      <c r="D42" s="18">
        <v>112.355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7.3260073260073222E-2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3.6616702355460218E-2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51.7</v>
      </c>
      <c r="C43" s="18">
        <v>77.655100000000004</v>
      </c>
      <c r="D43" s="18">
        <v>112.35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8.2155939298796499E-2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3.4903640256959134E-2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51.4</v>
      </c>
      <c r="C44" s="18">
        <v>77.103700000000003</v>
      </c>
      <c r="D44" s="18">
        <v>111.57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7.5876504447933035E-2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4.4539614561027729E-2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51.712499999999999</v>
      </c>
      <c r="C45" s="18">
        <v>77.219800000000006</v>
      </c>
      <c r="D45" s="18">
        <v>109.35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8.2417582417582347E-2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5.2248394004282606E-2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51.837499999999999</v>
      </c>
      <c r="C46" s="18">
        <v>77.345600000000005</v>
      </c>
      <c r="D46" s="18">
        <v>111.42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8.503401360544216E-2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6.0385438972162753E-2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51.5625</v>
      </c>
      <c r="C47" s="18">
        <v>77.393900000000002</v>
      </c>
      <c r="D47" s="18">
        <v>109.66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7.9277864992150837E-2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5.674518201284795E-2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52.2</v>
      </c>
      <c r="C48" s="18">
        <v>77.906700000000001</v>
      </c>
      <c r="D48" s="18">
        <v>110.93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9.262166405023553E-2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6.4882226980727875E-2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52.975000000000001</v>
      </c>
      <c r="C49" s="18">
        <v>78.0518</v>
      </c>
      <c r="D49" s="18">
        <v>108.63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0.10884353741496611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6.5738758029978639E-2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53.35</v>
      </c>
      <c r="C50" s="18">
        <v>78.709599999999995</v>
      </c>
      <c r="D50" s="18">
        <v>112.47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0.11669283097854533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8.5224839400428243E-2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53.5</v>
      </c>
      <c r="C51" s="18">
        <v>77.819599999999994</v>
      </c>
      <c r="D51" s="18">
        <v>109.25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0.11983254840397706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8.0728051391862898E-2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53.962499999999999</v>
      </c>
      <c r="C52" s="18">
        <v>78.042100000000005</v>
      </c>
      <c r="D52" s="18">
        <v>110.43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0.1295133437990581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9.4646680942183981E-2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53.887500000000003</v>
      </c>
      <c r="C53" s="18">
        <v>78.216200000000001</v>
      </c>
      <c r="D53" s="18">
        <v>107.28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0.12794348508634235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8.4368308351177701E-2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53.625</v>
      </c>
      <c r="C54" s="18">
        <v>77.964699999999993</v>
      </c>
      <c r="D54" s="18">
        <v>107.76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0.12244897959183687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5.7173447537473221E-2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54.575000000000003</v>
      </c>
      <c r="C55" s="18">
        <v>78.864400000000003</v>
      </c>
      <c r="D55" s="18">
        <v>110.34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0.1423338566195711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8.394004282655243E-2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54.774999999999999</v>
      </c>
      <c r="C56" s="18">
        <v>83.266199999999998</v>
      </c>
      <c r="D56" s="18">
        <v>113.92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0.14652014652014644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9.8501070663811419E-2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53.875</v>
      </c>
      <c r="C57" s="18">
        <v>83.101699999999994</v>
      </c>
      <c r="D57" s="18">
        <v>111.4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0.12768184196755628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9.6145610278372429E-2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53.825000000000003</v>
      </c>
      <c r="C58" s="18">
        <v>82.569599999999994</v>
      </c>
      <c r="D58" s="18">
        <v>109.56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0.12663526949241244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8.9721627408993587E-2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54.2</v>
      </c>
      <c r="C59" s="18">
        <v>83.188800000000001</v>
      </c>
      <c r="D59" s="18">
        <v>116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0.13448456305599166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0.1032119914346894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54.712499999999999</v>
      </c>
      <c r="C60" s="18">
        <v>83.498400000000004</v>
      </c>
      <c r="D60" s="18">
        <v>115.87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0.14521193092621654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0.1032119914346894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54.7</v>
      </c>
      <c r="C61" s="18">
        <v>83.837000000000003</v>
      </c>
      <c r="D61" s="18">
        <v>115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0.14495028780743069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9.571734475374738E-2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55.112499999999997</v>
      </c>
      <c r="C62" s="18">
        <v>84.756</v>
      </c>
      <c r="D62" s="18">
        <v>115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0.1535845107273679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0.11263383297644536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55.137500000000003</v>
      </c>
      <c r="C63" s="18">
        <v>85.259100000000004</v>
      </c>
      <c r="D63" s="18">
        <v>117.15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0.15410779696493981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0.11991434689507474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55.55</v>
      </c>
      <c r="C64" s="18">
        <v>85.249399999999994</v>
      </c>
      <c r="D64" s="18">
        <v>116.13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0.16274201988487702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0.11991434689507474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55.15</v>
      </c>
      <c r="C65" s="18">
        <v>84.610900000000001</v>
      </c>
      <c r="D65" s="18">
        <v>118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0.15436944008372588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0.10620985010706629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55.125</v>
      </c>
      <c r="C66" s="18">
        <v>84.620599999999996</v>
      </c>
      <c r="D66" s="18">
        <v>115.8501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0.15384615384615397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0.1068522483940042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54.587499999999999</v>
      </c>
      <c r="C67" s="18">
        <v>85.007599999999996</v>
      </c>
      <c r="D67" s="18">
        <v>115.785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0.14259549973835695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0.10620985010706629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54.424999999999997</v>
      </c>
      <c r="C68" s="18">
        <v>84.620599999999996</v>
      </c>
      <c r="D68" s="18">
        <v>115.66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0.13919413919413914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8.6081370449678785E-2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54.5</v>
      </c>
      <c r="C69" s="18">
        <v>85.162300000000002</v>
      </c>
      <c r="D69" s="18">
        <v>113.5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0.14076399790685512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8.1156316916488169E-2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54.212499999999999</v>
      </c>
      <c r="C70" s="18">
        <v>85.413899999999998</v>
      </c>
      <c r="D70" s="18">
        <v>114.7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0.13474620617477751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7.7944325481798638E-2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54.8125</v>
      </c>
      <c r="C71" s="18">
        <v>86.400599999999997</v>
      </c>
      <c r="D71" s="18">
        <v>112.73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0.14730507587650443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0.10877944325481792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56.05</v>
      </c>
      <c r="C72" s="18">
        <v>87.145600000000002</v>
      </c>
      <c r="D72" s="18">
        <v>115.02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0.17320774463631605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8.5010706638115607E-2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56.3</v>
      </c>
      <c r="C73" s="18">
        <v>86.942400000000006</v>
      </c>
      <c r="D73" s="18">
        <v>115.51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0.17844060701203546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9.2291220556744991E-2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56.55</v>
      </c>
      <c r="C74" s="18">
        <v>86.864999999999995</v>
      </c>
      <c r="D74" s="18">
        <v>115.32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0.18367346938775508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7.2805139186295387E-2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56.325000000000003</v>
      </c>
      <c r="C75" s="18">
        <v>87.668000000000006</v>
      </c>
      <c r="D75" s="18">
        <v>117.2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0.1789638932496076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5.9528907922911989E-2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56.837499999999999</v>
      </c>
      <c r="C76" s="18">
        <v>87.600300000000004</v>
      </c>
      <c r="D76" s="18">
        <v>118.1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0.18969126111983248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7.7087794432548096E-2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58.524999999999999</v>
      </c>
      <c r="C77" s="18">
        <v>86.623199999999997</v>
      </c>
      <c r="D77" s="18">
        <v>119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0.22501308215593929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7.1306209850106939E-2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57.112499999999997</v>
      </c>
      <c r="C78" s="18">
        <v>85.955600000000004</v>
      </c>
      <c r="D78" s="18">
        <v>119.67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0.19544740973312402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7.1092077087794525E-2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56.1</v>
      </c>
      <c r="C79" s="18">
        <v>85.317099999999996</v>
      </c>
      <c r="D79" s="18">
        <v>121.21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0.17425431711146011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5.7815845824411127E-2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56.375</v>
      </c>
      <c r="C80" s="18">
        <v>84.194900000000004</v>
      </c>
      <c r="D80" s="18">
        <v>120.82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0.18001046572475143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5.1820128479657335E-2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55.475000000000001</v>
      </c>
      <c r="C81" s="18">
        <v>82.356800000000007</v>
      </c>
      <c r="D81" s="18">
        <v>112.36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0.16117216117216127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2.3554603854389677E-2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55.462499999999999</v>
      </c>
      <c r="C82" s="18">
        <v>81.786000000000001</v>
      </c>
      <c r="D82" s="18">
        <v>113.35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0.1609105180533752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9.6359743040683732E-3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55.1875</v>
      </c>
      <c r="C83" s="18">
        <v>81.495800000000003</v>
      </c>
      <c r="D83" s="18">
        <v>116.8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0.15515436944008365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6.4239828693790635E-3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57.174999999999997</v>
      </c>
      <c r="C84" s="18">
        <v>82.366500000000002</v>
      </c>
      <c r="D84" s="18">
        <v>120.5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0.19675562532705393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2.1413276231263323E-2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56.5625</v>
      </c>
      <c r="C85" s="18">
        <v>83.111400000000003</v>
      </c>
      <c r="D85" s="18">
        <v>116.25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0.18393511250654115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3.4475374732334085E-2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56.024999999999999</v>
      </c>
      <c r="C86" s="18">
        <v>84.078800000000001</v>
      </c>
      <c r="D86" s="18">
        <v>117.02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0.17268445839874413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4.0471092077087878E-2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56.487499999999997</v>
      </c>
      <c r="C87" s="18">
        <v>85.307500000000005</v>
      </c>
      <c r="D87" s="18">
        <v>116.5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0.18236525379382518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4.9250535331905709E-2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57.125</v>
      </c>
      <c r="C88" s="18">
        <v>83.111400000000003</v>
      </c>
      <c r="D88" s="18">
        <v>117.68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0.19570905285191009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4.4325481798715316E-2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56.15</v>
      </c>
      <c r="C89" s="18">
        <v>83.604799999999997</v>
      </c>
      <c r="D89" s="18">
        <v>116.92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0.17530088958660395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8.7794432548178314E-3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56</v>
      </c>
      <c r="C90" s="18">
        <v>83.469399999999993</v>
      </c>
      <c r="D90" s="18">
        <v>110.53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0.17216117216117222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56.237499999999997</v>
      </c>
      <c r="C91" s="18">
        <v>84.369100000000003</v>
      </c>
      <c r="D91" s="18">
        <v>111.5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0.17713239141810577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8.565310492505418E-4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56.524999999999999</v>
      </c>
      <c r="C92" s="18">
        <v>84.311000000000007</v>
      </c>
      <c r="D92" s="18">
        <v>112.87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0.18315018315018317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7.7087794432548762E-3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55.325000000000003</v>
      </c>
      <c r="C93" s="18">
        <v>84.359399999999994</v>
      </c>
      <c r="D93" s="18">
        <v>114.52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0.15803244374672953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3.1905781584582238E-2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55.55</v>
      </c>
      <c r="C94" s="18">
        <v>83.034000000000006</v>
      </c>
      <c r="D94" s="18">
        <v>115.751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0.16274201988487702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2.0985010706638052E-2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55.375</v>
      </c>
      <c r="C95" s="18">
        <v>82.782499999999999</v>
      </c>
      <c r="D95" s="18">
        <v>114.15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0.15907901622187337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4.282655246252709E-4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53.587499999999999</v>
      </c>
      <c r="C96" s="18">
        <v>82.898600000000002</v>
      </c>
      <c r="D96" s="18">
        <v>111.36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0.12166405023547888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-1.0064239828693866E-2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54.524999999999999</v>
      </c>
      <c r="C97" s="18">
        <v>83.604799999999997</v>
      </c>
      <c r="D97" s="18">
        <v>117.12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0.14128728414442704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4.7109207708779799E-3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54.237499999999997</v>
      </c>
      <c r="C98" s="18">
        <v>85.075299999999999</v>
      </c>
      <c r="D98" s="18">
        <v>120.87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0.13526949241234942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1.8629550321199062E-2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54.15</v>
      </c>
      <c r="C99" s="18">
        <v>83.837000000000003</v>
      </c>
      <c r="D99" s="18">
        <v>122.4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0.13343799058084782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-6.4239828693790635E-4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53.8</v>
      </c>
      <c r="C100" s="18">
        <v>83.575800000000001</v>
      </c>
      <c r="D100" s="18">
        <v>117.98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0.1261119832548403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-7.7087794432547652E-3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53.362499999999997</v>
      </c>
      <c r="C101" s="18">
        <v>83.034000000000006</v>
      </c>
      <c r="D101" s="18">
        <v>120.3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0.11695447409733117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-6.4239828693790635E-4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53.9</v>
      </c>
      <c r="C102" s="18">
        <v>83.701499999999996</v>
      </c>
      <c r="D102" s="18">
        <v>120.97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0.12820512820512819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-4.0685224839401846E-3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51.487499999999997</v>
      </c>
      <c r="C103" s="18">
        <v>82.888900000000007</v>
      </c>
      <c r="D103" s="18">
        <v>115.95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7.770800627943486E-2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-5.9957173447537926E-3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53.35</v>
      </c>
      <c r="C104" s="18">
        <v>84.775400000000005</v>
      </c>
      <c r="D104" s="18">
        <v>121.27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0.11669283097854533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1.9914346895074875E-2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52.325000000000003</v>
      </c>
      <c r="C105" s="18">
        <v>84.610900000000001</v>
      </c>
      <c r="D105" s="18">
        <v>117.23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9.5238095238095344E-2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1.1349036402569457E-2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51.9375</v>
      </c>
      <c r="C106" s="18">
        <v>84.281999999999996</v>
      </c>
      <c r="D106" s="18">
        <v>122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8.7127158555730055E-2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1.5203426124196895E-2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52.537500000000001</v>
      </c>
      <c r="C107" s="18">
        <v>84.823700000000002</v>
      </c>
      <c r="D107" s="18">
        <v>124.92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9.9686028257456982E-2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6.8522483940043344E-3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51.8125</v>
      </c>
      <c r="C108" s="18">
        <v>83.3339</v>
      </c>
      <c r="D108" s="18">
        <v>118.35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8.4510727367870242E-2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-7.9229122055675116E-3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50.225000000000001</v>
      </c>
      <c r="C109" s="18">
        <v>81.979500000000002</v>
      </c>
      <c r="D109" s="18">
        <v>113.2401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5.1282051282051322E-2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-1.413276231263394E-2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49.325000000000003</v>
      </c>
      <c r="C110" s="18">
        <v>80.818600000000004</v>
      </c>
      <c r="D110" s="18">
        <v>114.27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3.2443746729461154E-2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-2.9764453961456105E-2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49.975000000000001</v>
      </c>
      <c r="C111" s="18">
        <v>77.500299999999996</v>
      </c>
      <c r="D111" s="18">
        <v>112.83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4.6049188906331917E-2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-8.3511777301927825E-3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51.674999999999997</v>
      </c>
      <c r="C112" s="18">
        <v>79.4739</v>
      </c>
      <c r="D112" s="18">
        <v>119.3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8.1632653061224358E-2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2.719486081370448E-2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51.037500000000001</v>
      </c>
      <c r="C113" s="18">
        <v>80.267200000000003</v>
      </c>
      <c r="D113" s="18">
        <v>122.42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6.8288854003139887E-2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5.5674518201285217E-3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50.7</v>
      </c>
      <c r="C114" s="18">
        <v>79.686700000000002</v>
      </c>
      <c r="D114" s="18">
        <v>119.85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6.1224489795918435E-2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-5.9957173447537926E-3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50.962499999999999</v>
      </c>
      <c r="C115" s="18">
        <v>81.331299999999999</v>
      </c>
      <c r="D115" s="18">
        <v>120.73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6.671899529042391E-2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1.2419700214132634E-2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52.125</v>
      </c>
      <c r="C116" s="18">
        <v>81.969800000000006</v>
      </c>
      <c r="D116" s="18">
        <v>121.32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9.1051805337519554E-2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2.4625267665952855E-2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52.625</v>
      </c>
      <c r="C117" s="18">
        <v>81.882800000000003</v>
      </c>
      <c r="D117" s="18">
        <v>121.33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0.10151753008895859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2.9122055674518199E-2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53.8125</v>
      </c>
      <c r="C118" s="18">
        <v>83.624099999999999</v>
      </c>
      <c r="D118" s="18">
        <v>124.08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0.12637362637362637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2.7623126338329751E-2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53.774999999999999</v>
      </c>
      <c r="C119" s="18">
        <v>83.962699999999998</v>
      </c>
      <c r="D119" s="18">
        <v>127.92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0.12558869701726838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5.2462526766595241E-2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53.55</v>
      </c>
      <c r="C120" s="18">
        <v>83.275899999999993</v>
      </c>
      <c r="D120" s="18">
        <v>121.79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0.12087912087912089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4.7537473233404626E-2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54.037500000000001</v>
      </c>
      <c r="C121" s="18">
        <v>83.111400000000003</v>
      </c>
      <c r="D121" s="18">
        <v>127.92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0.13108320251177408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5.0963597430406793E-2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53.637500000000003</v>
      </c>
      <c r="C122" s="18">
        <v>82.763099999999994</v>
      </c>
      <c r="D122" s="18">
        <v>129.77000000000001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0.12271062271062272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5.1391862955032064E-2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54.125</v>
      </c>
      <c r="C123" s="18">
        <v>83.817599999999999</v>
      </c>
      <c r="D123" s="18">
        <v>133.91999999999999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0.1329147043432759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7.2805139186295387E-2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54.1</v>
      </c>
      <c r="C124" s="18">
        <v>84.030500000000004</v>
      </c>
      <c r="D124" s="18">
        <v>134.61000000000001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0.13239141810570398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8.158458244111344E-2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54.212499999999999</v>
      </c>
      <c r="C125" s="18">
        <v>84.156199999999998</v>
      </c>
      <c r="D125" s="18">
        <v>133.43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0.13474620617477751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7.3019271948608022E-2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54.112499999999997</v>
      </c>
      <c r="C126" s="18">
        <v>84.659300000000002</v>
      </c>
      <c r="D126" s="18">
        <v>136.11000000000001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0.13265306122448983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7.3875802997858564E-2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54.625</v>
      </c>
      <c r="C127" s="18">
        <v>85.0946</v>
      </c>
      <c r="D127" s="18">
        <v>131.46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0.14338042909471493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7.1948608137044845E-2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54.45</v>
      </c>
      <c r="C128" s="18">
        <v>84.891499999999994</v>
      </c>
      <c r="D128" s="18">
        <v>134.63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0.13971742543171128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5.8029978586723541E-2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54.862499999999997</v>
      </c>
      <c r="C129" s="18">
        <v>84.833399999999997</v>
      </c>
      <c r="D129" s="18">
        <v>133.25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0.14835164835164827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8.1156316916488169E-2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54.6875</v>
      </c>
      <c r="C130" s="18">
        <v>84.485100000000003</v>
      </c>
      <c r="D130" s="18">
        <v>136.27000000000001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0.14468864468864462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0.10513918629550312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55.712499999999999</v>
      </c>
      <c r="C131" s="18">
        <v>85.297799999999995</v>
      </c>
      <c r="D131" s="18">
        <v>133.61000000000001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0.16614338042909482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0.10813704496788001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57.15</v>
      </c>
      <c r="C132" s="18">
        <v>87.697000000000003</v>
      </c>
      <c r="D132" s="18">
        <v>137.62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0.19623233908948201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0.12698072805139193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57.787500000000001</v>
      </c>
      <c r="C133" s="18">
        <v>88.422600000000003</v>
      </c>
      <c r="D133" s="18">
        <v>139.88999999999999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0.2095761381475667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0.14004282655246247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58.3</v>
      </c>
      <c r="C134" s="18">
        <v>89.709199999999996</v>
      </c>
      <c r="D134" s="18">
        <v>140.91999999999999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0.22030350601779181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0.14432548179871518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58.1</v>
      </c>
      <c r="C135" s="18">
        <v>90.695999999999998</v>
      </c>
      <c r="D135" s="18">
        <v>137.94999999999999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0.21611721611721624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0.14025695931477511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58.162500000000001</v>
      </c>
      <c r="C136" s="18">
        <v>89.651200000000003</v>
      </c>
      <c r="D136" s="18">
        <v>138.41999999999999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0.21742543171114614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0.11456102783725908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58.5625</v>
      </c>
      <c r="C137" s="18">
        <v>89.912400000000005</v>
      </c>
      <c r="D137" s="18">
        <v>134.72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0.22579801151229728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0.1190578158458242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57.9</v>
      </c>
      <c r="C138" s="18">
        <v>89.506100000000004</v>
      </c>
      <c r="D138" s="18">
        <v>134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0.21193092621664045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0.10556745182012839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57.75</v>
      </c>
      <c r="C139" s="18">
        <v>89.254499999999993</v>
      </c>
      <c r="D139" s="18">
        <v>141.57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0.20879120879120894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9.9785867237687231E-2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57.362499999999997</v>
      </c>
      <c r="C140" s="18">
        <v>88.616</v>
      </c>
      <c r="D140" s="18">
        <v>135.08000000000001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0.20068027210884343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6.3597430406852284E-2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57.3</v>
      </c>
      <c r="C141" s="18">
        <v>88.267799999999994</v>
      </c>
      <c r="D141" s="18">
        <v>136.83000000000001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0.19937205651491374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5.2462526766595241E-2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57.112499999999997</v>
      </c>
      <c r="C142" s="18">
        <v>87.019800000000004</v>
      </c>
      <c r="D142" s="18">
        <v>135.38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0.19544740973312402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1.6488222698072708E-2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56.087499999999999</v>
      </c>
      <c r="C143" s="18">
        <v>86.303899999999999</v>
      </c>
      <c r="D143" s="18">
        <v>134.66999999999999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0.17399267399267404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2.5267665952890761E-2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56.424999999999997</v>
      </c>
      <c r="C144" s="18">
        <v>87.493799999999993</v>
      </c>
      <c r="D144" s="18">
        <v>129.33000000000001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0.18105703819989527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2.955032119914347E-2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55.487499999999997</v>
      </c>
      <c r="C145" s="18">
        <v>86.061999999999998</v>
      </c>
      <c r="D145" s="18">
        <v>129.46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0.16143380429094711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-9.6359743040685952E-3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56.8</v>
      </c>
      <c r="C146" s="18">
        <v>86.497399999999999</v>
      </c>
      <c r="D146" s="18">
        <v>129.33000000000001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0.18890633176347449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6.4239828693790635E-3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57.174999999999997</v>
      </c>
      <c r="C147" s="18">
        <v>87.281000000000006</v>
      </c>
      <c r="D147" s="18">
        <v>129.83000000000001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0.19675562532705393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-2.5695931477517364E-3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56.6</v>
      </c>
      <c r="C148" s="18">
        <v>85.162300000000002</v>
      </c>
      <c r="D148" s="18">
        <v>132.33000000000001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0.18472004186289914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-1.1134903640257043E-2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55.9</v>
      </c>
      <c r="C149" s="18">
        <v>84.794700000000006</v>
      </c>
      <c r="D149" s="18">
        <v>130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0.17006802721088432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-2.5695931477516143E-2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56.4</v>
      </c>
      <c r="C150" s="18">
        <v>84.630300000000005</v>
      </c>
      <c r="D150" s="18">
        <v>130.08000000000001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0.18053375196232335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-3.3618843683083544E-2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56.45</v>
      </c>
      <c r="C151" s="18">
        <v>85.394499999999994</v>
      </c>
      <c r="D151" s="18">
        <v>129.25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0.18158032443746741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-3.6188436830835169E-2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55.487499999999997</v>
      </c>
      <c r="C152" s="18">
        <v>83.401600000000002</v>
      </c>
      <c r="D152" s="18">
        <v>127.6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0.16143380429094711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-6.3169164882227014E-2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55.112499999999997</v>
      </c>
      <c r="C153" s="18">
        <v>83.024299999999997</v>
      </c>
      <c r="D153" s="18">
        <v>125.58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0.1535845107273679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-5.9100642398287051E-2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53.95</v>
      </c>
      <c r="C154" s="18">
        <v>80.760599999999997</v>
      </c>
      <c r="D154" s="18">
        <v>121.53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0.12925170068027225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-6.6381156316916545E-2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54.274999999999999</v>
      </c>
      <c r="C155" s="18">
        <v>81.640900000000002</v>
      </c>
      <c r="D155" s="18">
        <v>123.75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0.13605442176870741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-4.4539614561027951E-2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53.162500000000001</v>
      </c>
      <c r="C156" s="18">
        <v>81.302300000000002</v>
      </c>
      <c r="D156" s="18">
        <v>122.7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0.11276818419675561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-0.13147751605995717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53.087499999999999</v>
      </c>
      <c r="C157" s="18">
        <v>82.598699999999994</v>
      </c>
      <c r="D157" s="18">
        <v>120.72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0.11119832548403985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-0.15331905781584587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54.15</v>
      </c>
      <c r="C158" s="18">
        <v>83.024299999999997</v>
      </c>
      <c r="D158" s="18">
        <v>125.82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0.13343799058084782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-0.14882226980728053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55.462499999999999</v>
      </c>
      <c r="C159" s="18">
        <v>84.9495</v>
      </c>
      <c r="D159" s="18">
        <v>126.58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0.1609105180533752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-0.14089935760171313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55.887500000000003</v>
      </c>
      <c r="C160" s="18">
        <v>85.055899999999994</v>
      </c>
      <c r="D160" s="18">
        <v>129.22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0.16980638409209847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-0.13554603854389735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54.537500000000001</v>
      </c>
      <c r="C161" s="18">
        <v>84.823700000000002</v>
      </c>
      <c r="D161" s="18">
        <v>125.49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0.14154892726321311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-0.13618843683083515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54.45</v>
      </c>
      <c r="C162" s="18">
        <v>85.762100000000004</v>
      </c>
      <c r="D162" s="18">
        <v>125.9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0.13971742543171128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-0.12762312633832973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55.65</v>
      </c>
      <c r="C163" s="18">
        <v>86.507099999999994</v>
      </c>
      <c r="D163" s="18">
        <v>127.06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0.16483516483516492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-0.11970021413276233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55.9375</v>
      </c>
      <c r="C164" s="18">
        <v>87.754999999999995</v>
      </c>
      <c r="D164" s="18">
        <v>131.08000000000001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0.17085295656724231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-0.10364025695931489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56.25</v>
      </c>
      <c r="C165" s="18">
        <v>88.935299999999998</v>
      </c>
      <c r="D165" s="18">
        <v>132.46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0.17739403453689162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-7.4304068522484057E-2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56.212499999999999</v>
      </c>
      <c r="C166" s="18">
        <v>88.2774</v>
      </c>
      <c r="D166" s="18">
        <v>134.13999999999999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0.17660910518053385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-7.9443254817987197E-2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55.524999999999999</v>
      </c>
      <c r="C167" s="18">
        <v>88.287099999999995</v>
      </c>
      <c r="D167" s="18">
        <v>134.12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0.1622187336473051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-7.2162740899357702E-2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55.075000000000003</v>
      </c>
      <c r="C168" s="18">
        <v>88.480599999999995</v>
      </c>
      <c r="D168" s="18">
        <v>130.75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0.15279958137101013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-7.7944325481798749E-2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54.875</v>
      </c>
      <c r="C169" s="18">
        <v>87.977500000000006</v>
      </c>
      <c r="D169" s="18">
        <v>129.26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0.14861329147043434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-8.9079229122055792E-2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53.8</v>
      </c>
      <c r="C170" s="18">
        <v>86.719899999999996</v>
      </c>
      <c r="D170" s="18">
        <v>132.13999999999999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0.1261119832548403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-0.10578158458244125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54.237499999999997</v>
      </c>
      <c r="C171" s="18">
        <v>86.864999999999995</v>
      </c>
      <c r="D171" s="18">
        <v>128.72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0.13526949241234942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-9.5289079229122109E-2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53.4</v>
      </c>
      <c r="C172" s="18">
        <v>86.216800000000006</v>
      </c>
      <c r="D172" s="18">
        <v>126.48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0.11773940345368916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-0.11027837259100659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53.512500000000003</v>
      </c>
      <c r="C173" s="18">
        <v>85.781499999999994</v>
      </c>
      <c r="D173" s="18">
        <v>125.6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0.12009419152276313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-0.11713062098501081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55.3125</v>
      </c>
      <c r="C174" s="18">
        <v>85.984700000000004</v>
      </c>
      <c r="D174" s="18">
        <v>125.08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0.15777080062794346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-0.12334047109207724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55.25</v>
      </c>
      <c r="C175" s="18">
        <v>84.504499999999993</v>
      </c>
      <c r="D175" s="18">
        <v>125.08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0.15646258503401356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-0.1304068522483941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53.8</v>
      </c>
      <c r="C176" s="18">
        <v>83.566100000000006</v>
      </c>
      <c r="D176" s="18">
        <v>123.28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0.1261119832548403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-0.13811563169164887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54.75</v>
      </c>
      <c r="C177" s="18">
        <v>82.289100000000005</v>
      </c>
      <c r="D177" s="18">
        <v>122.99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0.14599686028257453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-0.15246252676659533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53.125</v>
      </c>
      <c r="C178" s="18">
        <v>79.841499999999996</v>
      </c>
      <c r="D178" s="18">
        <v>115.61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0.11198325484039784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-0.17344753747323338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51.55</v>
      </c>
      <c r="C179" s="18">
        <v>77.897000000000006</v>
      </c>
      <c r="D179" s="18">
        <v>114.42100000000001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7.9016221873364767E-2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-0.18179871520342616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52.4375</v>
      </c>
      <c r="C180" s="18">
        <v>78.709599999999995</v>
      </c>
      <c r="D180" s="18">
        <v>115.9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9.7592883307169087E-2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-0.17494646680942183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52.05</v>
      </c>
      <c r="C181" s="18">
        <v>79.183700000000002</v>
      </c>
      <c r="D181" s="18">
        <v>118.75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8.9481946624803799E-2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-0.16188436830835118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51.587499999999999</v>
      </c>
      <c r="C182" s="18">
        <v>78.419399999999996</v>
      </c>
      <c r="D182" s="18">
        <v>120.22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7.9801151229722755E-2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-0.16552462526766598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52.212499999999999</v>
      </c>
      <c r="C183" s="18">
        <v>78.835400000000007</v>
      </c>
      <c r="D183" s="18">
        <v>121.9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9.2883307169021379E-2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-0.16552462526766598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52.462499999999999</v>
      </c>
      <c r="C184" s="18">
        <v>78.854699999999994</v>
      </c>
      <c r="D184" s="18">
        <v>125.4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9.8116169544741005E-2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-0.15117773019271952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53.4375</v>
      </c>
      <c r="C185" s="18">
        <v>79.193299999999994</v>
      </c>
      <c r="D185" s="18">
        <v>126.7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0.11852433281004715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-0.14325481798715212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54.612499999999997</v>
      </c>
      <c r="C186" s="18">
        <v>82.066599999999994</v>
      </c>
      <c r="D186" s="18">
        <v>129.21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0.14311878597592886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-0.10835117773019276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54.625</v>
      </c>
      <c r="C187" s="18">
        <v>82.501900000000006</v>
      </c>
      <c r="D187" s="18">
        <v>127.2501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0.14338042909471493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-9.5931477516060015E-2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54.1875</v>
      </c>
      <c r="C188" s="18">
        <v>81.428100000000001</v>
      </c>
      <c r="D188" s="18">
        <v>131.69999999999999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0.13422291993720559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-0.11434689507494655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54.712499999999999</v>
      </c>
      <c r="C189" s="18">
        <v>82.008499999999998</v>
      </c>
      <c r="D189" s="18">
        <v>131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0.14521193092621654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-0.10471092077087796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54.412500000000001</v>
      </c>
      <c r="C190" s="18">
        <v>81.776399999999995</v>
      </c>
      <c r="D190" s="18">
        <v>128.91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0.1389324960753533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-0.10685224839400431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54.6875</v>
      </c>
      <c r="C191" s="18">
        <v>81.611900000000006</v>
      </c>
      <c r="D191" s="18">
        <v>130.75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0.14468864468864462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-0.10042826552462536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54.125</v>
      </c>
      <c r="C192" s="18">
        <v>81.534499999999994</v>
      </c>
      <c r="D192" s="18">
        <v>124.68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0.1329147043432759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-0.10985010706638121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53.887500000000003</v>
      </c>
      <c r="C193" s="18">
        <v>81.002399999999994</v>
      </c>
      <c r="D193" s="18">
        <v>130.16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0.12794348508634235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-0.10449678800856532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54.15</v>
      </c>
      <c r="C194" s="18">
        <v>81.650599999999997</v>
      </c>
      <c r="D194" s="18">
        <v>131.67500000000001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0.13343799058084782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-0.10471092077087796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52.924999999999997</v>
      </c>
      <c r="C195" s="18">
        <v>81.592500000000001</v>
      </c>
      <c r="D195" s="18">
        <v>130.5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0.10779696493982205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-0.11927194860813706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52.837499999999999</v>
      </c>
      <c r="C196" s="18">
        <v>81.737700000000004</v>
      </c>
      <c r="D196" s="18">
        <v>131.21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0.10596546310832022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-0.11027837259100659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51.8</v>
      </c>
      <c r="C197" s="18">
        <v>81.205600000000004</v>
      </c>
      <c r="D197" s="18">
        <v>132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8.4249084249084172E-2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-0.1085653104925054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51.15</v>
      </c>
      <c r="C198" s="18">
        <v>80.305899999999994</v>
      </c>
      <c r="D198" s="18">
        <v>129.97999999999999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7.0643642072213408E-2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-0.10985010706638121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50.274999999999999</v>
      </c>
      <c r="C199" s="18">
        <v>79.909199999999998</v>
      </c>
      <c r="D199" s="18">
        <v>129.32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5.2328623757195158E-2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-0.1128479657387581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51.5625</v>
      </c>
      <c r="C200" s="18">
        <v>81.882800000000003</v>
      </c>
      <c r="D200" s="18">
        <v>131.26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7.9277864992150837E-2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-9.0792291220556764E-2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50.512500000000003</v>
      </c>
      <c r="C201" s="18">
        <v>80.006</v>
      </c>
      <c r="D201" s="18">
        <v>133.9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5.7299843014128715E-2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-0.1049250535331907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43.91</v>
      </c>
      <c r="C202" s="18">
        <v>83.198499999999996</v>
      </c>
      <c r="D202" s="18">
        <v>134.55000000000001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-8.090005232862385E-2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-8.4154175588865066E-2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41.6</v>
      </c>
      <c r="C203" s="18">
        <v>81.476500000000001</v>
      </c>
      <c r="D203" s="18">
        <v>129.91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-0.12925170068027203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-9.6788008565310557E-2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41.98</v>
      </c>
      <c r="C204" s="18">
        <v>83.092100000000002</v>
      </c>
      <c r="D204" s="18">
        <v>125.55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-0.12129774986917852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-0.10149892933618843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42.29</v>
      </c>
      <c r="C205" s="18">
        <v>83.072699999999998</v>
      </c>
      <c r="D205" s="18">
        <v>128.64009999999999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-0.11480900052328624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-9.8929336188436912E-2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42.16</v>
      </c>
      <c r="C206" s="18">
        <v>83.275899999999993</v>
      </c>
      <c r="D206" s="18">
        <v>129.06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-0.11753008895866046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-9.0149892933618858E-2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42.52</v>
      </c>
      <c r="C207" s="18">
        <v>84.011099999999999</v>
      </c>
      <c r="D207" s="18">
        <v>131.30000000000001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-0.10999476713762424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-8.0728051391863009E-2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43.54</v>
      </c>
      <c r="C208" s="18">
        <v>83.924000000000007</v>
      </c>
      <c r="D208" s="18">
        <v>134.29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-8.8644688644688663E-2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-8.6937901498929326E-2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42.93</v>
      </c>
      <c r="C209" s="18">
        <v>84.417400000000001</v>
      </c>
      <c r="D209" s="18">
        <v>131.1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-0.10141287284144429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-9.1862955032120053E-2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42.17</v>
      </c>
      <c r="C210" s="18">
        <v>83.034000000000006</v>
      </c>
      <c r="D210" s="18">
        <v>130.72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-0.11732077446363154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-0.11199143468950756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41.63</v>
      </c>
      <c r="C211" s="18">
        <v>82.840500000000006</v>
      </c>
      <c r="D211" s="18">
        <v>132.63999999999999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-0.12862375719518571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-0.11563169164882237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41.18</v>
      </c>
      <c r="C212" s="18">
        <v>82.289100000000005</v>
      </c>
      <c r="D212" s="18">
        <v>130.30000000000001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-0.1380429094714809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-0.11605995717344753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40.82</v>
      </c>
      <c r="C213" s="18">
        <v>82.095600000000005</v>
      </c>
      <c r="D213" s="18">
        <v>130.30000000000001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-0.14557823129251701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-0.10985010706638121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40.6</v>
      </c>
      <c r="C214" s="18">
        <v>82.453599999999994</v>
      </c>
      <c r="D214" s="18">
        <v>133.34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-0.15018315018315009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-0.11777301927194861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40.57</v>
      </c>
      <c r="C215" s="18">
        <v>82.782499999999999</v>
      </c>
      <c r="D215" s="18">
        <v>128.16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-0.15081109366823653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-0.11862955032119926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40.31</v>
      </c>
      <c r="C216" s="18">
        <v>83.1404</v>
      </c>
      <c r="D216" s="18">
        <v>133.34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-0.15625327053898475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-0.11434689507494655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40.03</v>
      </c>
      <c r="C217" s="18">
        <v>84.311000000000007</v>
      </c>
      <c r="D217" s="18">
        <v>128.16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-0.16211407639979059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-0.11027837259100659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38.299999999999997</v>
      </c>
      <c r="C218" s="18">
        <v>84.581900000000005</v>
      </c>
      <c r="D218" s="18">
        <v>132.43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-0.19832548403976979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-9.8715203426124165E-2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35.729999999999997</v>
      </c>
      <c r="C219" s="18">
        <v>82.792199999999994</v>
      </c>
      <c r="D219" s="18">
        <v>128.51499999999999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-0.25211930926216641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-0.12119914346895078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36.03</v>
      </c>
      <c r="C220" s="18">
        <v>82.888900000000007</v>
      </c>
      <c r="D220" s="18">
        <v>127.39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-0.24583987441130295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-0.100642398286938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34.950000000000003</v>
      </c>
      <c r="C221" s="18">
        <v>82.598699999999994</v>
      </c>
      <c r="D221" s="18">
        <v>131.54499999999999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-0.26844583987441117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-9.4646680942184203E-2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35.26</v>
      </c>
      <c r="C222" s="18">
        <v>83.024299999999997</v>
      </c>
      <c r="D222" s="18">
        <v>134.13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-0.26195709052851912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-0.10985010706638121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34.700000000000003</v>
      </c>
      <c r="C223" s="18">
        <v>82.443899999999999</v>
      </c>
      <c r="D223" s="18">
        <v>134.13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-0.27367870225013069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-0.10835117773019276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34.25</v>
      </c>
      <c r="C224" s="18">
        <v>82.153700000000001</v>
      </c>
      <c r="D224" s="18">
        <v>130.16999999999999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-0.28309785452642588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-0.10149892933618843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34.06</v>
      </c>
      <c r="C225" s="18">
        <v>82.966300000000004</v>
      </c>
      <c r="D225" s="18">
        <v>131.15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-0.28707482993197275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-9.7002141327623193E-2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34.049999999999997</v>
      </c>
      <c r="C226" s="18">
        <v>81.640900000000002</v>
      </c>
      <c r="D226" s="18">
        <v>135.75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-0.28728414442700156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-0.10471092077087796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33.729999999999997</v>
      </c>
      <c r="C227" s="18">
        <v>80.760599999999997</v>
      </c>
      <c r="D227" s="18">
        <v>133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-0.29398220826792265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-0.11648822269807291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33.53</v>
      </c>
      <c r="C228" s="18">
        <v>80.886300000000006</v>
      </c>
      <c r="D228" s="18">
        <v>128.01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-0.29816849816849811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-0.12119914346895078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33.729999999999997</v>
      </c>
      <c r="C229" s="18">
        <v>80.692800000000005</v>
      </c>
      <c r="D229" s="18">
        <v>128.01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-0.29398220826792265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-0.11027837259100659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33.19</v>
      </c>
      <c r="C230" s="18">
        <v>79.986599999999996</v>
      </c>
      <c r="D230" s="18">
        <v>131.44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-0.30528519099947671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-0.13019271948608147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33.11</v>
      </c>
      <c r="C231" s="18">
        <v>79.570599999999999</v>
      </c>
      <c r="D231" s="18">
        <v>128.75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-0.30695970695970698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-0.13169164882226991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32.96</v>
      </c>
      <c r="C232" s="18">
        <v>78.129199999999997</v>
      </c>
      <c r="D232" s="18">
        <v>125.77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-0.3100994243851386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-0.13618843683083515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32.479999999999997</v>
      </c>
      <c r="C233" s="18">
        <v>77.897000000000006</v>
      </c>
      <c r="D233" s="18">
        <v>124.44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-0.32014652014652023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-0.1340471092077089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31.69</v>
      </c>
      <c r="C234" s="18">
        <v>77.713200000000001</v>
      </c>
      <c r="D234" s="18">
        <v>118.06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-0.3366823652537938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-0.13725910064239832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31.85</v>
      </c>
      <c r="C235" s="18">
        <v>77.103700000000003</v>
      </c>
      <c r="D235" s="18">
        <v>126.59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-0.33333333333333326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-0.14346895074946475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31.47</v>
      </c>
      <c r="C236" s="18">
        <v>77.171400000000006</v>
      </c>
      <c r="D236" s="18">
        <v>117.01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-0.34128728414442699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-0.12355460385438977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31.49</v>
      </c>
      <c r="C237" s="18">
        <v>78.303299999999993</v>
      </c>
      <c r="D237" s="18">
        <v>113.76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-0.34086865515436948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-0.10877944325481814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31.51</v>
      </c>
      <c r="C238" s="18">
        <v>78.612899999999996</v>
      </c>
      <c r="D238" s="18">
        <v>118.96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-0.34045002616431186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-0.10578158458244125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31.89</v>
      </c>
      <c r="C239" s="18">
        <v>79.909199999999998</v>
      </c>
      <c r="D239" s="18">
        <v>122.71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-0.33249607535321812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-9.6359743040685175E-2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32.450000000000003</v>
      </c>
      <c r="C240" s="18">
        <v>80.8767</v>
      </c>
      <c r="D240" s="18">
        <v>118.91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-0.32077446363160644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-9.6573875802997922E-2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31.63</v>
      </c>
      <c r="C241" s="18">
        <v>79.2804</v>
      </c>
      <c r="D241" s="18">
        <v>117.46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-0.33793825222396656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-0.1012847965738759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31.2</v>
      </c>
      <c r="C242" s="18">
        <v>78.274299999999997</v>
      </c>
      <c r="D242" s="18">
        <v>116.37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-0.34693877551020402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-0.100642398286938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31.02</v>
      </c>
      <c r="C243" s="18">
        <v>78.109800000000007</v>
      </c>
      <c r="D243" s="18">
        <v>112.81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-0.35070643642072208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-8.7366167023554708E-2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30.83</v>
      </c>
      <c r="C244" s="18">
        <v>78.022800000000004</v>
      </c>
      <c r="D244" s="18">
        <v>113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-0.35468341182626895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-9.3147751605995754E-2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30.78</v>
      </c>
      <c r="C245" s="18">
        <v>78.100099999999998</v>
      </c>
      <c r="D245" s="18">
        <v>110.96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-0.35572998430141278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-0.1055674518201285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30.49</v>
      </c>
      <c r="C246" s="18">
        <v>76.9876</v>
      </c>
      <c r="D246" s="18">
        <v>110.51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-0.36180010465724755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-0.11991434689507496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29.77</v>
      </c>
      <c r="C247" s="18">
        <v>75.014099999999999</v>
      </c>
      <c r="D247" s="18">
        <v>114.155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-0.37687074829931977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-0.14154175588865092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30.01</v>
      </c>
      <c r="C248" s="18">
        <v>74.627099999999999</v>
      </c>
      <c r="D248" s="18">
        <v>111.6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-0.37184720041862895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-0.14261241970021421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29.36</v>
      </c>
      <c r="C249" s="18">
        <v>73.533900000000003</v>
      </c>
      <c r="D249" s="18">
        <v>108.35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-0.38545264259549972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-0.15203426124197006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28.82</v>
      </c>
      <c r="C250" s="18">
        <v>72.179500000000004</v>
      </c>
      <c r="D250" s="18">
        <v>104.5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-0.39675562532705388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-0.17152034261241977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28.66</v>
      </c>
      <c r="C251" s="18">
        <v>72.218199999999996</v>
      </c>
      <c r="D251" s="18">
        <v>106.5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-0.40010465724751432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-0.16381156316916501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29.46</v>
      </c>
      <c r="C252" s="18">
        <v>73.833799999999997</v>
      </c>
      <c r="D252" s="18">
        <v>108.26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-0.38335949764521193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-0.10599571734475377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29.36</v>
      </c>
      <c r="C253" s="18">
        <v>74.075699999999998</v>
      </c>
      <c r="D253" s="18">
        <v>109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-0.38545264259549972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-0.11970021413276233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29.43</v>
      </c>
      <c r="C254" s="18">
        <v>73.533900000000003</v>
      </c>
      <c r="D254" s="18">
        <v>107.1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-0.38398744113029826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-0.13019271948608147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30.25</v>
      </c>
      <c r="C255" s="18">
        <v>74.172399999999996</v>
      </c>
      <c r="D255" s="18">
        <v>111.25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-0.36682365253793825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-0.133404710920771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30.71</v>
      </c>
      <c r="C256" s="18">
        <v>75.681600000000003</v>
      </c>
      <c r="D256" s="18">
        <v>113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-0.35719518576661435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-9.1434689507494671E-2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30.41</v>
      </c>
      <c r="C257" s="18">
        <v>74.849599999999995</v>
      </c>
      <c r="D257" s="18">
        <v>112.14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-0.36347462061747771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-0.10642398286937915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30</v>
      </c>
      <c r="C258" s="18">
        <v>73.562899999999999</v>
      </c>
      <c r="D258" s="18">
        <v>109.12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-0.37205651491365777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-0.12098501070663825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30.11</v>
      </c>
      <c r="C259" s="18">
        <v>73.185599999999994</v>
      </c>
      <c r="D259" s="18">
        <v>109.5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-0.36975405546834117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-0.13019271948608147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30.19</v>
      </c>
      <c r="C260" s="18">
        <v>73.088899999999995</v>
      </c>
      <c r="D260" s="18">
        <v>110.6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-0.3680795395081109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-0.14411134903640266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30.43</v>
      </c>
      <c r="C261" s="18">
        <v>73.388800000000003</v>
      </c>
      <c r="D261" s="18">
        <v>109.16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-0.36305599162742019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-0.13211991434689507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30.37</v>
      </c>
      <c r="C262" s="18">
        <v>72.856700000000004</v>
      </c>
      <c r="D262" s="18">
        <v>109.1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-0.36431187859759284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-0.14175588865096367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30.65</v>
      </c>
      <c r="C263" s="18">
        <v>73.533900000000003</v>
      </c>
      <c r="D263" s="18">
        <v>107.6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-0.358451072736787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-0.1353319057815846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30.71</v>
      </c>
      <c r="C264" s="18">
        <v>73.108199999999997</v>
      </c>
      <c r="D264" s="18">
        <v>111.35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-0.35719518576661435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-0.13319057815845836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31.3</v>
      </c>
      <c r="C265" s="18">
        <v>74.752899999999997</v>
      </c>
      <c r="D265" s="18">
        <v>114.3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-0.34484563055991624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-0.11777301927194861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31.25</v>
      </c>
      <c r="C266" s="18">
        <v>74.965699999999998</v>
      </c>
      <c r="D266" s="18">
        <v>109.88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-0.34589220303506019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-0.12034261241970035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31.31</v>
      </c>
      <c r="C267" s="18">
        <v>74.017600000000002</v>
      </c>
      <c r="D267" s="18">
        <v>108.25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-0.34463631606488754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-0.13276231263383298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31.06</v>
      </c>
      <c r="C268" s="18">
        <v>73.088899999999995</v>
      </c>
      <c r="D268" s="18">
        <v>109.88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-0.34986917844060705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-0.14218415417558883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31.87</v>
      </c>
      <c r="C269" s="18">
        <v>74.588399999999993</v>
      </c>
      <c r="D269" s="18">
        <v>109.9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-0.33291470434327575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-0.12719486081370457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31.76</v>
      </c>
      <c r="C270" s="18">
        <v>75.1785</v>
      </c>
      <c r="D270" s="18">
        <v>108.96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-0.33521716378859234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-0.12912205567451818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32.24</v>
      </c>
      <c r="C271" s="18">
        <v>75.952500000000001</v>
      </c>
      <c r="D271" s="18">
        <v>111.1999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-0.32517006802721082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-0.10706638115631695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32.69</v>
      </c>
      <c r="C272" s="18">
        <v>77.016599999999997</v>
      </c>
      <c r="D272" s="18">
        <v>114.47499999999999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-0.31575091575091574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-0.10620985010706641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32.72</v>
      </c>
      <c r="C273" s="18">
        <v>76.948899999999995</v>
      </c>
      <c r="D273" s="18">
        <v>115.35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-0.31512297226582942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-0.12098501070663825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33.270000000000003</v>
      </c>
      <c r="C274" s="18">
        <v>78.129199999999997</v>
      </c>
      <c r="D274" s="18">
        <v>114.4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-0.30361067503924644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-0.10899357601713067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33.17</v>
      </c>
      <c r="C275" s="18">
        <v>78.487099999999998</v>
      </c>
      <c r="D275" s="18">
        <v>116.44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-0.30570381998953422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-0.11477516059957171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33.46</v>
      </c>
      <c r="C276" s="18">
        <v>78.419399999999996</v>
      </c>
      <c r="D276" s="18">
        <v>118.1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-0.29963369963369957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-0.11820128479657399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33.119999999999997</v>
      </c>
      <c r="C277" s="18">
        <v>77.964699999999993</v>
      </c>
      <c r="D277" s="18">
        <v>120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-0.30675039246467817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-0.11798715203426136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32.840000000000003</v>
      </c>
      <c r="C278" s="18">
        <v>77.761499999999998</v>
      </c>
      <c r="D278" s="18">
        <v>120.95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-0.3126111983254839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-0.12398286937901515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32.99</v>
      </c>
      <c r="C279" s="18">
        <v>79.057900000000004</v>
      </c>
      <c r="D279" s="18">
        <v>119.94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-0.30947148090005228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-0.12098501070663825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31.94</v>
      </c>
      <c r="C280" s="18">
        <v>79.144999999999996</v>
      </c>
      <c r="D280" s="18">
        <v>120.22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-0.33144950287807429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-0.12569593147751612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32.22</v>
      </c>
      <c r="C281" s="18">
        <v>79.164299999999997</v>
      </c>
      <c r="D281" s="18">
        <v>121.24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-0.32558869701726845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-0.12548179871520337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32.42</v>
      </c>
      <c r="C282" s="18">
        <v>80.267200000000003</v>
      </c>
      <c r="D282" s="18">
        <v>120.5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-0.32140240711669277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-0.11434689507494655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33.47</v>
      </c>
      <c r="C283" s="18">
        <v>82.356800000000007</v>
      </c>
      <c r="D283" s="18">
        <v>127.28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-0.29942438513867087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-8.9293361884368316E-2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31.58</v>
      </c>
      <c r="C284" s="18">
        <v>81.283000000000001</v>
      </c>
      <c r="D284" s="18">
        <v>123.85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-0.3389848246991104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-7.3875802997858675E-2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32.54</v>
      </c>
      <c r="C285" s="18">
        <v>80.731499999999997</v>
      </c>
      <c r="D285" s="18">
        <v>126.44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-0.31889063317634747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-0.11627408993576016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32.29</v>
      </c>
      <c r="C286" s="18">
        <v>81.099199999999996</v>
      </c>
      <c r="D286" s="18">
        <v>125.94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-0.32412349555206699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-0.11434689507494655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32.909999999999997</v>
      </c>
      <c r="C287" s="18">
        <v>80.828299999999999</v>
      </c>
      <c r="D287" s="18">
        <v>126.2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-0.31114599686028266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-0.12205567451820132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32.590000000000003</v>
      </c>
      <c r="C288" s="18">
        <v>80.741200000000006</v>
      </c>
      <c r="D288" s="18">
        <v>126.4599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-0.31784406070120341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-0.13961456102783731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32.89</v>
      </c>
      <c r="C289" s="18">
        <v>82.908199999999994</v>
      </c>
      <c r="D289" s="18">
        <v>127.9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-0.31156462585034006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-0.14025695931477522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33.44</v>
      </c>
      <c r="C290" s="18">
        <v>83.962699999999998</v>
      </c>
      <c r="D290" s="18">
        <v>129.75989999999999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-0.30005232862375719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-0.14539614561027847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33.85</v>
      </c>
      <c r="C291" s="18">
        <v>84.843100000000007</v>
      </c>
      <c r="D291" s="18">
        <v>130.125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-0.29147043432757713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-0.14646680942184165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33.69</v>
      </c>
      <c r="C292" s="18">
        <v>84.446399999999997</v>
      </c>
      <c r="D292" s="18">
        <v>130.56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-0.29481946624803768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-0.13019271948608147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33.99</v>
      </c>
      <c r="C293" s="18">
        <v>84.852800000000002</v>
      </c>
      <c r="D293" s="18">
        <v>133.25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-0.28854003139717421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-0.12077087794432551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33.76</v>
      </c>
      <c r="C294" s="18">
        <v>84.823700000000002</v>
      </c>
      <c r="D294" s="18">
        <v>133.9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-0.29335426478283622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-0.1201284796573876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34.36</v>
      </c>
      <c r="C295" s="18">
        <v>84.514200000000002</v>
      </c>
      <c r="D295" s="18">
        <v>131.31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-0.2807953950811094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-0.12933618843683092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34.590000000000003</v>
      </c>
      <c r="C296" s="18">
        <v>86.642499999999998</v>
      </c>
      <c r="D296" s="18">
        <v>132.1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-0.27598116169544729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-0.1237687366167024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35.03</v>
      </c>
      <c r="C297" s="18">
        <v>86.894000000000005</v>
      </c>
      <c r="D297" s="18">
        <v>138.25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-0.26677132391418101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-0.11905781584582442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35.35</v>
      </c>
      <c r="C298" s="18">
        <v>87.058499999999995</v>
      </c>
      <c r="D298" s="18">
        <v>137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-0.26007326007326004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-0.12034261241970035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35.159999999999997</v>
      </c>
      <c r="C299" s="18">
        <v>87.996899999999997</v>
      </c>
      <c r="D299" s="18">
        <v>136.75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-0.26405023547880691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-0.12591006423982876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37.92</v>
      </c>
      <c r="C300" s="18">
        <v>87.784099999999995</v>
      </c>
      <c r="D300" s="18">
        <v>136.75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-0.20627943485086331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-0.13768736616702359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36.880000000000003</v>
      </c>
      <c r="C301" s="18">
        <v>88.741799999999998</v>
      </c>
      <c r="D301" s="18">
        <v>136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-0.22804814233385651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-0.14453961456102782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36.6</v>
      </c>
      <c r="C302" s="18">
        <v>88.596699999999998</v>
      </c>
      <c r="D302" s="18">
        <v>139.04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-0.23390894819466246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-0.133404710920771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35.97</v>
      </c>
      <c r="C303" s="18">
        <v>87.987200000000001</v>
      </c>
      <c r="D303" s="18">
        <v>139.44999999999999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-0.24709576138147571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-0.13254817987152046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35.71</v>
      </c>
      <c r="C304" s="18">
        <v>87.919499999999999</v>
      </c>
      <c r="D304" s="18">
        <v>138.55009999999999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-0.25253793825222393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-0.13297644539614561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36.15</v>
      </c>
      <c r="C305" s="18">
        <v>88.238799999999998</v>
      </c>
      <c r="D305" s="18">
        <v>139.5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-0.24332810047095765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-0.11841541755888652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35.92</v>
      </c>
      <c r="C306" s="18">
        <v>89.515799999999999</v>
      </c>
      <c r="D306" s="18">
        <v>139.75989999999999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-0.24814233385661955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-0.11734475374732345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35.630000000000003</v>
      </c>
      <c r="C307" s="18">
        <v>87.929199999999994</v>
      </c>
      <c r="D307" s="18">
        <v>137.97989999999999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-0.25421245421245409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-0.13147751605995717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34.950000000000003</v>
      </c>
      <c r="C308" s="18">
        <v>87.532499999999999</v>
      </c>
      <c r="D308" s="18">
        <v>135.09989999999999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-0.26844583987441117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-0.13618843683083515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34.869999999999997</v>
      </c>
      <c r="C309" s="18">
        <v>87.251999999999995</v>
      </c>
      <c r="D309" s="18">
        <v>136.52000000000001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-0.27012035583464156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-0.14025695931477522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34.99</v>
      </c>
      <c r="C310" s="18">
        <v>87.426100000000005</v>
      </c>
      <c r="D310" s="18">
        <v>133.63990000000001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-0.26760858189429615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-0.14668094218415417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35.299999999999997</v>
      </c>
      <c r="C311" s="18">
        <v>87.938900000000004</v>
      </c>
      <c r="D311" s="18">
        <v>134.65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-0.26111983254840399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-0.1449678800856532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35.31</v>
      </c>
      <c r="C312" s="18">
        <v>87.938900000000004</v>
      </c>
      <c r="D312" s="18">
        <v>134.41990000000001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-0.26091051805337517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-0.15374732334047103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35.22</v>
      </c>
      <c r="C313" s="18">
        <v>87.909800000000004</v>
      </c>
      <c r="D313" s="18">
        <v>136.4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-0.26279434850863426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-0.1565310492505354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35.07</v>
      </c>
      <c r="C314" s="18">
        <v>88.1614</v>
      </c>
      <c r="D314" s="18">
        <v>136.66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-0.26593406593406588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-0.1565310492505354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34.78</v>
      </c>
      <c r="C315" s="18">
        <v>87.880799999999994</v>
      </c>
      <c r="D315" s="18">
        <v>136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-0.27200418628990053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-0.16124197002141327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35.130000000000003</v>
      </c>
      <c r="C316" s="18">
        <v>88.616</v>
      </c>
      <c r="D316" s="18">
        <v>135.10990000000001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-0.26467817896389323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-0.15224839400428258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35.14</v>
      </c>
      <c r="C317" s="18">
        <v>87.764700000000005</v>
      </c>
      <c r="D317" s="18">
        <v>136.22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-0.26446886446886442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-0.16167023554603865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35.29</v>
      </c>
      <c r="C318" s="18">
        <v>89.206199999999995</v>
      </c>
      <c r="D318" s="18">
        <v>136.44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-0.2613291470434328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-0.15910064239828692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35.03</v>
      </c>
      <c r="C319" s="18">
        <v>88.848200000000006</v>
      </c>
      <c r="D319" s="18">
        <v>138.03989999999999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-0.26677132391418101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-0.14582441113490363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34.479999999999997</v>
      </c>
      <c r="C320" s="18">
        <v>87.842100000000002</v>
      </c>
      <c r="D320" s="18">
        <v>140.96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-0.27828362114076399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-0.166167023554604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34.92</v>
      </c>
      <c r="C321" s="18">
        <v>89.283600000000007</v>
      </c>
      <c r="D321" s="18">
        <v>140.26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-0.26907378335949761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-0.15246252676659533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34.53</v>
      </c>
      <c r="C322" s="18">
        <v>87.019800000000004</v>
      </c>
      <c r="D322" s="18">
        <v>140.25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-0.27723704866562005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-0.15674518201284793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34.74</v>
      </c>
      <c r="C323" s="18">
        <v>87.493799999999993</v>
      </c>
      <c r="D323" s="18">
        <v>143.96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-0.27284144427001567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-0.1528907922912206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34.67</v>
      </c>
      <c r="C324" s="18">
        <v>87.522900000000007</v>
      </c>
      <c r="D324" s="18">
        <v>140.94990000000001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-0.27430664573521713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-0.1644539614561028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35.15</v>
      </c>
      <c r="C325" s="18">
        <v>87.609899999999996</v>
      </c>
      <c r="D325" s="18">
        <v>138.66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-0.26425954997383572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-0.16852248394004288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35.380000000000003</v>
      </c>
      <c r="C326" s="18">
        <v>88.093599999999995</v>
      </c>
      <c r="D326" s="18">
        <v>143.4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-0.2594453165881736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-0.15567451820128486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35.56</v>
      </c>
      <c r="C327" s="18">
        <v>89.370599999999996</v>
      </c>
      <c r="D327" s="18">
        <v>143.625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-0.25567765567765566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-0.14539614561027847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35.19</v>
      </c>
      <c r="C328" s="18">
        <v>89.157799999999995</v>
      </c>
      <c r="D328" s="18">
        <v>141.19990000000001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-0.26342229199372058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-0.14925053533190591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35.61</v>
      </c>
      <c r="C329" s="18">
        <v>89.225499999999997</v>
      </c>
      <c r="D329" s="18">
        <v>140.00989999999999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-0.25463108320251171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-0.13854389721627425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35.380000000000003</v>
      </c>
      <c r="C330" s="18">
        <v>89.070700000000002</v>
      </c>
      <c r="D330" s="18">
        <v>136.46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-0.2594453165881736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-0.14261241970021421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35.36</v>
      </c>
      <c r="C331" s="18">
        <v>89.206199999999995</v>
      </c>
      <c r="D331" s="18">
        <v>133.68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-0.25986394557823134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-0.13961456102783731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34.700000000000003</v>
      </c>
      <c r="C332" s="18">
        <v>89.022400000000005</v>
      </c>
      <c r="D332" s="18">
        <v>129.5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-0.27367870225013069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-0.14453961456102782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35.17</v>
      </c>
      <c r="C333" s="18">
        <v>89.786600000000007</v>
      </c>
      <c r="D333" s="18">
        <v>131.72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-0.26384092098377809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-0.14239828693790157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35.340000000000003</v>
      </c>
      <c r="C334" s="18">
        <v>86.913399999999996</v>
      </c>
      <c r="D334" s="18">
        <v>130.65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-0.26028257456828874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-0.15674518201284793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35.299999999999997</v>
      </c>
      <c r="C335" s="18">
        <v>86.574799999999996</v>
      </c>
      <c r="D335" s="18">
        <v>129.81989999999999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-0.26111983254840399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-0.15867237687366176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35.119999999999997</v>
      </c>
      <c r="C336" s="18">
        <v>86.719899999999996</v>
      </c>
      <c r="D336" s="18">
        <v>129.36000000000001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-0.26488749345892204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-0.1668094218415419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35.26</v>
      </c>
      <c r="C337" s="18">
        <v>87.668000000000006</v>
      </c>
      <c r="D337" s="18">
        <v>128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-0.26195709052851912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-0.16167023554603865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35.49</v>
      </c>
      <c r="C338" s="18">
        <v>85.355800000000002</v>
      </c>
      <c r="D338" s="18">
        <v>127.8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-0.25714285714285712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-0.17944325481798717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35.130000000000003</v>
      </c>
      <c r="C339" s="18">
        <v>83.295199999999994</v>
      </c>
      <c r="D339" s="18">
        <v>127.08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-0.26467817896389323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-0.19357601713062111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34.83</v>
      </c>
      <c r="C340" s="18">
        <v>83.053399999999996</v>
      </c>
      <c r="D340" s="18">
        <v>128.4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-0.27095761381475669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-0.18394004282655252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35.340000000000003</v>
      </c>
      <c r="C341" s="18">
        <v>82.685699999999997</v>
      </c>
      <c r="D341" s="18">
        <v>125.92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-0.26028257456828874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-0.17880085653104927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36.17</v>
      </c>
      <c r="C342" s="18">
        <v>83.5274</v>
      </c>
      <c r="D342" s="18">
        <v>128.69999999999999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-0.24290947148090003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-0.16937901498929342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36.32</v>
      </c>
      <c r="C343" s="18">
        <v>84.0595</v>
      </c>
      <c r="D343" s="18">
        <v>128.01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-0.2397697540554683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-0.16766595289079245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36.43</v>
      </c>
      <c r="C344" s="18">
        <v>83.498400000000004</v>
      </c>
      <c r="D344" s="18">
        <v>136.25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-0.2374672946101517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-0.17837259100642411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35.840000000000003</v>
      </c>
      <c r="C345" s="18">
        <v>83.662800000000004</v>
      </c>
      <c r="D345" s="18">
        <v>139.28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-0.24981684981684971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-0.18394004282655252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36.229999999999997</v>
      </c>
      <c r="C346" s="18">
        <v>84.639899999999997</v>
      </c>
      <c r="D346" s="18">
        <v>139.28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-0.24165358451072738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-0.18736616702355458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36.06</v>
      </c>
      <c r="C347" s="18">
        <v>84.697999999999993</v>
      </c>
      <c r="D347" s="18">
        <v>137.25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-0.24521193092621663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-0.18972162740899357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35.57</v>
      </c>
      <c r="C348" s="18">
        <v>84.34</v>
      </c>
      <c r="D348" s="18">
        <v>140.78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-0.25546834118262685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-0.19464668094218418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35.14</v>
      </c>
      <c r="C349" s="18">
        <v>83.159800000000004</v>
      </c>
      <c r="D349" s="18">
        <v>137.94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-0.26446886446886442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-0.20321199143468949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35.880000000000003</v>
      </c>
      <c r="C350" s="18">
        <v>84.214299999999994</v>
      </c>
      <c r="D350" s="18">
        <v>136.4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-0.24897959183673457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-0.18886509635974302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36</v>
      </c>
      <c r="C351" s="18">
        <v>83.933700000000002</v>
      </c>
      <c r="D351" s="18">
        <v>140.52000000000001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-0.24646781789638927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-0.1886509635974305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35.74</v>
      </c>
      <c r="C352" s="18">
        <v>83.856300000000005</v>
      </c>
      <c r="D352" s="18">
        <v>140.04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-0.2519099947671376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-0.18779443254817996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35.26</v>
      </c>
      <c r="C353" s="18">
        <v>83.7209</v>
      </c>
      <c r="D353" s="18">
        <v>134.74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-0.26195709052851912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-0.19314775160599573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34.57</v>
      </c>
      <c r="C354" s="18">
        <v>82.8309</v>
      </c>
      <c r="D354" s="18">
        <v>133.83000000000001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-0.27639979068550491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-0.21177730192719491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34.82</v>
      </c>
      <c r="C355" s="18">
        <v>82.763099999999994</v>
      </c>
      <c r="D355" s="18">
        <v>135.32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-0.27116692830978539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-0.21327623126338335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34.270000000000003</v>
      </c>
      <c r="C356" s="18">
        <v>81.3797</v>
      </c>
      <c r="D356" s="18">
        <v>129.22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-0.28267922553636826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-0.22805139186295509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34.26</v>
      </c>
      <c r="C357" s="18">
        <v>81.089500000000001</v>
      </c>
      <c r="D357" s="18">
        <v>128.6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-0.28288854003139718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-0.22997858672376881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34.58</v>
      </c>
      <c r="C358" s="18">
        <v>82.347099999999998</v>
      </c>
      <c r="D358" s="18">
        <v>131.56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-0.27619047619047621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-0.22055674518201296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34.659999999999997</v>
      </c>
      <c r="C359" s="18">
        <v>81.921499999999995</v>
      </c>
      <c r="D359" s="18">
        <v>130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-0.27451596023024605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-0.2184154175588866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34.450000000000003</v>
      </c>
      <c r="C360" s="18">
        <v>82.153700000000001</v>
      </c>
      <c r="D360" s="18">
        <v>130.19999999999999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-0.27891156462585021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-0.22334047109207711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34.03</v>
      </c>
      <c r="C361" s="18">
        <v>81.244299999999996</v>
      </c>
      <c r="D361" s="18">
        <v>128.9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-0.28770277341705908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-0.24261241970021419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33.590000000000003</v>
      </c>
      <c r="C362" s="18">
        <v>80.576800000000006</v>
      </c>
      <c r="D362" s="18">
        <v>127.63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-0.29691261119832535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-0.25074946466809422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33.5</v>
      </c>
      <c r="C363" s="18">
        <v>77.423000000000002</v>
      </c>
      <c r="D363" s="18">
        <v>127.34990000000001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-0.29879644165358454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-0.24775160599571733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33.5</v>
      </c>
      <c r="C364" s="18">
        <v>78.042100000000005</v>
      </c>
      <c r="D364" s="18">
        <v>129.84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-0.29879644165358454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-0.23447537473233404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33.520000000000003</v>
      </c>
      <c r="C365" s="18">
        <v>78.951499999999996</v>
      </c>
      <c r="D365" s="18">
        <v>129.25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-0.29837781266352681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-0.22162740899357602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33.72</v>
      </c>
      <c r="C366" s="18">
        <v>79.415800000000004</v>
      </c>
      <c r="D366" s="18">
        <v>131.24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-0.29419152276295135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-0.22119914346895087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33.58</v>
      </c>
      <c r="C367" s="18">
        <v>79.4255</v>
      </c>
      <c r="D367" s="18">
        <v>127.84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-0.29712192569335427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-0.22997858672376881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33.82</v>
      </c>
      <c r="C368" s="18">
        <v>80.083399999999997</v>
      </c>
      <c r="D368" s="18">
        <v>130.06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-0.29209837781266346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-0.25010706638115632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34.07</v>
      </c>
      <c r="C369" s="18">
        <v>79.512600000000006</v>
      </c>
      <c r="D369" s="18">
        <v>130.55500000000001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-0.28686551543694394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-0.24903640256959314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34.93</v>
      </c>
      <c r="C370" s="18">
        <v>80.712199999999996</v>
      </c>
      <c r="D370" s="18">
        <v>133.12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-0.2688644688644688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-0.24753747323340469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35.049999999999997</v>
      </c>
      <c r="C371" s="18">
        <v>80.944400000000002</v>
      </c>
      <c r="D371" s="18">
        <v>134.74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-0.2663526949241235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-0.23725910064239841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34.9</v>
      </c>
      <c r="C372" s="18">
        <v>79.290099999999995</v>
      </c>
      <c r="D372" s="18">
        <v>135.56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-0.26949241234955523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-0.24389721627408989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35.22</v>
      </c>
      <c r="C373" s="18">
        <v>79.822199999999995</v>
      </c>
      <c r="D373" s="18">
        <v>133.78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-0.26279434850863426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-0.25010706638115632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34.380000000000003</v>
      </c>
      <c r="C374" s="18">
        <v>80.867000000000004</v>
      </c>
      <c r="D374" s="18">
        <v>136.69999999999999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-0.28037676609105178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-0.24261241970021419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35.04</v>
      </c>
      <c r="C375" s="18">
        <v>87.338999999999999</v>
      </c>
      <c r="D375" s="18">
        <v>137.3425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-0.26656200941915231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-0.24839400428265523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35.1</v>
      </c>
      <c r="C376" s="18">
        <v>87.987200000000001</v>
      </c>
      <c r="D376" s="18">
        <v>138.68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-0.26530612244897955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-0.25310492505353321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35.06</v>
      </c>
      <c r="C377" s="18">
        <v>87.251999999999995</v>
      </c>
      <c r="D377" s="18">
        <v>136.30000000000001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-0.26614338042909469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-0.24089935760171299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35.270000000000003</v>
      </c>
      <c r="C378" s="18">
        <v>88.596699999999998</v>
      </c>
      <c r="D378" s="18">
        <v>139.30000000000001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-0.2617477760334902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-0.23340471092077097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35.58</v>
      </c>
      <c r="C379" s="18">
        <v>89.003</v>
      </c>
      <c r="D379" s="18">
        <v>140.16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-0.25525902668759815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-0.23211991434689516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35.950000000000003</v>
      </c>
      <c r="C380" s="18">
        <v>89.506100000000004</v>
      </c>
      <c r="D380" s="18">
        <v>137.5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-0.24751439037153311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-0.2329764453961457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36.549999999999997</v>
      </c>
      <c r="C381" s="18">
        <v>90.434799999999996</v>
      </c>
      <c r="D381" s="18">
        <v>141.44999999999999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-0.23495552066980641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-0.22676659528907928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37.450000000000003</v>
      </c>
      <c r="C382" s="18">
        <v>91.972999999999999</v>
      </c>
      <c r="D382" s="18">
        <v>142.84989999999999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-0.21611721611721602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-0.20428265524625278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38</v>
      </c>
      <c r="C383" s="18">
        <v>93.124200000000002</v>
      </c>
      <c r="D383" s="18">
        <v>142.84989999999999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-0.20460491889063315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-0.18308351177730198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37.869999999999997</v>
      </c>
      <c r="C384" s="18">
        <v>92.582499999999996</v>
      </c>
      <c r="D384" s="18">
        <v>144.76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-0.20732600732600737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-0.18522483940042833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37.35</v>
      </c>
      <c r="C385" s="18">
        <v>92.679199999999994</v>
      </c>
      <c r="D385" s="18">
        <v>142.75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-0.21821036106750391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-0.18822269807280523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37.71</v>
      </c>
      <c r="C386" s="18">
        <v>93.327399999999997</v>
      </c>
      <c r="D386" s="18">
        <v>147.25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-0.2106750392464678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-0.17580299785867237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38.32</v>
      </c>
      <c r="C387" s="18">
        <v>95.020399999999995</v>
      </c>
      <c r="D387" s="18">
        <v>149.65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-0.19790685504971217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-0.16466809421841555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37.770000000000003</v>
      </c>
      <c r="C388" s="18">
        <v>94.691500000000005</v>
      </c>
      <c r="D388" s="18">
        <v>146.08000000000001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-0.20941915227629504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-0.17066381156316923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37.39</v>
      </c>
      <c r="C389" s="18">
        <v>94.778499999999994</v>
      </c>
      <c r="D389" s="18">
        <v>146.78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-0.21737310308738877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-0.17323340471092086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36.78</v>
      </c>
      <c r="C390" s="18">
        <v>94.149699999999996</v>
      </c>
      <c r="D390" s="18">
        <v>148.88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-0.2301412872841444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-0.17473233404710931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36.93</v>
      </c>
      <c r="C391" s="18">
        <v>94.826899999999995</v>
      </c>
      <c r="D391" s="18">
        <v>147.78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-0.22700156985871267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-0.17708779443254818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36.46</v>
      </c>
      <c r="C392" s="18">
        <v>95.388000000000005</v>
      </c>
      <c r="D392" s="18">
        <v>147.60990000000001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-0.23683935112506538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-0.16595289079229125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36.71</v>
      </c>
      <c r="C393" s="18">
        <v>97.032600000000002</v>
      </c>
      <c r="D393" s="18">
        <v>151.74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-0.23160648874934586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-0.15481798715203432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36.65</v>
      </c>
      <c r="C394" s="18">
        <v>97.313199999999995</v>
      </c>
      <c r="D394" s="18">
        <v>153.1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-0.23286237571951862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-0.15096359743040688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36.909999999999997</v>
      </c>
      <c r="C395" s="18">
        <v>100.6508</v>
      </c>
      <c r="D395" s="18">
        <v>151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-0.22742019884877029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-0.14668094218415417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35.93</v>
      </c>
      <c r="C396" s="18">
        <v>99.199700000000007</v>
      </c>
      <c r="D396" s="18">
        <v>147.15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-0.24793301936159073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-0.17173447537473241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36.01</v>
      </c>
      <c r="C397" s="18">
        <v>99.306100000000001</v>
      </c>
      <c r="D397" s="18">
        <v>146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-0.24625850340136057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-0.17216274089935768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36.03</v>
      </c>
      <c r="C398" s="18">
        <v>99.228700000000003</v>
      </c>
      <c r="D398" s="18">
        <v>146.55000000000001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-0.24583987441130295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-0.16017130620985021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36.200000000000003</v>
      </c>
      <c r="C399" s="18">
        <v>99.199700000000007</v>
      </c>
      <c r="D399" s="18">
        <v>146.31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-0.24228152799581359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-0.1595289079229123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36.35</v>
      </c>
      <c r="C400" s="18">
        <v>100.1671</v>
      </c>
      <c r="D400" s="18">
        <v>146.15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-0.23914181057038197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-0.15524625267665948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36.840000000000003</v>
      </c>
      <c r="C401" s="18">
        <v>101.0474</v>
      </c>
      <c r="D401" s="18">
        <v>151.30000000000001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-0.22888540031397164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-0.15331905781584587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36.71</v>
      </c>
      <c r="C402" s="18">
        <v>101.2119</v>
      </c>
      <c r="D402" s="18">
        <v>150.5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-0.23160648874934586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-0.15117773019271952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36.979999999999997</v>
      </c>
      <c r="C403" s="18">
        <v>101.3087</v>
      </c>
      <c r="D403" s="18">
        <v>148.5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-0.22595499738356883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-0.1479657387580301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36.770000000000003</v>
      </c>
      <c r="C404" s="18">
        <v>101.49250000000001</v>
      </c>
      <c r="D404" s="18">
        <v>147.05009999999999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-0.2303506017791731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-0.14432548179871518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36.450000000000003</v>
      </c>
      <c r="C405" s="18">
        <v>101.2893</v>
      </c>
      <c r="D405" s="18">
        <v>149.09989999999999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-0.23704866562009408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-0.14775160599571746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36.53</v>
      </c>
      <c r="C406" s="18">
        <v>100.2542</v>
      </c>
      <c r="D406" s="18">
        <v>151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-0.23537414965986392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-0.15310492505353335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36.28</v>
      </c>
      <c r="C407" s="18">
        <v>100.051</v>
      </c>
      <c r="D407" s="18">
        <v>150.63999999999999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-0.24060701203558343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-0.1528907922912206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36.53</v>
      </c>
      <c r="C408" s="18">
        <v>99.780100000000004</v>
      </c>
      <c r="D408" s="18">
        <v>145.80009999999999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-0.23537414965986392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-0.14710920770877955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36.78</v>
      </c>
      <c r="C409" s="18">
        <v>99.760800000000003</v>
      </c>
      <c r="D409" s="18">
        <v>149.44990000000001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-0.2301412872841444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-0.1479657387580301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36.47</v>
      </c>
      <c r="C410" s="18">
        <v>99.460899999999995</v>
      </c>
      <c r="D410" s="18">
        <v>151.19999999999999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-0.23663003663003668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-0.15824411134903638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36.14</v>
      </c>
      <c r="C411" s="18">
        <v>97.922700000000006</v>
      </c>
      <c r="D411" s="18">
        <v>147.19999999999999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-0.24353741496598635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-0.14732334047109208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35.21</v>
      </c>
      <c r="C412" s="18">
        <v>97.081000000000003</v>
      </c>
      <c r="D412" s="18">
        <v>146.44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-0.26300366300366296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-0.15224839400428258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35.61</v>
      </c>
      <c r="C413" s="18">
        <v>97.525999999999996</v>
      </c>
      <c r="D413" s="18">
        <v>150.96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-0.25463108320251171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-0.14304068522483937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35.35</v>
      </c>
      <c r="C414" s="18">
        <v>97.458299999999994</v>
      </c>
      <c r="D414" s="18">
        <v>147.9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-0.26007326007326004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-0.148608137044968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35.42</v>
      </c>
      <c r="C415" s="18">
        <v>96.984300000000005</v>
      </c>
      <c r="D415" s="18">
        <v>147.94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-0.25860805860805858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-0.15096359743040688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34.69</v>
      </c>
      <c r="C416" s="18">
        <v>96.7714</v>
      </c>
      <c r="D416" s="18">
        <v>143.75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-0.27388801674515961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-0.14668094218415417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34.11</v>
      </c>
      <c r="C417" s="18">
        <v>94.594700000000003</v>
      </c>
      <c r="D417" s="18">
        <v>145.26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-0.28602825745682892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-0.14561027837259111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34.24</v>
      </c>
      <c r="C418" s="18">
        <v>94.6721</v>
      </c>
      <c r="D418" s="18">
        <v>144.55000000000001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-0.2833071690214547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-0.13790149892933623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33.86</v>
      </c>
      <c r="C419" s="18">
        <v>93.404799999999994</v>
      </c>
      <c r="D419" s="18">
        <v>141.13990000000001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-0.29126111983254843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-0.14668094218415417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33.6</v>
      </c>
      <c r="C420" s="18">
        <v>93.114599999999996</v>
      </c>
      <c r="D420" s="18">
        <v>146.08000000000001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-0.29670329670329665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-0.15224839400428258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33.799999999999997</v>
      </c>
      <c r="C421" s="18">
        <v>93.946600000000004</v>
      </c>
      <c r="D421" s="18">
        <v>147.69999999999999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-0.29251700680272108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-0.14411134903640266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34.11</v>
      </c>
      <c r="C422" s="18">
        <v>95.687899999999999</v>
      </c>
      <c r="D422" s="18">
        <v>147.12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-0.28602825745682892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-0.13511777301927197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34.28</v>
      </c>
      <c r="C423" s="18">
        <v>96.132900000000006</v>
      </c>
      <c r="D423" s="18">
        <v>145.1875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-0.28246991104133956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-0.13897216274089941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34.619999999999997</v>
      </c>
      <c r="C424" s="18">
        <v>96.413499999999999</v>
      </c>
      <c r="D424" s="18">
        <v>145.44999999999999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-0.27535321821036107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-0.13897216274089941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34.36</v>
      </c>
      <c r="C425" s="18">
        <v>95.291300000000007</v>
      </c>
      <c r="D425" s="18">
        <v>146.9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-0.2807953950811094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-0.15546038543897223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34.72</v>
      </c>
      <c r="C426" s="18">
        <v>97.371200000000002</v>
      </c>
      <c r="D426" s="18">
        <v>144.5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-0.27326007326007329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-0.15631691648822277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34.76</v>
      </c>
      <c r="C427" s="18">
        <v>97.642099999999999</v>
      </c>
      <c r="D427" s="18">
        <v>149.30000000000001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-0.27242281527995815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-0.16167023554603865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34.39</v>
      </c>
      <c r="C428" s="18">
        <v>96.742400000000004</v>
      </c>
      <c r="D428" s="18">
        <v>148.86000000000001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-0.28016745159602296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-0.17173447537473241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34.64</v>
      </c>
      <c r="C429" s="18">
        <v>96.084599999999995</v>
      </c>
      <c r="D429" s="18">
        <v>149.5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-0.27493458922030345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-0.17066381156316923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34.47</v>
      </c>
      <c r="C430" s="18">
        <v>96.4328</v>
      </c>
      <c r="D430" s="18">
        <v>146.875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-0.2784929356357928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-0.18436830835117768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35.270000000000003</v>
      </c>
      <c r="C431" s="18">
        <v>98.087100000000007</v>
      </c>
      <c r="D431" s="18">
        <v>149.25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-0.2617477760334902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-0.17280513918629548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35.15</v>
      </c>
      <c r="C432" s="18">
        <v>98.512799999999999</v>
      </c>
      <c r="D432" s="18">
        <v>149.51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-0.26425954997383572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-0.16488222698072807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34.619999999999997</v>
      </c>
      <c r="C433" s="18">
        <v>97.535700000000006</v>
      </c>
      <c r="D433" s="18">
        <v>149.25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-0.27535321821036107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-0.17644539614561028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35.15</v>
      </c>
      <c r="C434" s="18">
        <v>97.622799999999998</v>
      </c>
      <c r="D434" s="18">
        <v>148.66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-0.26425954997383572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-0.181370449678801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34.68</v>
      </c>
      <c r="C435" s="18">
        <v>97.264799999999994</v>
      </c>
      <c r="D435" s="18">
        <v>146.68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-0.27409733124018831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-0.18051391862955035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36.380000000000003</v>
      </c>
      <c r="C436" s="18">
        <v>97.409899999999993</v>
      </c>
      <c r="D436" s="18">
        <v>146.15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-0.23851386708529554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-0.17708779443254818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36.270000000000003</v>
      </c>
      <c r="C437" s="18">
        <v>96.2684</v>
      </c>
      <c r="D437" s="18">
        <v>142.75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-0.24081632653061213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-0.18029978586723772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35.76</v>
      </c>
      <c r="C438" s="18">
        <v>95.949100000000001</v>
      </c>
      <c r="D438" s="18">
        <v>142.75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-0.25149136577708009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-0.15074946466809436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35.53</v>
      </c>
      <c r="C439" s="18">
        <v>95.233199999999997</v>
      </c>
      <c r="D439" s="18">
        <v>140.4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-0.25630559916274198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-0.17794432548179873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35.42</v>
      </c>
      <c r="C440" s="18">
        <v>96.1233</v>
      </c>
      <c r="D440" s="18">
        <v>142.91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-0.25860805860805858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-0.18394004282655252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35.64</v>
      </c>
      <c r="C441" s="18">
        <v>97.622799999999998</v>
      </c>
      <c r="D441" s="18">
        <v>143.9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-0.25400313971742539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-0.1820128479657388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35.29</v>
      </c>
      <c r="C442" s="18">
        <v>95.552499999999995</v>
      </c>
      <c r="D442" s="18">
        <v>133.23500000000001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-0.2613291470434328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-0.18244111349036407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34.729999999999997</v>
      </c>
      <c r="C443" s="18">
        <v>95.726600000000005</v>
      </c>
      <c r="D443" s="18">
        <v>134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-0.27305075876504448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-0.17580299785867237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34.090000000000003</v>
      </c>
      <c r="C444" s="18">
        <v>94.8172</v>
      </c>
      <c r="D444" s="18">
        <v>132.44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-0.28644688644688632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-0.19079229122055685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33.81</v>
      </c>
      <c r="C445" s="18">
        <v>91.644099999999995</v>
      </c>
      <c r="D445" s="18">
        <v>127.75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-0.29230769230769227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-0.20406852248394003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33.85</v>
      </c>
      <c r="C446" s="18">
        <v>93.404799999999994</v>
      </c>
      <c r="D446" s="18">
        <v>131.25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-0.29147043432757713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-0.20064239828693797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34.119999999999997</v>
      </c>
      <c r="C447" s="18">
        <v>93.994900000000001</v>
      </c>
      <c r="D447" s="18">
        <v>131.25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-0.2858189429618001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-0.19657387580299779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34.5</v>
      </c>
      <c r="C448" s="18">
        <v>94.5077</v>
      </c>
      <c r="D448" s="18">
        <v>134.32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-0.27786499215070637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-0.17987152034261256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34.799999999999997</v>
      </c>
      <c r="C449" s="18">
        <v>95.126800000000003</v>
      </c>
      <c r="D449" s="18">
        <v>133.59989999999999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-0.27158555729984302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-0.16766595289079245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34.53</v>
      </c>
      <c r="C450" s="18">
        <v>95.610500000000002</v>
      </c>
      <c r="D450" s="18">
        <v>138.62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-0.27723704866562005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-0.15717344753747331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34.51</v>
      </c>
      <c r="C451" s="18">
        <v>95.716899999999995</v>
      </c>
      <c r="D451" s="18">
        <v>135.78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-0.27765567765567767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-0.16766595289079245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34.799999999999997</v>
      </c>
      <c r="C452" s="18">
        <v>100.08969999999999</v>
      </c>
      <c r="D452" s="18">
        <v>134.44999999999999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-0.27158555729984302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-0.16038543897216273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35.19</v>
      </c>
      <c r="C453" s="18">
        <v>99.857500000000002</v>
      </c>
      <c r="D453" s="18">
        <v>137.06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-0.26342229199372058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-0.15631691648822277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35.700000000000003</v>
      </c>
      <c r="C454" s="18">
        <v>101.70529999999999</v>
      </c>
      <c r="D454" s="18">
        <v>138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-0.25274725274725263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-0.15438972162740905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35.75</v>
      </c>
      <c r="C455" s="18">
        <v>101.58920000000001</v>
      </c>
      <c r="D455" s="18">
        <v>136.91990000000001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-0.25170068027210879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-0.14775160599571746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35.729999999999997</v>
      </c>
      <c r="C456" s="18">
        <v>100.6992</v>
      </c>
      <c r="D456" s="18">
        <v>139.28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-0.25211930926216641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-0.1595289079229123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35.700000000000003</v>
      </c>
      <c r="C457" s="18">
        <v>101.4054</v>
      </c>
      <c r="D457" s="18">
        <v>137.09989999999999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-0.25274725274725263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-0.15824411134903638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35.869999999999997</v>
      </c>
      <c r="C458" s="18">
        <v>100.5057</v>
      </c>
      <c r="D458" s="18">
        <v>140.5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-0.24918890633176349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-0.16167023554603865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35.869999999999997</v>
      </c>
      <c r="C459" s="18">
        <v>100.44759999999999</v>
      </c>
      <c r="D459" s="18">
        <v>140.44999999999999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-0.24918890633176349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-0.16766595289079245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35.44</v>
      </c>
      <c r="C460" s="18">
        <v>100.78619999999999</v>
      </c>
      <c r="D460" s="18">
        <v>140.84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-0.25818942961800107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-0.17301927194860822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35.57</v>
      </c>
      <c r="C461" s="18">
        <v>101.4828</v>
      </c>
      <c r="D461" s="18">
        <v>144.82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-0.25546834118262685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-0.17130620985010703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34.93</v>
      </c>
      <c r="C462" s="18">
        <v>99.954300000000003</v>
      </c>
      <c r="D462" s="18">
        <v>142.85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-0.2688644688644688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-0.17987152034261256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34.630000000000003</v>
      </c>
      <c r="C463" s="18">
        <v>99.402799999999999</v>
      </c>
      <c r="D463" s="18">
        <v>139.125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-0.27514390371533226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-0.18008565310492508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34.17</v>
      </c>
      <c r="C464" s="18">
        <v>98.715999999999994</v>
      </c>
      <c r="D464" s="18">
        <v>139.01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-0.28477237048665616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-0.18522483940042833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34.380000000000003</v>
      </c>
      <c r="C465" s="18">
        <v>98.483800000000002</v>
      </c>
      <c r="D465" s="18">
        <v>140.24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-0.28037676609105178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-0.19100642398286938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34.64</v>
      </c>
      <c r="C466" s="18">
        <v>99.4512</v>
      </c>
      <c r="D466" s="18">
        <v>141.28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-0.27493458922030345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-0.18886509635974302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34.979999999999997</v>
      </c>
      <c r="C467" s="18">
        <v>99.693100000000001</v>
      </c>
      <c r="D467" s="18">
        <v>141.35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-0.26781789638932496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-0.18693790149892942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35.18</v>
      </c>
      <c r="C468" s="18">
        <v>99.9833</v>
      </c>
      <c r="D468" s="18">
        <v>141.35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-0.26363160648874928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-0.19100642398286938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35.08</v>
      </c>
      <c r="C469" s="18">
        <v>99.925200000000004</v>
      </c>
      <c r="D469" s="18">
        <v>137.94999999999999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-0.26572475143903718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-0.18929336188436841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35.33</v>
      </c>
      <c r="C470" s="18">
        <v>100.21550000000001</v>
      </c>
      <c r="D470" s="18">
        <v>141.52000000000001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-0.26049188906331766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-0.18822269807280523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35.44</v>
      </c>
      <c r="C471" s="18">
        <v>100.0026</v>
      </c>
      <c r="D471" s="18">
        <v>143.19999999999999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-0.25818942961800107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-0.19186295503211992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35.26</v>
      </c>
      <c r="C472" s="18">
        <v>99.248000000000005</v>
      </c>
      <c r="D472" s="18">
        <v>137.56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-0.26195709052851912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-0.20364025695931487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35.049999999999997</v>
      </c>
      <c r="C473" s="18">
        <v>98.783699999999996</v>
      </c>
      <c r="D473" s="18">
        <v>137.56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-0.2663526949241235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-0.21156316916488227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34.86</v>
      </c>
      <c r="C474" s="18">
        <v>98.4161</v>
      </c>
      <c r="D474" s="18">
        <v>137.47489999999999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-0.27032967032967037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-0.21434689507494653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34.47</v>
      </c>
      <c r="C475" s="18">
        <v>97.729200000000006</v>
      </c>
      <c r="D475" s="18">
        <v>136.03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-0.2784929356357928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-0.22976445396145617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34.549999999999997</v>
      </c>
      <c r="C476" s="18">
        <v>99.625299999999996</v>
      </c>
      <c r="D476" s="18">
        <v>136.94999999999999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-0.27681841967556253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-0.22591006423982873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34.619999999999997</v>
      </c>
      <c r="C477" s="18">
        <v>99.248000000000005</v>
      </c>
      <c r="D477" s="18">
        <v>135.80000000000001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-0.27535321821036107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-0.23447537473233404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34.950000000000003</v>
      </c>
      <c r="C478" s="18">
        <v>99.480199999999996</v>
      </c>
      <c r="D478" s="18">
        <v>139.35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-0.26844583987441117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-0.20128479657387588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34.47</v>
      </c>
      <c r="C479" s="18">
        <v>97.555000000000007</v>
      </c>
      <c r="D479" s="18">
        <v>136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-0.2784929356357928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-0.21691648822269816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34.770000000000003</v>
      </c>
      <c r="C480" s="18">
        <v>98.464399999999998</v>
      </c>
      <c r="D480" s="18">
        <v>135.971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-0.27221350078492923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-0.21456102783725917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35.11</v>
      </c>
      <c r="C481" s="18">
        <v>99.006200000000007</v>
      </c>
      <c r="D481" s="18">
        <v>136.63999999999999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-0.26509680795395085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-0.21434689507494653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35.51</v>
      </c>
      <c r="C482" s="18">
        <v>99.915599999999998</v>
      </c>
      <c r="D482" s="18">
        <v>139.1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-0.25672422815279961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-0.2038543897216275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35.49</v>
      </c>
      <c r="C483" s="18">
        <v>98.590199999999996</v>
      </c>
      <c r="D483" s="18">
        <v>136.72499999999999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-0.25714285714285712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-0.20128479657387588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35.130000000000003</v>
      </c>
      <c r="C484" s="18">
        <v>97.206800000000001</v>
      </c>
      <c r="D484" s="18">
        <v>134.03989999999999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-0.26467817896389323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-0.21563169164882223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35.03</v>
      </c>
      <c r="C485" s="18">
        <v>97.438999999999993</v>
      </c>
      <c r="D485" s="18">
        <v>136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-0.26677132391418101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-0.21798715203426122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34.56</v>
      </c>
      <c r="C486" s="18">
        <v>94.894599999999997</v>
      </c>
      <c r="D486" s="18">
        <v>133.9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-0.27660910518053372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-0.24004282655246256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34.409999999999997</v>
      </c>
      <c r="C487" s="18">
        <v>94.701099999999997</v>
      </c>
      <c r="D487" s="18">
        <v>133.9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-0.27974882260596556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-0.24239828693790144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34.64</v>
      </c>
      <c r="C488" s="18">
        <v>95.629900000000006</v>
      </c>
      <c r="D488" s="18">
        <v>134.68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-0.27493458922030345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-0.23340471092077097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36.549999999999997</v>
      </c>
      <c r="C489" s="18">
        <v>95.136499999999998</v>
      </c>
      <c r="D489" s="18">
        <v>135.69999999999999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-0.23495552066980641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-0.23254817987152032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37.020000000000003</v>
      </c>
      <c r="C490" s="18">
        <v>96.007199999999997</v>
      </c>
      <c r="D490" s="18">
        <v>135.69999999999999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-0.22511773940345359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-0.24004282655246256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36.86</v>
      </c>
      <c r="C491" s="18">
        <v>97.380899999999997</v>
      </c>
      <c r="D491" s="18">
        <v>132.22499999999999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-0.22846677132391413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-0.23725910064239841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36.76</v>
      </c>
      <c r="C492" s="18">
        <v>97.497</v>
      </c>
      <c r="D492" s="18">
        <v>130.08000000000001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-0.23055991627420203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-0.23276231263383307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37.39</v>
      </c>
      <c r="C493" s="18">
        <v>98.512799999999999</v>
      </c>
      <c r="D493" s="18">
        <v>133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-0.21737310308738877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-0.226338329764454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37.43</v>
      </c>
      <c r="C494" s="18">
        <v>99.286699999999996</v>
      </c>
      <c r="D494" s="18">
        <v>138.28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-0.21653584510727364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-0.22098501070663812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37.35</v>
      </c>
      <c r="C495" s="18">
        <v>98.745000000000005</v>
      </c>
      <c r="D495" s="18">
        <v>131.45490000000001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-0.21821036106750391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-0.23211991434689516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37.479999999999997</v>
      </c>
      <c r="C496" s="18">
        <v>99.557599999999994</v>
      </c>
      <c r="D496" s="18">
        <v>130.67500000000001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-0.2154892726321298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-0.23147751605995726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38.07</v>
      </c>
      <c r="C497" s="18">
        <v>100.2058</v>
      </c>
      <c r="D497" s="18">
        <v>136.34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-0.20313971742543169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-0.24089935760171299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37.619999999999997</v>
      </c>
      <c r="C498" s="18">
        <v>98.764300000000006</v>
      </c>
      <c r="D498" s="18">
        <v>133.94999999999999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-0.21255886970172688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-0.26081370449678798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37.43</v>
      </c>
      <c r="C499" s="18">
        <v>97.845299999999995</v>
      </c>
      <c r="D499" s="18">
        <v>137.93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-0.21653584510727364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-0.26616702355460387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37.71</v>
      </c>
      <c r="C500" s="18">
        <v>98.493399999999994</v>
      </c>
      <c r="D500" s="18">
        <v>136.99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-0.2106750392464678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-0.26852248394004297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37.28</v>
      </c>
      <c r="C501" s="18">
        <v>98.116200000000006</v>
      </c>
      <c r="D501" s="18">
        <v>134.94990000000001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-0.21967556253270537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-0.27130620985010712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37.04</v>
      </c>
      <c r="C502" s="18">
        <v>96.993899999999996</v>
      </c>
      <c r="D502" s="18">
        <v>133.16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-0.22469911041339607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-0.26766595289079231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36.340000000000003</v>
      </c>
      <c r="C503" s="18">
        <v>98.996499999999997</v>
      </c>
      <c r="D503" s="18">
        <v>136.15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-0.23935112506541067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-0.27301927194860809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36.25</v>
      </c>
      <c r="C504" s="18">
        <v>98.541799999999995</v>
      </c>
      <c r="D504" s="18">
        <v>135.05000000000001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-0.24123495552066976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-0.27344753747323347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36.090000000000003</v>
      </c>
      <c r="C505" s="18">
        <v>98.232200000000006</v>
      </c>
      <c r="D505" s="18">
        <v>133.1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-0.24458398744113019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-0.27751605995717343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35.89</v>
      </c>
      <c r="C506" s="18">
        <v>96.22</v>
      </c>
      <c r="D506" s="18">
        <v>132.93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-0.24877027734170587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-0.28672376873661665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36.08</v>
      </c>
      <c r="C507" s="18">
        <v>96.16</v>
      </c>
      <c r="D507" s="18">
        <v>134.15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-0.24479330193615911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-0.28565310492505358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36.159999999999997</v>
      </c>
      <c r="C508" s="18">
        <v>96.15</v>
      </c>
      <c r="D508" s="18">
        <v>134.9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-0.24311878597592884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-0.27687366167023553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36.65</v>
      </c>
      <c r="C509" s="18">
        <v>97.14</v>
      </c>
      <c r="D509" s="18">
        <v>133.47989999999999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-0.23286237571951862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-0.26937901498929351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37.1</v>
      </c>
      <c r="C510" s="18">
        <v>97.59</v>
      </c>
      <c r="D510" s="18">
        <v>134.13999999999999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-0.22344322344322343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-0.25931477516059953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37.340000000000003</v>
      </c>
      <c r="C511" s="18">
        <v>98.47</v>
      </c>
      <c r="D511" s="18">
        <v>134.38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-0.21841967556253261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-0.25289079229122058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37.56</v>
      </c>
      <c r="C512" s="18">
        <v>99.41</v>
      </c>
      <c r="D512" s="18">
        <v>133.97200000000001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-0.21381475667189942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-0.24817987152034271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37.01</v>
      </c>
      <c r="C513" s="18">
        <v>97.87</v>
      </c>
      <c r="D513" s="18">
        <v>135.5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-0.22532705389848251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-0.25631691648822286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36.68</v>
      </c>
      <c r="C514" s="18">
        <v>97.24</v>
      </c>
      <c r="D514" s="18">
        <v>135.5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-0.23223443223443219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-0.24197002141327628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36.58</v>
      </c>
      <c r="C515" s="18">
        <v>96.84</v>
      </c>
      <c r="D515" s="18">
        <v>134.16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-0.23432757718472008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-0.25310492505353321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36.67</v>
      </c>
      <c r="C516" s="18">
        <v>96.49</v>
      </c>
      <c r="D516" s="18">
        <v>137.05000000000001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-0.232443746729461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-0.25203426124197004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36.29</v>
      </c>
      <c r="C517" s="18">
        <v>96.1</v>
      </c>
      <c r="D517" s="18">
        <v>130.88999999999999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-0.24039769754055473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-0.26552462526766607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35.39</v>
      </c>
      <c r="C518" s="18">
        <v>94.64</v>
      </c>
      <c r="D518" s="18">
        <v>127.58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-0.2592360020931449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-0.28929336188436838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35.58</v>
      </c>
      <c r="C519" s="18">
        <v>94.68</v>
      </c>
      <c r="D519" s="18">
        <v>127.86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-0.25525902668759815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-0.28565310492505358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35.799999999999997</v>
      </c>
      <c r="C520" s="18">
        <v>94.69</v>
      </c>
      <c r="D520" s="18">
        <v>123.75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-0.25065410779696495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-0.29122055674518199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35.979999999999997</v>
      </c>
      <c r="C521" s="18">
        <v>94.91</v>
      </c>
      <c r="D521" s="18">
        <v>127.15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-0.2468864468864469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-0.29528907922912218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36.049999999999997</v>
      </c>
      <c r="C522" s="18">
        <v>95.43</v>
      </c>
      <c r="D522" s="18">
        <v>126.44499999999999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-0.24542124542124544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-0.29593147751605997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35.68</v>
      </c>
      <c r="C523" s="18">
        <v>94.3</v>
      </c>
      <c r="D523" s="18">
        <v>125.27500000000001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-0.25316588173731025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-0.29336188436830835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34.56</v>
      </c>
      <c r="C524" s="18">
        <v>92.27</v>
      </c>
      <c r="D524" s="18">
        <v>121.45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-0.27660910518053372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-0.29614561027837272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35.270000000000003</v>
      </c>
      <c r="C525" s="18">
        <v>93.76</v>
      </c>
      <c r="D525" s="18">
        <v>123.97499999999999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-0.2617477760334902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-0.28265524625267668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35.700000000000003</v>
      </c>
      <c r="C526" s="18">
        <v>93.58</v>
      </c>
      <c r="D526" s="18">
        <v>122.7599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-0.25274725274725263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-0.30770877944325492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34.58</v>
      </c>
      <c r="C527" s="18">
        <v>94.26</v>
      </c>
      <c r="D527" s="18">
        <v>128.58000000000001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-0.27619047619047621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-0.29614561027837272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34.17</v>
      </c>
      <c r="C528" s="18">
        <v>94.08</v>
      </c>
      <c r="D528" s="18">
        <v>126.8199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-0.28477237048665616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-0.29635974304068524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34.44</v>
      </c>
      <c r="C529" s="18">
        <v>92.76</v>
      </c>
      <c r="D529" s="18">
        <v>126.3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-0.27912087912087913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-0.29507494646680943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34.79</v>
      </c>
      <c r="C530" s="18">
        <v>93.45</v>
      </c>
      <c r="D530" s="18">
        <v>126.8199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-0.27179487179487183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-0.29657387580299788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34.979999999999997</v>
      </c>
      <c r="C531" s="18">
        <v>93.82</v>
      </c>
      <c r="D531" s="18">
        <v>125.25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-0.26781789638932496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-0.29935760171306214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35.06</v>
      </c>
      <c r="C532" s="18">
        <v>94.38</v>
      </c>
      <c r="D532" s="18">
        <v>125.08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-0.26614338042909469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-0.29464668094218427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34.46</v>
      </c>
      <c r="C533" s="18">
        <v>93.23</v>
      </c>
      <c r="D533" s="18">
        <v>126.87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-0.27870225013082151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-0.29785867237687369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34.409999999999997</v>
      </c>
      <c r="C534" s="18">
        <v>93.54</v>
      </c>
      <c r="D534" s="18">
        <v>124.285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-0.27974882260596556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-0.29785867237687369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34.61</v>
      </c>
      <c r="C535" s="18">
        <v>94.09</v>
      </c>
      <c r="D535" s="18">
        <v>124.75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-0.27556253270538988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-0.29079229122055683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34.479999999999997</v>
      </c>
      <c r="C536" s="18">
        <v>94.91</v>
      </c>
      <c r="D536" s="18">
        <v>125.8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-0.27828362114076399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-0.28072805139186296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34.47</v>
      </c>
      <c r="C537" s="18">
        <v>93.8</v>
      </c>
      <c r="D537" s="18">
        <v>125.16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-0.2784929356357928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-0.28629550321199149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34.44</v>
      </c>
      <c r="C538" s="18">
        <v>94.06</v>
      </c>
      <c r="D538" s="18">
        <v>125.15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-0.27912087912087913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-0.28693790149892939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35.200000000000003</v>
      </c>
      <c r="C539" s="18">
        <v>94.91</v>
      </c>
      <c r="D539" s="18">
        <v>128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-0.26321297749869166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-0.28501070663811567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35.11</v>
      </c>
      <c r="C540" s="18">
        <v>95.25</v>
      </c>
      <c r="D540" s="18">
        <v>126.14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-0.26509680795395085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-0.28479657387580304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35.380000000000003</v>
      </c>
      <c r="C541" s="18">
        <v>96.38</v>
      </c>
      <c r="D541" s="18">
        <v>125.642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-0.2594453165881736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-0.28115631691648824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35.200000000000003</v>
      </c>
      <c r="C542" s="18">
        <v>97.09</v>
      </c>
      <c r="D542" s="18">
        <v>126.54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-0.26321297749869166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-0.28586723768736622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35.81</v>
      </c>
      <c r="C543" s="18">
        <v>98.14</v>
      </c>
      <c r="D543" s="18">
        <v>128.55000000000001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-0.25044479330193614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-0.27580299785867246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35.630000000000003</v>
      </c>
      <c r="C544" s="18">
        <v>97.74</v>
      </c>
      <c r="D544" s="18">
        <v>128.76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-0.25421245421245409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-0.28543897216274094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35.64</v>
      </c>
      <c r="C545" s="18">
        <v>97</v>
      </c>
      <c r="D545" s="18">
        <v>124.9599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-0.25400313971742539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-0.28137044967880087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35.49</v>
      </c>
      <c r="C546" s="18">
        <v>97.01</v>
      </c>
      <c r="D546" s="18">
        <v>126.8199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-0.25714285714285712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-0.27601713062098499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35.99</v>
      </c>
      <c r="C547" s="18">
        <v>97.9</v>
      </c>
      <c r="D547" s="18">
        <v>128.5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-0.24667713239141809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-0.27858672376873672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36.57</v>
      </c>
      <c r="C548" s="18">
        <v>98.13</v>
      </c>
      <c r="D548" s="18">
        <v>125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-0.23453689167974878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-0.26423982869379026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36.630000000000003</v>
      </c>
      <c r="C549" s="18">
        <v>98.99</v>
      </c>
      <c r="D549" s="18">
        <v>128.52000000000001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-0.23328100470957602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-0.24154175588865101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36.33</v>
      </c>
      <c r="C550" s="18">
        <v>96.97</v>
      </c>
      <c r="D550" s="18">
        <v>125.75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-0.2395604395604396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-0.23211991434689516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36.17</v>
      </c>
      <c r="C551" s="18">
        <v>97.05</v>
      </c>
      <c r="D551" s="18">
        <v>125.5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-0.24290947148090003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-0.23233404710920769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36</v>
      </c>
      <c r="C552" s="18">
        <v>95.93</v>
      </c>
      <c r="D552" s="18">
        <v>125.4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-0.24646781789638927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-0.23811563169164895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35.94</v>
      </c>
      <c r="C553" s="18">
        <v>96.3</v>
      </c>
      <c r="D553" s="18">
        <v>125.06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-0.24772370486656203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-0.22912205567451827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36.369999999999997</v>
      </c>
      <c r="C554" s="18">
        <v>97.28</v>
      </c>
      <c r="D554" s="18">
        <v>125.2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-0.23872318158032446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-0.226338329764454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36.42</v>
      </c>
      <c r="C555" s="18">
        <v>98.17</v>
      </c>
      <c r="D555" s="18">
        <v>126.48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-0.23767660910518051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-0.22441113490364029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36.74</v>
      </c>
      <c r="C556" s="18">
        <v>99.71</v>
      </c>
      <c r="D556" s="18">
        <v>129.25989999999999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-0.23097854526425954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-0.22483940042826556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36.979999999999997</v>
      </c>
      <c r="C557" s="18">
        <v>98.87</v>
      </c>
      <c r="D557" s="18">
        <v>132.495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-0.22595499738356883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-0.24197002141327628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35.880000000000003</v>
      </c>
      <c r="C558" s="18">
        <v>97.4</v>
      </c>
      <c r="D558" s="18">
        <v>131.28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-0.24897959183673457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-0.25631691648822286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36.46</v>
      </c>
      <c r="C559" s="18">
        <v>98.22</v>
      </c>
      <c r="D559" s="18">
        <v>128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-0.23683935112506538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-0.24710920770877953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36.5</v>
      </c>
      <c r="C560" s="18">
        <v>98.29</v>
      </c>
      <c r="D560" s="18">
        <v>132.88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-0.23600209314495024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-0.24047109207708783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36.19</v>
      </c>
      <c r="C561" s="18">
        <v>97.14</v>
      </c>
      <c r="D561" s="18">
        <v>131.125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-0.24249084249084252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-0.25032119914346906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36.81</v>
      </c>
      <c r="C562" s="18">
        <v>98.1</v>
      </c>
      <c r="D562" s="18">
        <v>130.5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-0.22951334379905797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-0.23661670235546051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36.99</v>
      </c>
      <c r="C563" s="18">
        <v>98.75</v>
      </c>
      <c r="D563" s="18">
        <v>130.9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-0.22574568288853991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-0.23897216274089939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37.01</v>
      </c>
      <c r="C564" s="18">
        <v>98.55</v>
      </c>
      <c r="D564" s="18">
        <v>134.4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-0.22532705389848251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-0.23725910064239841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37.1</v>
      </c>
      <c r="C565" s="18">
        <v>99.71</v>
      </c>
      <c r="D565" s="18">
        <v>133.09989999999999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-0.22344322344322343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-0.22933618843683079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37.090000000000003</v>
      </c>
      <c r="C566" s="18">
        <v>99.97</v>
      </c>
      <c r="D566" s="18">
        <v>136.32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-0.22365253793825213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-0.23319057815845823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37.06</v>
      </c>
      <c r="C567" s="18">
        <v>100.97</v>
      </c>
      <c r="D567" s="18">
        <v>134.44999999999999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-0.22428048142333845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-0.22419700214132776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37.51</v>
      </c>
      <c r="C568" s="18">
        <v>101</v>
      </c>
      <c r="D568" s="18">
        <v>132.81229999999999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-0.21486132914704348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-0.22162740899357602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38.92</v>
      </c>
      <c r="C569" s="18">
        <v>104.82</v>
      </c>
      <c r="D569" s="18">
        <v>138.46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-0.18534798534798524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-0.20299785867237696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39.07</v>
      </c>
      <c r="C570" s="18">
        <v>105.57</v>
      </c>
      <c r="D570" s="18">
        <v>137.05000000000001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-0.18220826792255362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-0.19785867237687371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39.21</v>
      </c>
      <c r="C571" s="18">
        <v>106.31</v>
      </c>
      <c r="D571" s="18">
        <v>135.66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-0.1792778649921507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-0.20706638115631693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39.64</v>
      </c>
      <c r="C572" s="18">
        <v>107.08</v>
      </c>
      <c r="D572" s="18">
        <v>139.5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-0.17027734170591313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-0.20128479657387588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39.76</v>
      </c>
      <c r="C573" s="18">
        <v>106.39</v>
      </c>
      <c r="D573" s="18">
        <v>139.56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-0.16776556776556784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-0.20899357601713076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39.99</v>
      </c>
      <c r="C574" s="18">
        <v>107.44</v>
      </c>
      <c r="D574" s="18">
        <v>137.22489999999999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-0.16295133437990572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-0.20449678800856541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39.64</v>
      </c>
      <c r="C575" s="18">
        <v>107.6</v>
      </c>
      <c r="D575" s="18">
        <v>137.02000000000001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-0.17027734170591313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-0.21391862955032126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40.1</v>
      </c>
      <c r="C576" s="18">
        <v>107.45</v>
      </c>
      <c r="D576" s="18">
        <v>139.76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-0.16064887493458913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-0.20835117773019274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39.880000000000003</v>
      </c>
      <c r="C577" s="18">
        <v>107.69</v>
      </c>
      <c r="D577" s="18">
        <v>132.96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-0.16525379382522232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-0.22269807280513931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39.78</v>
      </c>
      <c r="C578" s="18">
        <v>108.26</v>
      </c>
      <c r="D578" s="18">
        <v>134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-0.1673469387755101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-0.23768736616702357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39.54</v>
      </c>
      <c r="C579" s="18">
        <v>108.03</v>
      </c>
      <c r="D579" s="18">
        <v>132.25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-0.17237048665620092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-0.24132762312633838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39.68</v>
      </c>
      <c r="C580" s="18">
        <v>108.23</v>
      </c>
      <c r="D580" s="18">
        <v>131.80000000000001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-0.169440083725798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-0.24325481798715198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39.53</v>
      </c>
      <c r="C581" s="18">
        <v>108.47</v>
      </c>
      <c r="D581" s="18">
        <v>136.28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-0.17257980115122973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-0.23918629550321202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39.28</v>
      </c>
      <c r="C582" s="18">
        <v>107.73</v>
      </c>
      <c r="D582" s="18">
        <v>134.9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-0.17781266352694924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-0.24839400428265523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39.03</v>
      </c>
      <c r="C583" s="18">
        <v>107.55</v>
      </c>
      <c r="D583" s="18">
        <v>131.91990000000001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-0.18304552590266876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-0.24453961456102791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38.840000000000003</v>
      </c>
      <c r="C584" s="18">
        <v>106.99</v>
      </c>
      <c r="D584" s="18">
        <v>132.03989999999999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-0.18702250130821552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-0.25353319057815848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39.07</v>
      </c>
      <c r="C585" s="18">
        <v>107.16</v>
      </c>
      <c r="D585" s="18">
        <v>131.75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-0.18220826792255362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-0.23683083511777303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39.06</v>
      </c>
      <c r="C586" s="18">
        <v>107.95</v>
      </c>
      <c r="D586" s="18">
        <v>132.47989999999999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-0.18241758241758232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-0.2329764453961457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39.090000000000003</v>
      </c>
      <c r="C587" s="18">
        <v>107.75</v>
      </c>
      <c r="D587" s="18">
        <v>131.25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-0.181789638932496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-0.23169164882226978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39.44</v>
      </c>
      <c r="C588" s="18">
        <v>103.47</v>
      </c>
      <c r="D588" s="18">
        <v>132.4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-0.17446363160648881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-0.24753747323340469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40.630000000000003</v>
      </c>
      <c r="C589" s="18">
        <v>105.33</v>
      </c>
      <c r="D589" s="18">
        <v>132.12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-0.14955520669806377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-0.26509635974304069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40.72</v>
      </c>
      <c r="C590" s="18">
        <v>103.72</v>
      </c>
      <c r="D590" s="18">
        <v>131.9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-0.1476713762428048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-0.27301927194860809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41.57</v>
      </c>
      <c r="C591" s="18">
        <v>103.47</v>
      </c>
      <c r="D591" s="18">
        <v>128.04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-0.12987964416535847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-0.28993576017130629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41.75</v>
      </c>
      <c r="C592" s="18">
        <v>103.74</v>
      </c>
      <c r="D592" s="18">
        <v>133.84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-0.12611198325484041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-0.28758029978586719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42.02</v>
      </c>
      <c r="C593" s="18">
        <v>103.46</v>
      </c>
      <c r="D593" s="18">
        <v>133.34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-0.12046049188906327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-0.30299785867237694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41.82</v>
      </c>
      <c r="C594" s="18">
        <v>101.36</v>
      </c>
      <c r="D594" s="18">
        <v>125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-0.12464678178963895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-0.31263383297644542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41.91</v>
      </c>
      <c r="C595" s="18">
        <v>101.03</v>
      </c>
      <c r="D595" s="18">
        <v>123.5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-0.12276295133437998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-0.30813704496788008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41.07</v>
      </c>
      <c r="C596" s="18">
        <v>100.53</v>
      </c>
      <c r="D596" s="18">
        <v>120.6649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-0.1403453689167975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-0.30192719486081376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41.39</v>
      </c>
      <c r="C597" s="18">
        <v>99.06</v>
      </c>
      <c r="D597" s="18">
        <v>123.5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-0.13364730507587652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-0.31199143468950752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41.8</v>
      </c>
      <c r="C598" s="18">
        <v>99.05</v>
      </c>
      <c r="D598" s="18">
        <v>121.8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-0.12506541077969657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-0.3143468950749464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41.77</v>
      </c>
      <c r="C599" s="18">
        <v>99.63</v>
      </c>
      <c r="D599" s="18">
        <v>124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-0.12569335426478279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-0.31263383297644542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41.94</v>
      </c>
      <c r="C600" s="18">
        <v>100.19</v>
      </c>
      <c r="D600" s="18">
        <v>127.38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-0.12213500784929354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-0.30877944325481799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42.02</v>
      </c>
      <c r="C601" s="18">
        <v>102.72</v>
      </c>
      <c r="D601" s="18">
        <v>128.5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-0.12046049188906327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-0.29892933618843687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41.94</v>
      </c>
      <c r="C602" s="18">
        <v>102.56</v>
      </c>
      <c r="D602" s="18">
        <v>127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-0.12213500784929354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-0.29528907922912218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42.16</v>
      </c>
      <c r="C603" s="18">
        <v>102.8</v>
      </c>
      <c r="D603" s="18">
        <v>126.4684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-0.11753008895866046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-0.30428265524625264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42.22</v>
      </c>
      <c r="C604" s="18">
        <v>103.9</v>
      </c>
      <c r="D604" s="18">
        <v>129.15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-0.1162742019884877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-0.29421841541755889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42.34</v>
      </c>
      <c r="C605" s="18">
        <v>103.25</v>
      </c>
      <c r="D605" s="18">
        <v>129.99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-0.11376242804814218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-0.30364025695931474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42.38</v>
      </c>
      <c r="C606" s="18">
        <v>103.15</v>
      </c>
      <c r="D606" s="18">
        <v>131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-0.11292517006802716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-0.29271948608137044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42.34</v>
      </c>
      <c r="C607" s="18">
        <v>102.22</v>
      </c>
      <c r="D607" s="18">
        <v>131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-0.11376242804814218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-0.29486081370449679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41.9</v>
      </c>
      <c r="C608" s="18">
        <v>100.97</v>
      </c>
      <c r="D608" s="18">
        <v>126.625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-0.12297226582940868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-0.29914346895074961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42.03</v>
      </c>
      <c r="C609" s="18">
        <v>102.06</v>
      </c>
      <c r="D609" s="18">
        <v>130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-0.12025117739403446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-0.29164882226980737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42.44</v>
      </c>
      <c r="C610" s="18">
        <v>101.97</v>
      </c>
      <c r="D610" s="18">
        <v>129.65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-0.11166928309785451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-0.29593147751605997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42.6</v>
      </c>
      <c r="C611" s="18">
        <v>102.1</v>
      </c>
      <c r="D611" s="18">
        <v>126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-0.10832025117739397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-0.29014989293361892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42.62</v>
      </c>
      <c r="C612" s="18">
        <v>102.64</v>
      </c>
      <c r="D612" s="18">
        <v>128.9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-0.10790162218733645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-0.28329764453961459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43.58</v>
      </c>
      <c r="C613" s="18">
        <v>99.93</v>
      </c>
      <c r="D613" s="18">
        <v>129.25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-8.7807430664573527E-2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-0.27687366167023553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43.14</v>
      </c>
      <c r="C614" s="18">
        <v>100.71</v>
      </c>
      <c r="D614" s="18">
        <v>131.125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-9.7017268445839799E-2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-0.27408993576017138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42.92</v>
      </c>
      <c r="C615" s="18">
        <v>101.37</v>
      </c>
      <c r="D615" s="18">
        <v>133.375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-0.10162218733647299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-0.25888650963597437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43.27</v>
      </c>
      <c r="C616" s="18">
        <v>99.77</v>
      </c>
      <c r="D616" s="18">
        <v>133.31989999999999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-9.429618001046558E-2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-0.24732334047109217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43.36</v>
      </c>
      <c r="C617" s="18">
        <v>99</v>
      </c>
      <c r="D617" s="18">
        <v>136.4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-9.2412349555206719E-2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-0.26723768736616704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43.08</v>
      </c>
      <c r="C618" s="18">
        <v>98.13</v>
      </c>
      <c r="D618" s="18">
        <v>134.125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-9.8273155416012559E-2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-0.29571734475374734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42.19</v>
      </c>
      <c r="C619" s="18">
        <v>97.27</v>
      </c>
      <c r="D619" s="18">
        <v>131.41990000000001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-0.11690214547357403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-0.30107066381156322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42.14</v>
      </c>
      <c r="C620" s="18">
        <v>95.92</v>
      </c>
      <c r="D620" s="18">
        <v>130.91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-0.11794871794871786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-0.31092077087794434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42.32</v>
      </c>
      <c r="C621" s="18">
        <v>96.32</v>
      </c>
      <c r="D621" s="18">
        <v>129.94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-0.11418105703819992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-0.31220556745182027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41.93</v>
      </c>
      <c r="C622" s="18">
        <v>96.05</v>
      </c>
      <c r="D622" s="18">
        <v>130.99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-0.12234432234432235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-0.30149892933618849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42.37</v>
      </c>
      <c r="C623" s="18">
        <v>96.08</v>
      </c>
      <c r="D623" s="18">
        <v>131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-0.11313448456305597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-0.32933618843683088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42.35</v>
      </c>
      <c r="C624" s="18">
        <v>96.23</v>
      </c>
      <c r="D624" s="18">
        <v>132.37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-0.11355311355311348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-0.32933618843683088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42.83</v>
      </c>
      <c r="C625" s="18">
        <v>95.73</v>
      </c>
      <c r="D625" s="18">
        <v>133.22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-0.10350601779173207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-0.32997858672376879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42.79</v>
      </c>
      <c r="C626" s="18">
        <v>95.27</v>
      </c>
      <c r="D626" s="18">
        <v>130.55000000000001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-0.10434327577184721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-0.32955032119914351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42.99</v>
      </c>
      <c r="C627" s="18">
        <v>95.88</v>
      </c>
      <c r="D627" s="18">
        <v>134.70490000000001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-0.10015698587127153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-0.32955032119914351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42.87</v>
      </c>
      <c r="C628" s="18">
        <v>96.73</v>
      </c>
      <c r="D628" s="18">
        <v>136.96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-0.10266875981161694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-0.31648822269807286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42.42</v>
      </c>
      <c r="C629" s="18">
        <v>95.87</v>
      </c>
      <c r="D629" s="18">
        <v>135.80000000000001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-0.11208791208791202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-0.31584582441113496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41.79</v>
      </c>
      <c r="C630" s="18">
        <v>94.41</v>
      </c>
      <c r="D630" s="18">
        <v>131.66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-0.12527472527472527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-0.32805139186295507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41.54</v>
      </c>
      <c r="C631" s="18">
        <v>94.37</v>
      </c>
      <c r="D631" s="18">
        <v>131.76490000000001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-0.13050758765044479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-0.32976445396145615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40.86</v>
      </c>
      <c r="C632" s="18">
        <v>96.89</v>
      </c>
      <c r="D632" s="18">
        <v>137.35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-0.14474097331240188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-0.34154175588865099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41.19</v>
      </c>
      <c r="C633" s="18">
        <v>95.79</v>
      </c>
      <c r="D633" s="18">
        <v>133.22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-0.13783359497645209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-0.3524625267665954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40.85</v>
      </c>
      <c r="C634" s="18">
        <v>95.48</v>
      </c>
      <c r="D634" s="18">
        <v>136.63999999999999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-0.14495028780743058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-0.35353319057815846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40.880000000000003</v>
      </c>
      <c r="C635" s="18">
        <v>95.81</v>
      </c>
      <c r="D635" s="18">
        <v>134.75989999999999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-0.14432234432234425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-0.34346895074946471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40.69</v>
      </c>
      <c r="C636" s="18">
        <v>94.38</v>
      </c>
      <c r="D636" s="18">
        <v>136.25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-0.14829931972789123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-0.34496788008565316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40.799999999999997</v>
      </c>
      <c r="C637" s="18">
        <v>94.34</v>
      </c>
      <c r="D637" s="18">
        <v>136.5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-0.14599686028257464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-0.33704496788008564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40.659999999999997</v>
      </c>
      <c r="C638" s="18">
        <v>93.52</v>
      </c>
      <c r="D638" s="18">
        <v>138.88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-0.14892726321297756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-0.34496788008565316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40.5</v>
      </c>
      <c r="C639" s="18">
        <v>94.41</v>
      </c>
      <c r="D639" s="18">
        <v>135.94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-0.15227629513343799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-0.34518201284796579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39.950000000000003</v>
      </c>
      <c r="C640" s="18">
        <v>93.2</v>
      </c>
      <c r="D640" s="18">
        <v>135.30500000000001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-0.16378859236002086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-0.35267665952890792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39.6</v>
      </c>
      <c r="C641" s="18">
        <v>93.08</v>
      </c>
      <c r="D641" s="18">
        <v>140.15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-0.17111459968602816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-0.35588865096359745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39.270000000000003</v>
      </c>
      <c r="C642" s="18">
        <v>92.57</v>
      </c>
      <c r="D642" s="18">
        <v>138.24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-0.17802197802197794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-0.35653104925053536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39.75</v>
      </c>
      <c r="C643" s="18">
        <v>94.36</v>
      </c>
      <c r="D643" s="18">
        <v>136.19999999999999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-0.16797488226059654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-0.34882226980728059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40.590000000000003</v>
      </c>
      <c r="C644" s="18">
        <v>95.12</v>
      </c>
      <c r="D644" s="18">
        <v>138.72999999999999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-0.15039246467817891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-0.33811563169164882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41.24</v>
      </c>
      <c r="C645" s="18">
        <v>97.28</v>
      </c>
      <c r="D645" s="18">
        <v>140.30000000000001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-0.13678702250130814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-0.33104925053533196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40.86</v>
      </c>
      <c r="C646" s="18">
        <v>98.35</v>
      </c>
      <c r="D646" s="18">
        <v>135.35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-0.14474097331240188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-0.34603854389721633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40.909999999999997</v>
      </c>
      <c r="C647" s="18">
        <v>99.06</v>
      </c>
      <c r="D647" s="18">
        <v>146.0549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-0.14369440083725804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-0.35717344753747327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41.11</v>
      </c>
      <c r="C648" s="18">
        <v>97.44</v>
      </c>
      <c r="D648" s="18">
        <v>145.1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-0.13950811093668236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-0.35224839400428265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41.61</v>
      </c>
      <c r="C649" s="18">
        <v>97.09</v>
      </c>
      <c r="D649" s="18">
        <v>146.25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-0.12904238618524333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-0.35053533190578168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41.44</v>
      </c>
      <c r="C650" s="18">
        <v>97.13</v>
      </c>
      <c r="D650" s="18">
        <v>151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-0.13260073260073257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-0.36145610278372597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42.57</v>
      </c>
      <c r="C651" s="18">
        <v>97.5</v>
      </c>
      <c r="D651" s="18">
        <v>151.024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-0.10894819466248029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-0.36295503211991442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43.35</v>
      </c>
      <c r="C652" s="18">
        <v>97.34</v>
      </c>
      <c r="D652" s="18">
        <v>153.47999999999999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-9.2621664050235419E-2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-0.37344753747323345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43.5</v>
      </c>
      <c r="C653" s="18">
        <v>97.27</v>
      </c>
      <c r="D653" s="18">
        <v>149.245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-8.9481946624803688E-2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-0.36124197002141334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43.45</v>
      </c>
      <c r="C654" s="18">
        <v>97.73</v>
      </c>
      <c r="D654" s="18">
        <v>148.22999999999999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-9.0528519099947635E-2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-0.35567451820128482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44.15</v>
      </c>
      <c r="C655" s="18">
        <v>99.07</v>
      </c>
      <c r="D655" s="18">
        <v>146.65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-7.5876504447933035E-2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-0.34732334047109215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44.14</v>
      </c>
      <c r="C656" s="18">
        <v>99.6</v>
      </c>
      <c r="D656" s="18">
        <v>152.4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-7.6085818942961736E-2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-0.34860813704496785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44.67</v>
      </c>
      <c r="C657" s="18">
        <v>100.21</v>
      </c>
      <c r="D657" s="18">
        <v>152.33000000000001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-6.499215070643638E-2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-0.33832976445396157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45.07</v>
      </c>
      <c r="C658" s="18">
        <v>102.1</v>
      </c>
      <c r="D658" s="18">
        <v>156.00729999999999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-5.6619570905285133E-2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-0.33725910064239839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45.17</v>
      </c>
      <c r="C659" s="18">
        <v>102.26</v>
      </c>
      <c r="D659" s="18">
        <v>155.84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-5.4526425954997348E-2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-0.3501070663811563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45.66</v>
      </c>
      <c r="C660" s="18">
        <v>103.31</v>
      </c>
      <c r="D660" s="18">
        <v>152.87989999999999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-4.4270015698587128E-2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-0.33725910064239839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45.7</v>
      </c>
      <c r="C661" s="18">
        <v>103.22</v>
      </c>
      <c r="D661" s="18">
        <v>153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-4.3432757718471882E-2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-0.3276231263383298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44.88</v>
      </c>
      <c r="C662" s="18">
        <v>102.69</v>
      </c>
      <c r="D662" s="18">
        <v>155.72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-6.0596546310831889E-2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-0.30085653104925059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44.98</v>
      </c>
      <c r="C663" s="18">
        <v>102.57</v>
      </c>
      <c r="D663" s="18">
        <v>155.26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-5.8503401360544216E-2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-0.29743040685224842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44.59</v>
      </c>
      <c r="C664" s="18">
        <v>102.84</v>
      </c>
      <c r="D664" s="18">
        <v>154.61000000000001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-6.6666666666666541E-2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-0.29828693790149885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44.46</v>
      </c>
      <c r="C665" s="18">
        <v>102.84</v>
      </c>
      <c r="D665" s="18">
        <v>159.06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-6.938775510204076E-2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-0.30792291220556745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45.78</v>
      </c>
      <c r="C666" s="18">
        <v>101.96</v>
      </c>
      <c r="D666" s="18">
        <v>158.74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-4.1758241758241721E-2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-0.32184154175588864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45.15</v>
      </c>
      <c r="C667" s="18">
        <v>101.11</v>
      </c>
      <c r="D667" s="18">
        <v>159.36000000000001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-5.4945054945054972E-2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-0.31927194860813712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45.12</v>
      </c>
      <c r="C668" s="18">
        <v>100.53</v>
      </c>
      <c r="D668" s="18">
        <v>159.12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-5.5572998430141296E-2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-0.32334047109207709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44.24</v>
      </c>
      <c r="C669" s="18">
        <v>99.68</v>
      </c>
      <c r="D669" s="18">
        <v>158.5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-7.3992673992673952E-2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-0.32976445396145615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44.28</v>
      </c>
      <c r="C670" s="18">
        <v>99.36</v>
      </c>
      <c r="D670" s="18">
        <v>146.19999999999999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-7.3155416012558816E-2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-0.32912205567451824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44.02</v>
      </c>
      <c r="C671" s="18">
        <v>100.7</v>
      </c>
      <c r="D671" s="18">
        <v>146.19999999999999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-7.8597592883307033E-2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-0.32398286937901499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44.77</v>
      </c>
      <c r="C672" s="18">
        <v>103.13</v>
      </c>
      <c r="D672" s="18">
        <v>153.78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-6.2899005756148485E-2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-0.31456102783725914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40.880000000000003</v>
      </c>
      <c r="C673" s="18">
        <v>102.76</v>
      </c>
      <c r="D673" s="18">
        <v>158.43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-0.14432234432234425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-0.30749464668094217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41.35</v>
      </c>
      <c r="C674" s="18">
        <v>104.92</v>
      </c>
      <c r="D674" s="18">
        <v>156.35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-0.13448456305599155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-0.29571734475374734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41.97</v>
      </c>
      <c r="C675" s="18">
        <v>105.36</v>
      </c>
      <c r="D675" s="18">
        <v>160.1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-0.12150706436420722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-0.29250535331905791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41.54</v>
      </c>
      <c r="C676" s="18">
        <v>106.13</v>
      </c>
      <c r="D676" s="18">
        <v>159.96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-0.13050758765044479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-0.28308351177730207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41.21</v>
      </c>
      <c r="C677" s="18">
        <v>105.33</v>
      </c>
      <c r="D677" s="18">
        <v>159.96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-0.13741496598639447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-0.28158458244111362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41.29</v>
      </c>
      <c r="C678" s="18">
        <v>105.4</v>
      </c>
      <c r="D678" s="18">
        <v>159.37989999999999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-0.13574045002616431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-0.28351177730192723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41.06</v>
      </c>
      <c r="C679" s="18">
        <v>104.51</v>
      </c>
      <c r="D679" s="18">
        <v>161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-0.1405546834118262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-0.28244111349036416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41.11</v>
      </c>
      <c r="C680" s="18">
        <v>105.55</v>
      </c>
      <c r="D680" s="18">
        <v>160.44999999999999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-0.13950811093668236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-0.27002141327623119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41.11</v>
      </c>
      <c r="C681" s="18">
        <v>106.02</v>
      </c>
      <c r="D681" s="18">
        <v>160.44999999999999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-0.13950811093668236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-0.26081370449678798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40.65</v>
      </c>
      <c r="C682" s="18">
        <v>105.72</v>
      </c>
      <c r="D682" s="18">
        <v>160.41999999999999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-0.14913657770800626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-0.25760171306209856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40.659999999999997</v>
      </c>
      <c r="C683" s="18">
        <v>104.93</v>
      </c>
      <c r="D683" s="18">
        <v>160.41999999999999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-0.14892726321297756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-0.25952890792291228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40.950000000000003</v>
      </c>
      <c r="C684" s="18">
        <v>104.94</v>
      </c>
      <c r="D684" s="18">
        <v>158.80000000000001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-0.14285714285714279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-0.25096359743040697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40.76</v>
      </c>
      <c r="C685" s="18">
        <v>105.74</v>
      </c>
      <c r="D685" s="18">
        <v>152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-0.14683411826268966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-0.24582441113490372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40.479999999999997</v>
      </c>
      <c r="C686" s="18">
        <v>105.22</v>
      </c>
      <c r="D686" s="18">
        <v>152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-0.15269492412349561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-0.23790149892933621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40.549999999999997</v>
      </c>
      <c r="C687" s="18">
        <v>106.95</v>
      </c>
      <c r="D687" s="18">
        <v>152.11000000000001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-0.15122972265829415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-0.23533190578158458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40.31</v>
      </c>
      <c r="C688" s="18">
        <v>107.37</v>
      </c>
      <c r="D688" s="18">
        <v>157.87989999999999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-0.15625327053898475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-0.23832976445396148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38.869999999999997</v>
      </c>
      <c r="C689" s="18">
        <v>107.07</v>
      </c>
      <c r="D689" s="18">
        <v>157.87989999999999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-0.1863945578231293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-0.2578158458244113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38.64</v>
      </c>
      <c r="C690" s="18">
        <v>106.55</v>
      </c>
      <c r="D690" s="18">
        <v>158.63999999999999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-0.1912087912087912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-0.25246252676659542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38.5</v>
      </c>
      <c r="C691" s="18">
        <v>106.46</v>
      </c>
      <c r="D691" s="18">
        <v>156.26750000000001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-0.19413919413919412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-0.25760171306209856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38.380000000000003</v>
      </c>
      <c r="C692" s="18">
        <v>106.54</v>
      </c>
      <c r="D692" s="18">
        <v>157.5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-0.19665096807953941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-0.25824411134903646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38.21</v>
      </c>
      <c r="C693" s="18">
        <v>106.44</v>
      </c>
      <c r="D693" s="18">
        <v>154.72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-0.20020931449502877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-0.26274089935760181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38.46</v>
      </c>
      <c r="C694" s="18">
        <v>106.78</v>
      </c>
      <c r="D694" s="18">
        <v>147.15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-0.19497645211930925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-0.26959314775160603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38.840000000000003</v>
      </c>
      <c r="C695" s="18">
        <v>108.13</v>
      </c>
      <c r="D695" s="18">
        <v>148.69999999999999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-0.18702250130821552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-0.27130620985010712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38.71</v>
      </c>
      <c r="C696" s="18">
        <v>108.06</v>
      </c>
      <c r="D696" s="18">
        <v>157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-0.18974358974358974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-0.27430406852248401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38.6</v>
      </c>
      <c r="C697" s="18">
        <v>108.23</v>
      </c>
      <c r="D697" s="18">
        <v>154.35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-0.19204604918890633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-0.26659528907922914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38.56</v>
      </c>
      <c r="C698" s="18">
        <v>109.94</v>
      </c>
      <c r="D698" s="18">
        <v>153.86000000000001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-0.19288330716902136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-0.25481798715203441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38.9</v>
      </c>
      <c r="C699" s="18">
        <v>110.5</v>
      </c>
      <c r="D699" s="18">
        <v>153.41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-0.18576661433804287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-0.24710920770877953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39.159999999999997</v>
      </c>
      <c r="C700" s="18">
        <v>111.7</v>
      </c>
      <c r="D700" s="18">
        <v>153.41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-0.18032443746729465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-0.23576017130620996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38.67</v>
      </c>
      <c r="C701" s="18">
        <v>110.33</v>
      </c>
      <c r="D701" s="18">
        <v>156.13990000000001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-0.19058084772370476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-0.22997858672376881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38.9</v>
      </c>
      <c r="C702" s="18">
        <v>110.53</v>
      </c>
      <c r="D702" s="18">
        <v>156.18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-0.18576661433804287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-0.22334047109207711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39.840000000000003</v>
      </c>
      <c r="C703" s="18">
        <v>111.8</v>
      </c>
      <c r="D703" s="18">
        <v>156.18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-0.16609105180533745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-0.16488222698072807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39.36</v>
      </c>
      <c r="C704" s="18">
        <v>107.22</v>
      </c>
      <c r="D704" s="18">
        <v>154.33029999999999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-0.17613814756671897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-0.15760171306209847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39.35</v>
      </c>
      <c r="C705" s="18">
        <v>106.13</v>
      </c>
      <c r="D705" s="18">
        <v>154.30000000000001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-0.17634746206174767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-0.15910064239828692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39.39</v>
      </c>
      <c r="C706" s="18">
        <v>108.73</v>
      </c>
      <c r="D706" s="18">
        <v>157.85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-0.17551020408163265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-0.15717344753747331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38.840000000000003</v>
      </c>
      <c r="C707" s="18">
        <v>107.7</v>
      </c>
      <c r="D707" s="18">
        <v>159.85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-0.18702250130821552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-0.1820128479657388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39.299999999999997</v>
      </c>
      <c r="C708" s="18">
        <v>109.29</v>
      </c>
      <c r="D708" s="18">
        <v>157.25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-0.17739403453689173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-0.17473233404710931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39.07</v>
      </c>
      <c r="C709" s="18">
        <v>109.93</v>
      </c>
      <c r="D709" s="18">
        <v>155.47999999999999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-0.18220826792255362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-0.1528907922912206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39.86</v>
      </c>
      <c r="C710" s="18">
        <v>110.32</v>
      </c>
      <c r="D710" s="18">
        <v>159.465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-0.16567242281527994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-0.12719486081370457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40.01</v>
      </c>
      <c r="C711" s="18">
        <v>110.67</v>
      </c>
      <c r="D711" s="18">
        <v>156.28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-0.16253270538984821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-0.13490364025695945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39.770000000000003</v>
      </c>
      <c r="C712" s="18">
        <v>111.93</v>
      </c>
      <c r="D712" s="18">
        <v>156.28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-0.16755625327053891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-0.13683083511777305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38.770000000000003</v>
      </c>
      <c r="C713" s="18">
        <v>111.48</v>
      </c>
      <c r="D713" s="18">
        <v>156.35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-0.18848770277341698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-0.13254817987152046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39.64</v>
      </c>
      <c r="C714" s="18">
        <v>112.1</v>
      </c>
      <c r="D714" s="18">
        <v>160.6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-0.17027734170591313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-0.12805139186295511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40.42</v>
      </c>
      <c r="C715" s="18">
        <v>112.87</v>
      </c>
      <c r="D715" s="18">
        <v>164.02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-0.15395081109366815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-0.12826552462526775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39.380000000000003</v>
      </c>
      <c r="C716" s="18">
        <v>109.85</v>
      </c>
      <c r="D716" s="18">
        <v>156.88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-0.17571951857666135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-0.15760171306209847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38.68</v>
      </c>
      <c r="C717" s="18">
        <v>110.06</v>
      </c>
      <c r="D717" s="18">
        <v>152.94999999999999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-0.19037153322867606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-0.15931477516059966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39.369999999999997</v>
      </c>
      <c r="C718" s="18">
        <v>111.16</v>
      </c>
      <c r="D718" s="18">
        <v>159.75989999999999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-0.17592883307169027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-0.1546038543897218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40.020000000000003</v>
      </c>
      <c r="C719" s="18">
        <v>111.02</v>
      </c>
      <c r="D719" s="18">
        <v>165.6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-0.1623233908948194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-0.14710920770877955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40.26</v>
      </c>
      <c r="C720" s="18">
        <v>111.89</v>
      </c>
      <c r="D720" s="18">
        <v>165.6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-0.15729984301412869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-0.13961456102783731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40.32</v>
      </c>
      <c r="C721" s="18">
        <v>111.42</v>
      </c>
      <c r="D721" s="18">
        <v>160.7099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-0.15604395604395604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-0.14089935760171313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41.18</v>
      </c>
      <c r="C722" s="18">
        <v>112.53</v>
      </c>
      <c r="D722" s="18">
        <v>163.56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-0.1380429094714809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-0.13468950749464681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41.22</v>
      </c>
      <c r="C723" s="18">
        <v>113.53</v>
      </c>
      <c r="D723" s="18">
        <v>166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-0.13720565149136577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-0.13083511777301926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41.4</v>
      </c>
      <c r="C724" s="18">
        <v>113.31</v>
      </c>
      <c r="D724" s="18">
        <v>167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-0.13343799058084771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-0.13511777301927197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41.28</v>
      </c>
      <c r="C725" s="18">
        <v>114.7</v>
      </c>
      <c r="D725" s="18">
        <v>169.9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-0.13594976452119301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-0.13147751605995717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41.52</v>
      </c>
      <c r="C726" s="18">
        <v>115.93</v>
      </c>
      <c r="D726" s="18">
        <v>164.41300000000001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-0.1309262166405023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-0.12162740899357605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41.6</v>
      </c>
      <c r="C727" s="18">
        <v>117.13</v>
      </c>
      <c r="D727" s="18">
        <v>169.25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-0.12925170068027203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-0.11241970021413272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41.85</v>
      </c>
      <c r="C728" s="18">
        <v>117.61</v>
      </c>
      <c r="D728" s="18">
        <v>169.25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-0.12401883830455251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-0.11134903640256966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41.95</v>
      </c>
      <c r="C729" s="18">
        <v>117.76</v>
      </c>
      <c r="D729" s="18">
        <v>169.5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-0.12192569335426473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-0.1128479657387581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42.63</v>
      </c>
      <c r="C730" s="18">
        <v>118.56</v>
      </c>
      <c r="D730" s="18">
        <v>169.55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-0.10769230769230764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-0.10685224839400431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42.54</v>
      </c>
      <c r="C731" s="18">
        <v>119.15</v>
      </c>
      <c r="D731" s="18">
        <v>174.9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-0.10957613814756673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-0.100642398286938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44.15</v>
      </c>
      <c r="C732" s="18">
        <v>119.84</v>
      </c>
      <c r="D732" s="18">
        <v>171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-7.5876504447933035E-2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-0.10620985010706641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43.9</v>
      </c>
      <c r="C733" s="18">
        <v>119.98</v>
      </c>
      <c r="D733" s="18">
        <v>173.625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-8.1109366823652551E-2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-0.10706638115631695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43.74</v>
      </c>
      <c r="C734" s="18">
        <v>120.42</v>
      </c>
      <c r="D734" s="18">
        <v>172.01990000000001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-8.4458398744112984E-2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-9.9785867237687453E-2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43.91</v>
      </c>
      <c r="C735" s="18">
        <v>120.89</v>
      </c>
      <c r="D735" s="18">
        <v>175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-8.090005232862385E-2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-9.3576017130621025E-2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43.44</v>
      </c>
      <c r="C736" s="18">
        <v>118.5</v>
      </c>
      <c r="D736" s="18">
        <v>172.8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-9.0737833594976447E-2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-0.11862955032119926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44.26</v>
      </c>
      <c r="C737" s="18">
        <v>119.38</v>
      </c>
      <c r="D737" s="18">
        <v>169.78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-7.3574045002616439E-2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-0.1231263383297645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43.13</v>
      </c>
      <c r="C738" s="18">
        <v>116.49</v>
      </c>
      <c r="D738" s="18">
        <v>164.76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-9.7226582940868611E-2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-0.12976445396145619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43.67</v>
      </c>
      <c r="C739" s="18">
        <v>116.65</v>
      </c>
      <c r="D739" s="18">
        <v>168.97499999999999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-8.5923600209314444E-2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-0.13297644539614561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43.94</v>
      </c>
      <c r="C740" s="18">
        <v>117.16</v>
      </c>
      <c r="D740" s="18">
        <v>160.08000000000001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-8.0272108843537415E-2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-0.1625267665952892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44.1</v>
      </c>
      <c r="C741" s="18">
        <v>116.99</v>
      </c>
      <c r="D741" s="18">
        <v>160.24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-7.6923076923076872E-2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-0.14946466809421854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43.77</v>
      </c>
      <c r="C742" s="18">
        <v>115.28</v>
      </c>
      <c r="D742" s="18">
        <v>160.24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-8.3830455259026548E-2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-0.20064239828693797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43.11</v>
      </c>
      <c r="C743" s="18">
        <v>115.72</v>
      </c>
      <c r="D743" s="18">
        <v>156.37989999999999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-9.7645211930926235E-2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-0.1710920770877945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43.01</v>
      </c>
      <c r="C744" s="18">
        <v>115.66</v>
      </c>
      <c r="D744" s="18">
        <v>158.13999999999999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-9.9738356881214019E-2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-0.1625267665952892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43.55</v>
      </c>
      <c r="C745" s="18">
        <v>116.95</v>
      </c>
      <c r="D745" s="18">
        <v>157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-8.8435374149659851E-2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-0.16038543897216273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42.56</v>
      </c>
      <c r="C746" s="18">
        <v>115.7</v>
      </c>
      <c r="D746" s="18">
        <v>157.80160000000001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-0.1091575091575091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-0.15781584582441122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42.43</v>
      </c>
      <c r="C747" s="18">
        <v>115.97</v>
      </c>
      <c r="D747" s="18">
        <v>163.97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-0.11187859759288332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-0.15182012847965742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41.62</v>
      </c>
      <c r="C748" s="18">
        <v>115.98</v>
      </c>
      <c r="D748" s="18">
        <v>157.73269999999999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-0.12883307169021463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-0.15503211991434696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40.799999999999997</v>
      </c>
      <c r="C749" s="18">
        <v>115.94</v>
      </c>
      <c r="D749" s="18">
        <v>155.13990000000001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-0.14599686028257464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-0.15524625267665948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40.86</v>
      </c>
      <c r="C750" s="18">
        <v>116.37</v>
      </c>
      <c r="D750" s="18">
        <v>155.13990000000001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-0.14474097331240188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-0.15417558886509641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40.98</v>
      </c>
      <c r="C751" s="18">
        <v>116.42</v>
      </c>
      <c r="D751" s="18">
        <v>149.34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-0.14222919937205658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-0.14453961456102782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40.56</v>
      </c>
      <c r="C752" s="18">
        <v>116.43</v>
      </c>
      <c r="D752" s="18">
        <v>153.30000000000001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-0.15102040816326523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-0.14668094218415417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40.9</v>
      </c>
      <c r="C753" s="18">
        <v>115.61</v>
      </c>
      <c r="D753" s="18">
        <v>153.30000000000001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-0.14390371533228674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-0.1400428265524627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40.71</v>
      </c>
      <c r="C754" s="18">
        <v>115.61</v>
      </c>
      <c r="D754" s="18">
        <v>154.46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-0.1478806907378335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-0.14047109207708786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40.880000000000003</v>
      </c>
      <c r="C755" s="18">
        <v>115.02</v>
      </c>
      <c r="D755" s="18">
        <v>154.46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-0.14432234432234425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-0.14453961456102782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40.299999999999997</v>
      </c>
      <c r="C756" s="18">
        <v>114.55</v>
      </c>
      <c r="D756" s="18">
        <v>155.52000000000001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-0.15646258503401367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-0.15974304068522482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39.450000000000003</v>
      </c>
      <c r="C757" s="18">
        <v>114.47</v>
      </c>
      <c r="D757" s="18">
        <v>158.94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-0.17425431711145989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-0.16338329764453963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38.369999999999997</v>
      </c>
      <c r="C758" s="18">
        <v>113.77</v>
      </c>
      <c r="D758" s="18">
        <v>152.80000000000001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-0.19686028257456833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-0.18029978586723772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38.82</v>
      </c>
      <c r="C759" s="18">
        <v>113.95</v>
      </c>
      <c r="D759" s="18">
        <v>152.66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-0.18744113029827314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-0.19122055674518201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38.630000000000003</v>
      </c>
      <c r="C760" s="18">
        <v>113.86</v>
      </c>
      <c r="D760" s="18">
        <v>155.72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-0.1914181057038199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-0.18650963597430403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38.020000000000003</v>
      </c>
      <c r="C761" s="18">
        <v>113.77</v>
      </c>
      <c r="D761" s="18">
        <v>148.65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-0.20418628990057552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-0.18051391862955035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40.24</v>
      </c>
      <c r="C762" s="18">
        <v>115.64</v>
      </c>
      <c r="D762" s="18">
        <v>148.65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-0.15771847200418621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-0.17751605995717357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39.21</v>
      </c>
      <c r="C763" s="18">
        <v>114.81</v>
      </c>
      <c r="D763" s="18">
        <v>147.37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-0.1792778649921507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-0.16766595289079245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38.83</v>
      </c>
      <c r="C764" s="18">
        <v>116.22</v>
      </c>
      <c r="D764" s="18">
        <v>147.37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-0.18723181580324444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-0.16102783725910075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39.130000000000003</v>
      </c>
      <c r="C765" s="18">
        <v>116.3</v>
      </c>
      <c r="D765" s="18">
        <v>147.37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-0.18095238095238086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-0.16124197002141327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38.96</v>
      </c>
      <c r="C766" s="18">
        <v>116.22</v>
      </c>
      <c r="D766" s="18">
        <v>153.69990000000001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-0.18451072736787022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-0.15717344753747331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39.21</v>
      </c>
      <c r="C767" s="18">
        <v>116.57</v>
      </c>
      <c r="D767" s="18">
        <v>153.69990000000001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-0.1792778649921507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-0.1631691648822271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38.96</v>
      </c>
      <c r="C768" s="18">
        <v>116.51</v>
      </c>
      <c r="D768" s="18">
        <v>154.52000000000001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-0.18451072736787022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-0.16295503211991436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38.549999999999997</v>
      </c>
      <c r="C769" s="18">
        <v>117.18</v>
      </c>
      <c r="D769" s="18">
        <v>157.88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-0.19309262166405028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-0.1528907922912206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38.159999999999997</v>
      </c>
      <c r="C770" s="18">
        <v>115.73</v>
      </c>
      <c r="D770" s="18">
        <v>154.636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-0.20125588697017271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-0.15631691648822277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38</v>
      </c>
      <c r="C771" s="18">
        <v>114.32</v>
      </c>
      <c r="D771" s="18">
        <v>156.4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-0.20460491889063315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-0.16081370449678811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37.979999999999997</v>
      </c>
      <c r="C772" s="18">
        <v>114.07</v>
      </c>
      <c r="D772" s="18">
        <v>152.33500000000001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-0.20502354788069077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-0.13918629550321193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37.74</v>
      </c>
      <c r="C773" s="18">
        <v>113.13</v>
      </c>
      <c r="D773" s="18">
        <v>151.69999999999999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-0.21004709576138136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-0.13297644539614561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37.520000000000003</v>
      </c>
      <c r="C774" s="18">
        <v>113.79</v>
      </c>
      <c r="D774" s="18">
        <v>148.6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-0.21465201465201456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-0.13126338329764453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37.880000000000003</v>
      </c>
      <c r="C775" s="18">
        <v>115.63</v>
      </c>
      <c r="D775" s="18">
        <v>148.6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-0.20711669283097844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-0.13683083511777305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38.17</v>
      </c>
      <c r="C776" s="18">
        <v>110.53</v>
      </c>
      <c r="D776" s="18">
        <v>149.65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-0.20104657247514379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-0.14668094218415417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37.01</v>
      </c>
      <c r="C777" s="18">
        <v>109.91</v>
      </c>
      <c r="D777" s="18">
        <v>149.5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-0.22532705389848251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-0.15503211991434696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36.76</v>
      </c>
      <c r="C778" s="18">
        <v>108.4</v>
      </c>
      <c r="D778" s="18">
        <v>141.9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-0.23055991627420203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-0.16895074946466815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36.880000000000003</v>
      </c>
      <c r="C779" s="18">
        <v>109.35</v>
      </c>
      <c r="D779" s="18">
        <v>142.85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-0.22804814233385651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-0.15931477516059966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36.97</v>
      </c>
      <c r="C780" s="18">
        <v>110.52</v>
      </c>
      <c r="D780" s="18">
        <v>142.43270000000001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-0.22616431187859765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-0.15567451820128486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37.020000000000003</v>
      </c>
      <c r="C781" s="18">
        <v>109.38</v>
      </c>
      <c r="D781" s="18">
        <v>131.03989999999999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-0.22511773940345359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-0.1668094218415419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35.9</v>
      </c>
      <c r="C782" s="18">
        <v>106.81</v>
      </c>
      <c r="D782" s="18">
        <v>126.5399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-0.24856096284667717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-0.19122055674518201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36.659999999999997</v>
      </c>
      <c r="C783" s="18">
        <v>107.08</v>
      </c>
      <c r="D783" s="18">
        <v>126.55500000000001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-0.23265306122448981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-0.18265524625267671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36.29</v>
      </c>
      <c r="C784" s="18">
        <v>106.45</v>
      </c>
      <c r="D784" s="18">
        <v>127.74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-0.24039769754055473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-0.19464668094218418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36.35</v>
      </c>
      <c r="C785" s="18">
        <v>105.67</v>
      </c>
      <c r="D785" s="18">
        <v>126.8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-0.23914181057038197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-0.19443254817987166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35.520000000000003</v>
      </c>
      <c r="C786" s="18">
        <v>104.92</v>
      </c>
      <c r="D786" s="18">
        <v>128.41489999999999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-0.25651491365777068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-0.2002141327623127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35.11</v>
      </c>
      <c r="C787" s="18">
        <v>103.86</v>
      </c>
      <c r="D787" s="18">
        <v>129.19990000000001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-0.26509680795395085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-0.20728051391862956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34.39</v>
      </c>
      <c r="C788" s="18">
        <v>103.4</v>
      </c>
      <c r="D788" s="18">
        <v>130.24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-0.28016745159602296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-0.22612419700214137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33.35</v>
      </c>
      <c r="C789" s="18">
        <v>103.06</v>
      </c>
      <c r="D789" s="18">
        <v>127.96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-0.30193615907901616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-0.23254817987152032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33.69</v>
      </c>
      <c r="C790" s="18">
        <v>103.04</v>
      </c>
      <c r="D790" s="18">
        <v>125.46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-0.29481946624803768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-0.23618843683083512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33.46</v>
      </c>
      <c r="C791" s="18">
        <v>103.27</v>
      </c>
      <c r="D791" s="18">
        <v>126.02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-0.29963369963369957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-0.24175588865096376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33.35</v>
      </c>
      <c r="C792" s="18">
        <v>103.09</v>
      </c>
      <c r="D792" s="18">
        <v>124.7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-0.30193615907901616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-0.24775160599571733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33.700000000000003</v>
      </c>
      <c r="C793" s="18">
        <v>103.85</v>
      </c>
      <c r="D793" s="18">
        <v>126.06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-0.29461015175300886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-0.24432548179871527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33.96</v>
      </c>
      <c r="C794" s="18">
        <v>104.28</v>
      </c>
      <c r="D794" s="18">
        <v>133.93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-0.28916797488226054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-0.24111349036402574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34.15</v>
      </c>
      <c r="C795" s="18">
        <v>103.54</v>
      </c>
      <c r="D795" s="18">
        <v>131.47489999999999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-0.28519099947671378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-0.23725910064239841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34.020000000000003</v>
      </c>
      <c r="C796" s="18">
        <v>103.81</v>
      </c>
      <c r="D796" s="18">
        <v>131.36000000000001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-0.28791208791208778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-0.24175588865096376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34.33</v>
      </c>
      <c r="C797" s="18">
        <v>104.87</v>
      </c>
      <c r="D797" s="18">
        <v>134.69999999999999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-0.28142333856619572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-0.23490364025695942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34.130000000000003</v>
      </c>
      <c r="C798" s="18">
        <v>105.77</v>
      </c>
      <c r="D798" s="18">
        <v>136.5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-0.28560962846677129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-0.22398286937901501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34.31</v>
      </c>
      <c r="C799" s="18">
        <v>104.8</v>
      </c>
      <c r="D799" s="18">
        <v>135.62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-0.28184196755625324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-0.22740899357601718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34.9</v>
      </c>
      <c r="C800" s="18">
        <v>104.56</v>
      </c>
      <c r="D800" s="18">
        <v>134.59989999999999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-0.26949241234955523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-0.23083511777301924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34.4</v>
      </c>
      <c r="C801" s="18">
        <v>101.84</v>
      </c>
      <c r="D801" s="18">
        <v>130.35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-0.27995813710099426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-0.23147751605995726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34.53</v>
      </c>
      <c r="C802" s="18">
        <v>102.52</v>
      </c>
      <c r="D802" s="18">
        <v>133.52000000000001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-0.27723704866562005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-0.22248394004282657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34.57</v>
      </c>
      <c r="C803" s="18">
        <v>101.99</v>
      </c>
      <c r="D803" s="18">
        <v>134.86000000000001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-0.27639979068550491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-0.21820128479657397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35.99</v>
      </c>
      <c r="C804" s="18">
        <v>101.68</v>
      </c>
      <c r="D804" s="18">
        <v>136.25989999999999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-0.24667713239141809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-0.21905781584582451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35.21</v>
      </c>
      <c r="C805" s="18">
        <v>100.13</v>
      </c>
      <c r="D805" s="18">
        <v>134.09989999999999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-0.26300366300366296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-0.23683083511777303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34.450000000000003</v>
      </c>
      <c r="C806" s="18">
        <v>99.17</v>
      </c>
      <c r="D806" s="18">
        <v>138.1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-0.27891156462585021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-0.22912205567451827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34.17</v>
      </c>
      <c r="C807" s="18">
        <v>98.59</v>
      </c>
      <c r="D807" s="18">
        <v>132.41990000000001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-0.28477237048665616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-0.23832976445396148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33.950000000000003</v>
      </c>
      <c r="C808" s="18">
        <v>98.36</v>
      </c>
      <c r="D808" s="18">
        <v>131.74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-0.28937728937728935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-0.24218415417558892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33.58</v>
      </c>
      <c r="C809" s="18">
        <v>97.77</v>
      </c>
      <c r="D809" s="18">
        <v>131.69990000000001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-0.29712192569335427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-0.23897216274089939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34.229999999999997</v>
      </c>
      <c r="C810" s="18">
        <v>99.1</v>
      </c>
      <c r="D810" s="18">
        <v>133.4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-0.28351648351648351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-0.23254817987152032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33.69</v>
      </c>
      <c r="C811" s="18">
        <v>96.83</v>
      </c>
      <c r="D811" s="18">
        <v>129.5752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-0.29481946624803768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-0.25246252676659542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33.43</v>
      </c>
      <c r="C812" s="18">
        <v>96.77</v>
      </c>
      <c r="D812" s="18">
        <v>127.96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-0.300261643118786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-0.26680942184154177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33.6</v>
      </c>
      <c r="C813" s="18">
        <v>97.11</v>
      </c>
      <c r="D813" s="18">
        <v>132.65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-0.29670329670329665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-0.26124197002141336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34.06</v>
      </c>
      <c r="C814" s="18">
        <v>98.45</v>
      </c>
      <c r="D814" s="18">
        <v>130.91999999999999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-0.28707482993197275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-0.25289079229122058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34.03</v>
      </c>
      <c r="C815" s="18">
        <v>98.35</v>
      </c>
      <c r="D815" s="18">
        <v>131.12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-0.28770277341705908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-0.25139186295503213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34.119999999999997</v>
      </c>
      <c r="C816" s="18">
        <v>98.4</v>
      </c>
      <c r="D816" s="18">
        <v>134.66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-0.2858189429618001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-0.25053533190578159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34.08</v>
      </c>
      <c r="C817" s="18">
        <v>98.39</v>
      </c>
      <c r="D817" s="18">
        <v>132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-0.28665620094191524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-0.24903640256959314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33.65</v>
      </c>
      <c r="C818" s="18">
        <v>97.33</v>
      </c>
      <c r="D818" s="18">
        <v>130.19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-0.29565672422815281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-0.24710920770877953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33.82</v>
      </c>
      <c r="C819" s="18">
        <v>97.31</v>
      </c>
      <c r="D819" s="18">
        <v>130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-0.29209837781266346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-0.25310492505353321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33.950000000000003</v>
      </c>
      <c r="C820" s="18">
        <v>97.14</v>
      </c>
      <c r="D820" s="18">
        <v>133.91999999999999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-0.28937728937728935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-0.25182012847965751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33.47</v>
      </c>
      <c r="C821" s="18">
        <v>97.64</v>
      </c>
      <c r="D821" s="18">
        <v>131.25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-0.29942438513867087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-0.24668094218415426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33.96</v>
      </c>
      <c r="C822" s="18">
        <v>97.7</v>
      </c>
      <c r="D822" s="18">
        <v>130.38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-0.28916797488226054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-0.23940042826552466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34.090000000000003</v>
      </c>
      <c r="C823" s="18">
        <v>98.98</v>
      </c>
      <c r="D823" s="18">
        <v>131.88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-0.28644688644688632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-0.21948608137044967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33.75</v>
      </c>
      <c r="C824" s="18">
        <v>100.22</v>
      </c>
      <c r="D824" s="18">
        <v>132.66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-0.29356357927786492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-0.21413276231263378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33.090000000000003</v>
      </c>
      <c r="C825" s="18">
        <v>99.08</v>
      </c>
      <c r="D825" s="18">
        <v>135.5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-0.30737833594976438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-0.21927194860813704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32.700000000000003</v>
      </c>
      <c r="C826" s="18">
        <v>99.27</v>
      </c>
      <c r="D826" s="18">
        <v>131.27430000000001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-0.31554160125588693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-0.2250535331905783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32.08</v>
      </c>
      <c r="C827" s="18">
        <v>99.37</v>
      </c>
      <c r="D827" s="18">
        <v>132.52000000000001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-0.32851909994767137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-0.22612419700214137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32.799999999999997</v>
      </c>
      <c r="C828" s="18">
        <v>99.07</v>
      </c>
      <c r="D828" s="18">
        <v>129.75989999999999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-0.31344845630559925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-0.2184154175588866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33.44</v>
      </c>
      <c r="C829" s="18">
        <v>97.86</v>
      </c>
      <c r="D829" s="18">
        <v>132.13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-0.30005232862375719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-0.21477516059957169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33.43</v>
      </c>
      <c r="C830" s="18">
        <v>97.53</v>
      </c>
      <c r="D830" s="18">
        <v>134.97999999999999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-0.300261643118786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-0.22162740899357602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33.78</v>
      </c>
      <c r="C831" s="18">
        <v>99.73</v>
      </c>
      <c r="D831" s="18">
        <v>135.79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-0.29293563579277859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-0.19785867237687371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33.43</v>
      </c>
      <c r="C832" s="18">
        <v>98.17</v>
      </c>
      <c r="D832" s="18">
        <v>138.06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-0.300261643118786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-0.18950749464668093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34.049999999999997</v>
      </c>
      <c r="C833" s="18">
        <v>100.03</v>
      </c>
      <c r="D833" s="18">
        <v>135.53989999999999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-0.28728414442700156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-0.18479657387580306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34.270000000000003</v>
      </c>
      <c r="C834" s="18">
        <v>99.97</v>
      </c>
      <c r="D834" s="18">
        <v>137.946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-0.28267922553636826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-0.18522483940042833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35.5</v>
      </c>
      <c r="C835" s="18">
        <v>103.41</v>
      </c>
      <c r="D835" s="18">
        <v>138.91999999999999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-0.25693354264782831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-0.16274089935760172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35.1</v>
      </c>
      <c r="C836" s="18">
        <v>101.84</v>
      </c>
      <c r="D836" s="18">
        <v>137.21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-0.26530612244897955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-0.166167023554604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35.06</v>
      </c>
      <c r="C837" s="18">
        <v>102.93</v>
      </c>
      <c r="D837" s="18">
        <v>139.31989999999999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-0.26614338042909469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-0.16788008565310497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35.36</v>
      </c>
      <c r="C838" s="18">
        <v>104.75</v>
      </c>
      <c r="D838" s="18">
        <v>141.03989999999999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-0.25986394557823134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-0.14689507494646681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35.270000000000003</v>
      </c>
      <c r="C839" s="18">
        <v>104.72</v>
      </c>
      <c r="D839" s="18">
        <v>140.72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-0.2617477760334902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-0.1595289079229123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34.9</v>
      </c>
      <c r="C840" s="18">
        <v>105.48</v>
      </c>
      <c r="D840" s="18">
        <v>141.9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-0.26949241234955523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-0.15802997858672385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34.840000000000003</v>
      </c>
      <c r="C841" s="18">
        <v>105.47</v>
      </c>
      <c r="D841" s="18">
        <v>139.54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-0.27074829931972777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-0.1516059957173449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37.700000000000003</v>
      </c>
      <c r="C842" s="18">
        <v>109.81</v>
      </c>
      <c r="D842" s="18">
        <v>134.66999999999999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-0.2108843537414965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-0.13211991434689507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36.380000000000003</v>
      </c>
      <c r="C843" s="18">
        <v>106.98</v>
      </c>
      <c r="D843" s="18">
        <v>151.5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-0.23851386708529554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-0.15182012847965742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36.04</v>
      </c>
      <c r="C844" s="18">
        <v>106.26</v>
      </c>
      <c r="D844" s="18">
        <v>142.84989999999999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-0.24563055991627425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-0.14839400428265526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36.47</v>
      </c>
      <c r="C845" s="18">
        <v>106.85</v>
      </c>
      <c r="D845" s="18">
        <v>149.16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-0.23663003663003668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-0.14603854389721627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36.07</v>
      </c>
      <c r="C846" s="18">
        <v>107.75</v>
      </c>
      <c r="D846" s="18">
        <v>142.077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-0.24500261643118781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-0.15567451820128486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36.130000000000003</v>
      </c>
      <c r="C847" s="18">
        <v>107</v>
      </c>
      <c r="D847" s="18">
        <v>146.43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-0.24374672946101505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-0.13854389721627425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36.549999999999997</v>
      </c>
      <c r="C848" s="18">
        <v>107.71</v>
      </c>
      <c r="D848" s="18">
        <v>148.935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-0.23495552066980641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-0.115845824411135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36.17</v>
      </c>
      <c r="C849" s="18">
        <v>105.43</v>
      </c>
      <c r="D849" s="18">
        <v>148.71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-0.24290947148090003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-0.12098501070663825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36.61</v>
      </c>
      <c r="C850" s="18">
        <v>106.61</v>
      </c>
      <c r="D850" s="18">
        <v>147.94489999999999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-0.23369963369963365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-0.12526766595289085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36.54</v>
      </c>
      <c r="C851" s="18">
        <v>106.91</v>
      </c>
      <c r="D851" s="18">
        <v>144.82990000000001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-0.23516483516483511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-0.12890792291220565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36.96</v>
      </c>
      <c r="C852" s="18">
        <v>107.31</v>
      </c>
      <c r="D852" s="18">
        <v>145.47499999999999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-0.22637362637362635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-0.1188436830835119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36.64</v>
      </c>
      <c r="C853" s="18">
        <v>109.35</v>
      </c>
      <c r="D853" s="18">
        <v>142.4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-0.23307169021454732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-0.11306209850107063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37.08</v>
      </c>
      <c r="C854" s="18">
        <v>109.22</v>
      </c>
      <c r="D854" s="18">
        <v>148.01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-0.22386185243328105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-0.11113490364025702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38.36</v>
      </c>
      <c r="C855" s="18">
        <v>109.62</v>
      </c>
      <c r="D855" s="18">
        <v>151.21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-0.19706959706959704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-0.10513918629550334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37.4</v>
      </c>
      <c r="C856" s="18">
        <v>108.02</v>
      </c>
      <c r="D856" s="18">
        <v>155.65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-0.21716378859236007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-9.9785867237687453E-2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37.299999999999997</v>
      </c>
      <c r="C857" s="18">
        <v>108.92</v>
      </c>
      <c r="D857" s="18">
        <v>150.46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-0.21925693354264786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-0.11263383297644547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37.590000000000003</v>
      </c>
      <c r="C858" s="18">
        <v>109.05</v>
      </c>
      <c r="D858" s="18">
        <v>150.46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-0.2131868131868131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-0.10620985010706641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37.950000000000003</v>
      </c>
      <c r="C859" s="18">
        <v>110.62</v>
      </c>
      <c r="D859" s="18">
        <v>151.16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-0.20565149136577698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-0.1042826552462528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38.43</v>
      </c>
      <c r="C860" s="18">
        <v>111.42</v>
      </c>
      <c r="D860" s="18">
        <v>153.16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-0.19560439560439558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-8.9721627408993698E-2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38.81</v>
      </c>
      <c r="C861" s="18">
        <v>111.88</v>
      </c>
      <c r="D861" s="18">
        <v>157.58000000000001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-0.18765044479330184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-9.0364025695931605E-2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39.299999999999997</v>
      </c>
      <c r="C862" s="18">
        <v>112.87</v>
      </c>
      <c r="D862" s="18">
        <v>149.25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-0.17739403453689173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-7.8158458244111495E-2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40.049999999999997</v>
      </c>
      <c r="C863" s="18">
        <v>115.57</v>
      </c>
      <c r="D863" s="18">
        <v>149.25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-0.16169544740973318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-6.0171306209850117E-2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40.32</v>
      </c>
      <c r="C864" s="18">
        <v>115.47</v>
      </c>
      <c r="D864" s="18">
        <v>154.22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-0.15604395604395604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-7.7944325481798749E-2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39.5</v>
      </c>
      <c r="C865" s="18">
        <v>111.35</v>
      </c>
      <c r="D865" s="18">
        <v>154.22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-0.17320774463631605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-0.100642398286938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38.880000000000003</v>
      </c>
      <c r="C866" s="18">
        <v>108.64</v>
      </c>
      <c r="D866" s="18">
        <v>149.4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-0.18618524332810038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-6.7237687366167087E-2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39.229999999999997</v>
      </c>
      <c r="C867" s="18">
        <v>109.11</v>
      </c>
      <c r="D867" s="18">
        <v>154.46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-0.17885923600209319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-8.2226980728051458E-2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39.49</v>
      </c>
      <c r="C868" s="18">
        <v>109.06</v>
      </c>
      <c r="D868" s="18">
        <v>153.56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-0.17341705913134475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-7.3661670235546151E-2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40.25</v>
      </c>
      <c r="C869" s="18">
        <v>112.22</v>
      </c>
      <c r="D869" s="18">
        <v>154.97999999999999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-0.1575091575091575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-5.2676659528907988E-2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40.39</v>
      </c>
      <c r="C870" s="18">
        <v>112.22</v>
      </c>
      <c r="D870" s="18">
        <v>153.21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-0.15457875457875458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-5.6531049250535315E-2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39.549999999999997</v>
      </c>
      <c r="C871" s="18">
        <v>111.56</v>
      </c>
      <c r="D871" s="18">
        <v>154.19999999999999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-0.17216117216117222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-7.1520342612419796E-2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39.409999999999997</v>
      </c>
      <c r="C872" s="18">
        <v>113.21</v>
      </c>
      <c r="D872" s="18">
        <v>154.63999999999999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-0.17509157509157514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-7.0235546038543872E-2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39.24</v>
      </c>
      <c r="C873" s="18">
        <v>112.13</v>
      </c>
      <c r="D873" s="18">
        <v>153.41999999999999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-0.17864992150706427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-6.4239828693790191E-2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38.57</v>
      </c>
      <c r="C874" s="18">
        <v>111.09</v>
      </c>
      <c r="D874" s="18">
        <v>143.4135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-0.19267399267399266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-8.1156316916488391E-2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38.58</v>
      </c>
      <c r="C875" s="18">
        <v>110.38</v>
      </c>
      <c r="D875" s="18">
        <v>147.55000000000001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-0.19246467817896395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-7.1092077087794414E-2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38.31</v>
      </c>
      <c r="C876" s="18">
        <v>110.14</v>
      </c>
      <c r="D876" s="18">
        <v>143.4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-0.19811616954474087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-8.7152034261241962E-2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38.520000000000003</v>
      </c>
      <c r="C877" s="18">
        <v>111.4</v>
      </c>
      <c r="D877" s="18">
        <v>140.1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-0.19372056514913649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-9.3147751605995754E-2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38.74</v>
      </c>
      <c r="C878" s="18">
        <v>112.57</v>
      </c>
      <c r="D878" s="18">
        <v>147.47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-0.1891156462585033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-0.10235546038543897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38.74</v>
      </c>
      <c r="C879" s="18">
        <v>111.48</v>
      </c>
      <c r="D879" s="18">
        <v>147.36000000000001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-0.1891156462585033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-0.1188436830835119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37.869999999999997</v>
      </c>
      <c r="C880" s="18">
        <v>109.61</v>
      </c>
      <c r="D880" s="18">
        <v>148.12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-0.20732600732600737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-0.12034261241970035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37.64</v>
      </c>
      <c r="C881" s="18">
        <v>110.77</v>
      </c>
      <c r="D881" s="18">
        <v>147.375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-0.21214024071166926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-0.15695931477516067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39.01</v>
      </c>
      <c r="C882" s="18">
        <v>112.26</v>
      </c>
      <c r="D882" s="18">
        <v>150.84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-0.18346415489272638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-0.14304068522483937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36.53</v>
      </c>
      <c r="C883" s="18">
        <v>105.85</v>
      </c>
      <c r="D883" s="18">
        <v>136.63990000000001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-0.23537414965986392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-0.19379014989293375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34.840000000000003</v>
      </c>
      <c r="C884" s="18">
        <v>102.87</v>
      </c>
      <c r="D884" s="18">
        <v>129.91489999999999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-0.27074829931972777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-0.22912205567451827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34.130000000000003</v>
      </c>
      <c r="C885" s="18">
        <v>101.96</v>
      </c>
      <c r="D885" s="18">
        <v>132.4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-0.28560962846677129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-0.23126338329764462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34.479999999999997</v>
      </c>
      <c r="C886" s="18">
        <v>103.85</v>
      </c>
      <c r="D886" s="18">
        <v>129.16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-0.27828362114076399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-0.20556745182012848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33.6</v>
      </c>
      <c r="C887" s="18">
        <v>103.4</v>
      </c>
      <c r="D887" s="18">
        <v>128.91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-0.29670329670329665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-0.21070663811563173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34.64</v>
      </c>
      <c r="C888" s="18">
        <v>107.52</v>
      </c>
      <c r="D888" s="18">
        <v>132.68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-0.27493458922030345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-0.18415417558886515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35.28</v>
      </c>
      <c r="C889" s="18">
        <v>109.46</v>
      </c>
      <c r="D889" s="18">
        <v>131.31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-0.2615384615384615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-0.18051391862955035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35.68</v>
      </c>
      <c r="C890" s="18">
        <v>109.93</v>
      </c>
      <c r="D890" s="18">
        <v>134.22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-0.25316588173731025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-0.17558886509635985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35.369999999999997</v>
      </c>
      <c r="C891" s="18">
        <v>109.58</v>
      </c>
      <c r="D891" s="18">
        <v>134.08000000000001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-0.25965463108320253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-0.17387580299785876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35.93</v>
      </c>
      <c r="C892" s="18">
        <v>110.86</v>
      </c>
      <c r="D892" s="18">
        <v>139.80000000000001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-0.24793301936159073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-0.16702355460385443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36.450000000000003</v>
      </c>
      <c r="C893" s="18">
        <v>110.54</v>
      </c>
      <c r="D893" s="18">
        <v>132.38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-0.23704866562009408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-0.16916488222698089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36.630000000000003</v>
      </c>
      <c r="C894" s="18">
        <v>111.41</v>
      </c>
      <c r="D894" s="18">
        <v>129.15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-0.23328100470957602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-0.16531049250535346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37.03</v>
      </c>
      <c r="C895" s="18">
        <v>110.13</v>
      </c>
      <c r="D895" s="18">
        <v>135.75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-0.22490842490842489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-0.16188436830835118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37.5</v>
      </c>
      <c r="C896" s="18">
        <v>111.17</v>
      </c>
      <c r="D896" s="18">
        <v>137.24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-0.21507064364207218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-0.14882226980728053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37.43</v>
      </c>
      <c r="C897" s="18">
        <v>112.14</v>
      </c>
      <c r="D897" s="18">
        <v>134.75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-0.21653584510727364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-0.15374732334047103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38.06</v>
      </c>
      <c r="C898" s="18">
        <v>112.63</v>
      </c>
      <c r="D898" s="18">
        <v>138.75989999999999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-0.20334903192046039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-0.13254817987152046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38.97</v>
      </c>
      <c r="C899" s="18">
        <v>113.45</v>
      </c>
      <c r="D899" s="18">
        <v>144.94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-0.18430141287284141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-0.12933618843683092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39.85</v>
      </c>
      <c r="C900" s="18">
        <v>113.49</v>
      </c>
      <c r="D900" s="18">
        <v>145.63999999999999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-0.16588173731030864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-0.12698072805139182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38.75</v>
      </c>
      <c r="C901" s="18">
        <v>111.33</v>
      </c>
      <c r="D901" s="18">
        <v>140.63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-0.1889063317634746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-0.15246252676659533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39.07</v>
      </c>
      <c r="C902" s="18">
        <v>114.29</v>
      </c>
      <c r="D902" s="18">
        <v>146.74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-0.18220826792255362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-0.12034261241970035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38.85</v>
      </c>
      <c r="C903" s="18">
        <v>113.08</v>
      </c>
      <c r="D903" s="18">
        <v>145.96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-0.1868131868131867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-0.11498929336188446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37.5</v>
      </c>
      <c r="C904" s="18">
        <v>110.55</v>
      </c>
      <c r="D904" s="18">
        <v>138.94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-0.21507064364207218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-0.12847965738758027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37.17</v>
      </c>
      <c r="C905" s="18">
        <v>111.7</v>
      </c>
      <c r="D905" s="18">
        <v>138.66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-0.22197802197802197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-0.13640256959314789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36.869999999999997</v>
      </c>
      <c r="C906" s="18">
        <v>110.13</v>
      </c>
      <c r="D906" s="18">
        <v>134.09989999999999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-0.22825745682888543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-0.1625267665952892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36.619999999999997</v>
      </c>
      <c r="C907" s="18">
        <v>108.7</v>
      </c>
      <c r="D907" s="18">
        <v>135.22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-0.23349031920460495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-0.17837259100642411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37.369999999999997</v>
      </c>
      <c r="C908" s="18">
        <v>108.95</v>
      </c>
      <c r="D908" s="18">
        <v>135.36000000000001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-0.2177917320774464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-0.15738758029978583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36.35</v>
      </c>
      <c r="C909" s="18">
        <v>106.83</v>
      </c>
      <c r="D909" s="18">
        <v>135.36000000000001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-0.23914181057038197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-0.1790149892933619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36.22</v>
      </c>
      <c r="C910" s="18">
        <v>104.99</v>
      </c>
      <c r="D910" s="18">
        <v>135.36000000000001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-0.24186289900575619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-0.20042826552462523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37.57</v>
      </c>
      <c r="C911" s="18">
        <v>108.46</v>
      </c>
      <c r="D911" s="18">
        <v>135.88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-0.21360544217687072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-0.1777301927194862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37.64</v>
      </c>
      <c r="C912" s="18">
        <v>109.59</v>
      </c>
      <c r="D912" s="18">
        <v>134.46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-0.21214024071166926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-0.16423982869379017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37.96</v>
      </c>
      <c r="C913" s="18">
        <v>110.71</v>
      </c>
      <c r="D913" s="18">
        <v>141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-0.20544217687074828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-0.15910064239828692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38.4</v>
      </c>
      <c r="C914" s="18">
        <v>112.28</v>
      </c>
      <c r="D914" s="18">
        <v>138.68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-0.1962323390894819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-0.14967880085653107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38.54</v>
      </c>
      <c r="C915" s="18">
        <v>112.78</v>
      </c>
      <c r="D915" s="18">
        <v>138.24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-0.19330193615907898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-0.1565310492505354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38.92</v>
      </c>
      <c r="C916" s="18">
        <v>112.5</v>
      </c>
      <c r="D916" s="18">
        <v>141.12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-0.18534798534798524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-0.1631691648822271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38.659999999999997</v>
      </c>
      <c r="C917" s="18">
        <v>112.75</v>
      </c>
      <c r="D917" s="18">
        <v>143.25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-0.19079016221873368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-0.15053533190578161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39.44</v>
      </c>
      <c r="C918" s="18">
        <v>113.21</v>
      </c>
      <c r="D918" s="18">
        <v>143.97499999999999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-0.17446363160648881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-0.15396145610278378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39.18</v>
      </c>
      <c r="C919" s="18">
        <v>111.87</v>
      </c>
      <c r="D919" s="18">
        <v>143.97499999999999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-0.17990580847723703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-0.15910064239828692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40</v>
      </c>
      <c r="C920" s="18">
        <v>112.58</v>
      </c>
      <c r="D920" s="18">
        <v>143.1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-0.16274201988487702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-0.15353319057815851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41.03</v>
      </c>
      <c r="C921" s="18">
        <v>115.76</v>
      </c>
      <c r="D921" s="18">
        <v>141.5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-0.14118262689691252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-0.1370449678800858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41.66</v>
      </c>
      <c r="C922" s="18">
        <v>116.7</v>
      </c>
      <c r="D922" s="18">
        <v>142.5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-0.12799581371009949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-0.12890792291220565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40.46</v>
      </c>
      <c r="C923" s="18">
        <v>115.94</v>
      </c>
      <c r="D923" s="18">
        <v>142.47999999999999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-0.15311355311355312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-0.14389721627409002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40.799999999999997</v>
      </c>
      <c r="C924" s="18">
        <v>116.94</v>
      </c>
      <c r="D924" s="18">
        <v>145.625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-0.14599686028257464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-0.12633832976445403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41.15</v>
      </c>
      <c r="C925" s="18">
        <v>117.79</v>
      </c>
      <c r="D925" s="18">
        <v>142.75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-0.13867085295656723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-0.12719486081370457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41.2</v>
      </c>
      <c r="C926" s="18">
        <v>118.02</v>
      </c>
      <c r="D926" s="18">
        <v>144.31989999999999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-0.13762428048142328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-0.12505353319057821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40.86</v>
      </c>
      <c r="C927" s="18">
        <v>118.02</v>
      </c>
      <c r="D927" s="18">
        <v>146.52000000000001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-0.14474097331240188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-0.12526766595289085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41.3</v>
      </c>
      <c r="C928" s="18">
        <v>118.58</v>
      </c>
      <c r="D928" s="18">
        <v>146.625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-0.1355311355311356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-0.12055674518201287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41.62</v>
      </c>
      <c r="C929" s="18">
        <v>118.07</v>
      </c>
      <c r="D929" s="18">
        <v>148.215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-0.12883307169021463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-0.1201284796573876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42.49</v>
      </c>
      <c r="C930" s="18">
        <v>120.77</v>
      </c>
      <c r="D930" s="18">
        <v>150.10489999999999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-0.11062271062271056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-0.10171306209850106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40.86</v>
      </c>
      <c r="C931" s="18">
        <v>119.45</v>
      </c>
      <c r="D931" s="18">
        <v>148.03989999999999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-0.14474097331240188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-0.11520342612419709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40.49</v>
      </c>
      <c r="C932" s="18">
        <v>118.09</v>
      </c>
      <c r="D932" s="18">
        <v>148.35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-0.15248560962846669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-0.1400428265524627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39.72</v>
      </c>
      <c r="C933" s="18">
        <v>116.41</v>
      </c>
      <c r="D933" s="18">
        <v>140.97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-0.16860282574568286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-0.14304068522483937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38.64</v>
      </c>
      <c r="C934" s="18">
        <v>115.96</v>
      </c>
      <c r="D934" s="18">
        <v>143.6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-0.1912087912087912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-0.1516059957173449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38.07</v>
      </c>
      <c r="C935" s="18">
        <v>115.77</v>
      </c>
      <c r="D935" s="18">
        <v>139.6901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-0.20313971742543169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-0.16059957173447537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38.26</v>
      </c>
      <c r="C936" s="18">
        <v>117.52</v>
      </c>
      <c r="D936" s="18">
        <v>142.01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-0.19916274201988493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-0.14261241970021421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38.68</v>
      </c>
      <c r="C937" s="18">
        <v>118.83</v>
      </c>
      <c r="D937" s="18">
        <v>142.01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-0.19037153322867606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-0.12655246252676666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38.28</v>
      </c>
      <c r="C938" s="18">
        <v>118</v>
      </c>
      <c r="D938" s="18">
        <v>146.19999999999999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-0.19874411302982731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-0.13725910064239832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38.549999999999997</v>
      </c>
      <c r="C939" s="18">
        <v>120.32</v>
      </c>
      <c r="D939" s="18">
        <v>139.92500000000001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-0.19309262166405028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-0.11820128479657399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38.58</v>
      </c>
      <c r="C940" s="18">
        <v>120.01</v>
      </c>
      <c r="D940" s="18">
        <v>138.18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-0.19246467817896395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-0.12398286937901515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38.4</v>
      </c>
      <c r="C941" s="18">
        <v>121.01</v>
      </c>
      <c r="D941" s="18">
        <v>138.18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-0.1962323390894819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-0.12719486081370457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38.950000000000003</v>
      </c>
      <c r="C942" s="18">
        <v>123.1</v>
      </c>
      <c r="D942" s="18">
        <v>139.71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-0.18472004186289892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-0.1188436830835119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38.51</v>
      </c>
      <c r="C943" s="18">
        <v>123.81</v>
      </c>
      <c r="D943" s="18">
        <v>143.88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-0.19392987964416541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-0.1188436830835119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38.18</v>
      </c>
      <c r="C944" s="18">
        <v>121.9</v>
      </c>
      <c r="D944" s="18">
        <v>140.685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-0.20083725798011509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-0.1340471092077089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38.19</v>
      </c>
      <c r="C945" s="18">
        <v>122.12</v>
      </c>
      <c r="D945" s="18">
        <v>142.63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-0.20062794348508639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-0.13661670235546042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38.479999999999997</v>
      </c>
      <c r="C946" s="18">
        <v>121.68</v>
      </c>
      <c r="D946" s="18">
        <v>140.15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-0.19455782312925174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-0.14154175588865092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39.04</v>
      </c>
      <c r="C947" s="18">
        <v>122.94</v>
      </c>
      <c r="D947" s="18">
        <v>141.4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-0.18283621140763995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-0.12483940042826558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39.58</v>
      </c>
      <c r="C948" s="18">
        <v>123.73</v>
      </c>
      <c r="D948" s="18">
        <v>141.4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-0.17153322867608578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-0.11734475374732345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38.28</v>
      </c>
      <c r="C949" s="18">
        <v>121.02</v>
      </c>
      <c r="D949" s="18">
        <v>140.25989999999999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-0.19874411302982731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-0.13297644539614561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38.29</v>
      </c>
      <c r="C950" s="18">
        <v>121.04</v>
      </c>
      <c r="D950" s="18">
        <v>143.15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-0.1985347985347985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-0.13747323340471096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37.82</v>
      </c>
      <c r="C951" s="18">
        <v>119.67</v>
      </c>
      <c r="D951" s="18">
        <v>140.4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-0.2083725798011512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-0.15139186295503215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38.28</v>
      </c>
      <c r="C952" s="18">
        <v>118.37</v>
      </c>
      <c r="D952" s="18">
        <v>142.02000000000001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-0.19874411302982731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-0.13918629550321193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36.47</v>
      </c>
      <c r="C953" s="18">
        <v>114.52</v>
      </c>
      <c r="D953" s="18">
        <v>142.02000000000001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-0.23663003663003668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-0.14603854389721627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36.31</v>
      </c>
      <c r="C954" s="18">
        <v>114.25</v>
      </c>
      <c r="D954" s="18">
        <v>142.02000000000001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-0.239979068550497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-0.14175588865096367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36.200000000000003</v>
      </c>
      <c r="C955" s="18">
        <v>114.14</v>
      </c>
      <c r="D955" s="18">
        <v>139.69999999999999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-0.24228152799581359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-0.1479657387580301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37.020000000000003</v>
      </c>
      <c r="C956" s="18">
        <v>116.83</v>
      </c>
      <c r="D956" s="18">
        <v>141.9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-0.22511773940345359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-0.13854389721627425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38.03</v>
      </c>
      <c r="C957" s="18">
        <v>117.97</v>
      </c>
      <c r="D957" s="18">
        <v>147.30000000000001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-0.20397697540554682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-0.11905781584582442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38.229999999999997</v>
      </c>
      <c r="C958" s="18">
        <v>117.46</v>
      </c>
      <c r="D958" s="18">
        <v>146.91999999999999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-0.19979068550497125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-0.11263383297644547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37.97</v>
      </c>
      <c r="C959" s="18">
        <v>117.7</v>
      </c>
      <c r="D959" s="18">
        <v>146.91999999999999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-0.20523286237571947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-0.12226980728051395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37.450000000000003</v>
      </c>
      <c r="C960" s="18">
        <v>116.18</v>
      </c>
      <c r="D960" s="18">
        <v>144.1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-0.21611721611721602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-0.13062098501070663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37.67</v>
      </c>
      <c r="C961" s="18">
        <v>117.22</v>
      </c>
      <c r="D961" s="18">
        <v>150.47999999999999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-0.21151229722658293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-0.13683083511777305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38.97</v>
      </c>
      <c r="C962" s="18">
        <v>116.63</v>
      </c>
      <c r="D962" s="18">
        <v>155.66999999999999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-0.18430141287284141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-0.14218415417558883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37.15</v>
      </c>
      <c r="C963" s="18">
        <v>113.74</v>
      </c>
      <c r="D963" s="18">
        <v>147.38999999999999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-0.22239665096807959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-0.1668094218415419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37.56</v>
      </c>
      <c r="C964" s="18">
        <v>115.3</v>
      </c>
      <c r="D964" s="18">
        <v>147.5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-0.21381475667189942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-0.16830835117773013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37.68</v>
      </c>
      <c r="C965" s="18">
        <v>117.83</v>
      </c>
      <c r="D965" s="18">
        <v>150.32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-0.21130298273155412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-0.15567451820128486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37.32</v>
      </c>
      <c r="C966" s="18">
        <v>117.73</v>
      </c>
      <c r="D966" s="18">
        <v>150.29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-0.21883830455259023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-0.1558886509635975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36.75</v>
      </c>
      <c r="C967" s="18">
        <v>113.5</v>
      </c>
      <c r="D967" s="18">
        <v>148.68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-0.23076923076923073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-0.17858672376873663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37.58</v>
      </c>
      <c r="C968" s="18">
        <v>115.92</v>
      </c>
      <c r="D968" s="18">
        <v>147.23500000000001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-0.21339612768184202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-0.17301927194860822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37.799999999999997</v>
      </c>
      <c r="C969" s="18">
        <v>116.84</v>
      </c>
      <c r="D969" s="18">
        <v>141.77199999999999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-0.20879120879120883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-0.181370449678801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37.71</v>
      </c>
      <c r="C970" s="18">
        <v>118.55</v>
      </c>
      <c r="D970" s="18">
        <v>146.12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-0.2106750392464678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-0.19550321199143472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38.22</v>
      </c>
      <c r="C971" s="18">
        <v>119.31</v>
      </c>
      <c r="D971" s="18">
        <v>148.28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-0.19999999999999996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-0.18372591006423988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39.130000000000003</v>
      </c>
      <c r="C972" s="18">
        <v>121.2</v>
      </c>
      <c r="D972" s="18">
        <v>154.30000000000001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-0.18095238095238086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-0.17366167023554602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39.229999999999997</v>
      </c>
      <c r="C973" s="18">
        <v>122.09</v>
      </c>
      <c r="D973" s="18">
        <v>155.75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-0.17885923600209319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-0.17216274089935768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39.36</v>
      </c>
      <c r="C974" s="18">
        <v>124.21</v>
      </c>
      <c r="D974" s="18">
        <v>155.5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-0.17613814756671897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-0.15246252676659533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39.07</v>
      </c>
      <c r="C975" s="18">
        <v>124.01</v>
      </c>
      <c r="D975" s="18">
        <v>160.46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-0.18220826792255362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-0.15182012847965742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39.619999999999997</v>
      </c>
      <c r="C976" s="18">
        <v>124.95</v>
      </c>
      <c r="D976" s="18">
        <v>160.46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-0.17069597069597076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-0.1370449678800858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40.07</v>
      </c>
      <c r="C977" s="18">
        <v>127.25</v>
      </c>
      <c r="D977" s="18">
        <v>157.80000000000001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-0.16127681841967556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-0.1274089935760172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40.08</v>
      </c>
      <c r="C978" s="18">
        <v>126.82</v>
      </c>
      <c r="D978" s="18">
        <v>157.80000000000001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-0.16106750392464675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-0.13383297644539616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40.19</v>
      </c>
      <c r="C979" s="18">
        <v>126.98</v>
      </c>
      <c r="D979" s="18">
        <v>157.09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-0.15876504447933026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-0.12483940042826558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39.64</v>
      </c>
      <c r="C980" s="18">
        <v>125.04</v>
      </c>
      <c r="D980" s="18">
        <v>162.97999999999999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-0.17027734170591313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-0.14089935760171313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39.83</v>
      </c>
      <c r="C981" s="18">
        <v>126.64</v>
      </c>
      <c r="D981" s="18">
        <v>160.30000000000001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-0.16630036630036626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-0.13576017130620988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39.909999999999997</v>
      </c>
      <c r="C982" s="18">
        <v>126.89</v>
      </c>
      <c r="D982" s="18">
        <v>160.65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-0.1646258503401361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-0.12398286937901515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39.44</v>
      </c>
      <c r="C983" s="18">
        <v>126.47</v>
      </c>
      <c r="D983" s="18">
        <v>158.19990000000001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-0.17446363160648881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-0.12462526766595294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39.67</v>
      </c>
      <c r="C984" s="18">
        <v>126.55</v>
      </c>
      <c r="D984" s="18">
        <v>161.13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-0.1696493982208267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-0.12698072805139182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38.96</v>
      </c>
      <c r="C985" s="18">
        <v>126.64</v>
      </c>
      <c r="D985" s="18">
        <v>160.66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-0.18451072736787022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-0.12162740899357605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39.36</v>
      </c>
      <c r="C986" s="18">
        <v>128.22999999999999</v>
      </c>
      <c r="D986" s="18">
        <v>162.25989999999999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-0.17613814756671897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-9.9785867237687453E-2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39.61</v>
      </c>
      <c r="C987" s="18">
        <v>128.41999999999999</v>
      </c>
      <c r="D987" s="18">
        <v>162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-0.17090528519099946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-8.4796573875802972E-2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40.5</v>
      </c>
      <c r="C988" s="18">
        <v>129.72999999999999</v>
      </c>
      <c r="D988" s="18">
        <v>164.5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-0.15227629513343799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-7.9229122055674561E-2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40.049999999999997</v>
      </c>
      <c r="C989" s="18">
        <v>128.71</v>
      </c>
      <c r="D989" s="18">
        <v>164.5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-0.16169544740973318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-9.057815845824424E-2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40.78</v>
      </c>
      <c r="C990" s="18">
        <v>128.05000000000001</v>
      </c>
      <c r="D990" s="18">
        <v>160.53989999999999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-0.14641548927263204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-9.0364025695931605E-2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40.5</v>
      </c>
      <c r="C991" s="18">
        <v>126.55</v>
      </c>
      <c r="D991" s="18">
        <v>160.13990000000001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-0.15227629513343799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-0.10385438972162742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41.48</v>
      </c>
      <c r="C992" s="18">
        <v>127.7</v>
      </c>
      <c r="D992" s="18">
        <v>162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-0.13176347462061755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-9.9143468950749547E-2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40.83</v>
      </c>
      <c r="C993" s="18">
        <v>124.12</v>
      </c>
      <c r="D993" s="18">
        <v>159.56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-0.1453689167974882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-0.11456102783725908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40.299999999999997</v>
      </c>
      <c r="C994" s="18">
        <v>123.31</v>
      </c>
      <c r="D994" s="18">
        <v>154.58000000000001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-0.15646258503401367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-0.1224839400428267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40.049999999999997</v>
      </c>
      <c r="C995" s="18">
        <v>122.78</v>
      </c>
      <c r="D995" s="18">
        <v>153.00280000000001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-0.16169544740973318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-0.1188436830835119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40.36</v>
      </c>
      <c r="C996" s="18">
        <v>122.47</v>
      </c>
      <c r="D996" s="18">
        <v>156.02500000000001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-0.15520669806384091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-0.11841541755888652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40.299999999999997</v>
      </c>
      <c r="C997" s="18">
        <v>122.29</v>
      </c>
      <c r="D997" s="18">
        <v>153.38499999999999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-0.15646258503401367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-0.11798715203426136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40.67</v>
      </c>
      <c r="C998" s="18">
        <v>122.93</v>
      </c>
      <c r="D998" s="18">
        <v>154.38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-0.14871794871794863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-0.10513918629550334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40.909999999999997</v>
      </c>
      <c r="C999" s="18">
        <v>123.36</v>
      </c>
      <c r="D999" s="18">
        <v>156.82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-0.14369440083725804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-8.6509635974304167E-2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40.520000000000003</v>
      </c>
      <c r="C1000" s="18">
        <v>122.82</v>
      </c>
      <c r="D1000" s="18">
        <v>150.74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-0.15185766614338037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-0.10599571734475377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40.18</v>
      </c>
      <c r="C1001" s="18">
        <v>123</v>
      </c>
      <c r="D1001" s="18">
        <v>149.03989999999999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-0.15897435897435896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-0.12077087794432551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39.520000000000003</v>
      </c>
      <c r="C1002" s="18">
        <v>122.23</v>
      </c>
      <c r="D1002" s="18">
        <v>149.75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-0.17278911564625843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-0.14432548179871518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39.85</v>
      </c>
      <c r="C1003" s="18">
        <v>123.65</v>
      </c>
      <c r="D1003" s="18">
        <v>146.16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-0.16588173731030864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-0.15224839400428258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41.1</v>
      </c>
      <c r="C1004" s="18">
        <v>124.1</v>
      </c>
      <c r="D1004" s="18">
        <v>146.09989999999999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-0.13971742543171106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-0.14239828693790157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43.16</v>
      </c>
      <c r="C1005" s="18">
        <v>128.24</v>
      </c>
      <c r="D1005" s="18">
        <v>149.5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-9.6598639455782398E-2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-0.10471092077087796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45.51</v>
      </c>
      <c r="C1006" s="18">
        <v>131.72</v>
      </c>
      <c r="D1006" s="18">
        <v>162.55500000000001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-4.740973312401886E-2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-4.0042826552462607E-2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43.69</v>
      </c>
      <c r="C1007" s="18">
        <v>130.97</v>
      </c>
      <c r="D1007" s="18">
        <v>164.67500000000001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-8.5504971219256931E-2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-4.2826552462526757E-2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43.35</v>
      </c>
      <c r="C1008" s="18">
        <v>132.38999999999999</v>
      </c>
      <c r="D1008" s="18">
        <v>170.51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-9.2621664050235419E-2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-2.9978586723768852E-2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43.45</v>
      </c>
      <c r="C1009" s="18">
        <v>132.25</v>
      </c>
      <c r="D1009" s="18">
        <v>172.3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-9.0528519099947635E-2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-2.8693790149893039E-2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43.5</v>
      </c>
      <c r="C1010" s="18">
        <v>131.55000000000001</v>
      </c>
      <c r="D1010" s="18">
        <v>170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-8.9481946624803688E-2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-3.3190578158458384E-2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43.35</v>
      </c>
      <c r="C1011" s="18">
        <v>132.31</v>
      </c>
      <c r="D1011" s="18">
        <v>172.1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-9.2621664050235419E-2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-2.955032119914347E-2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43.44</v>
      </c>
      <c r="C1012" s="18">
        <v>131.06</v>
      </c>
      <c r="D1012" s="18">
        <v>169.85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-9.0737833594976447E-2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-2.4839400428265601E-2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43.54</v>
      </c>
      <c r="C1013" s="18">
        <v>130.03</v>
      </c>
      <c r="D1013" s="18">
        <v>169.33529999999999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-8.8644688644688663E-2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-2.2269807280514087E-2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43.69</v>
      </c>
      <c r="C1014" s="18">
        <v>129.12</v>
      </c>
      <c r="D1014" s="18">
        <v>169.33529999999999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-8.5504971219256931E-2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-3.0406852248394012E-2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44.15</v>
      </c>
      <c r="C1015" s="18">
        <v>130.26</v>
      </c>
      <c r="D1015" s="18">
        <v>169.1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-7.5876504447933035E-2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-4.1541755888651055E-2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43.78</v>
      </c>
      <c r="C1016" s="18">
        <v>129.97</v>
      </c>
      <c r="D1016" s="18">
        <v>168.065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-8.3621140763997848E-2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-4.7537473233404848E-2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43.77</v>
      </c>
      <c r="C1017" s="18">
        <v>130.77000000000001</v>
      </c>
      <c r="D1017" s="18">
        <v>169.12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-8.3830455259026548E-2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-4.3468950749464663E-2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43.91</v>
      </c>
      <c r="C1018" s="18">
        <v>131.43</v>
      </c>
      <c r="D1018" s="18">
        <v>170.88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-8.090005232862385E-2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-3.8329764453961634E-2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44.12</v>
      </c>
      <c r="C1019" s="18">
        <v>131.79</v>
      </c>
      <c r="D1019" s="18">
        <v>166.97989999999999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-7.6504447933019359E-2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-5.6531049250535315E-2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43.94</v>
      </c>
      <c r="C1020" s="18">
        <v>131.34</v>
      </c>
      <c r="D1020" s="18">
        <v>168.28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-8.0272108843537415E-2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-5.7387580299785856E-2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44.26</v>
      </c>
      <c r="C1021" s="18">
        <v>131.43</v>
      </c>
      <c r="D1021" s="18">
        <v>168.28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-7.3574045002616439E-2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-5.9100642398287051E-2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45.54</v>
      </c>
      <c r="C1022" s="18">
        <v>131.63999999999999</v>
      </c>
      <c r="D1022" s="18">
        <v>168.24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-4.6781789638932536E-2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-9.057815845824424E-2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43.24</v>
      </c>
      <c r="C1023" s="18">
        <v>130.36000000000001</v>
      </c>
      <c r="D1023" s="18">
        <v>163.75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-9.4924123495552015E-2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-9.4860813704496727E-2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43.8</v>
      </c>
      <c r="C1024" s="18">
        <v>129.13999999999999</v>
      </c>
      <c r="D1024" s="18">
        <v>163.99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-8.3202511773940335E-2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-9.8715203426124165E-2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43.7</v>
      </c>
      <c r="C1025" s="18">
        <v>123.43</v>
      </c>
      <c r="D1025" s="18">
        <v>165.58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-8.5295656724228119E-2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-0.12526766595289085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45.93</v>
      </c>
      <c r="C1026" s="18">
        <v>121.8</v>
      </c>
      <c r="D1026" s="18">
        <v>163.67500000000001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-3.8618524332809989E-2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-0.13147751605995717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46.94</v>
      </c>
      <c r="C1027" s="18">
        <v>122.61</v>
      </c>
      <c r="D1027" s="18">
        <v>163.67500000000001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-1.7477760334903225E-2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-0.1304068522483941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46.86</v>
      </c>
      <c r="C1028" s="18">
        <v>123.79</v>
      </c>
      <c r="D1028" s="18">
        <v>163.67500000000001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-1.9152276295133386E-2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-0.13490364025695945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46.35</v>
      </c>
      <c r="C1029" s="18">
        <v>123.86</v>
      </c>
      <c r="D1029" s="18">
        <v>161.9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-2.9827315541601229E-2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-0.14025695931477522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46.82</v>
      </c>
      <c r="C1030" s="18">
        <v>125.01</v>
      </c>
      <c r="D1030" s="18">
        <v>165.26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-1.9989534275248522E-2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-0.13276231263383298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46.69</v>
      </c>
      <c r="C1031" s="18">
        <v>125.5</v>
      </c>
      <c r="D1031" s="18">
        <v>165.26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-2.2710622710622741E-2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-0.12847965738758027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47.1</v>
      </c>
      <c r="C1032" s="18">
        <v>126.57</v>
      </c>
      <c r="D1032" s="18">
        <v>169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-1.4128728414442682E-2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-0.11734475374732345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46.63</v>
      </c>
      <c r="C1033" s="18">
        <v>126.35</v>
      </c>
      <c r="D1033" s="18">
        <v>166.17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-2.3966509680795278E-2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-0.10149892933618843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47.36</v>
      </c>
      <c r="C1034" s="18">
        <v>127.2</v>
      </c>
      <c r="D1034" s="18">
        <v>174.9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-8.6865515436943541E-3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-6.1027837259100659E-2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48.41</v>
      </c>
      <c r="C1035" s="18">
        <v>130.5</v>
      </c>
      <c r="D1035" s="18">
        <v>175.2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1.3291470434327435E-2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-2.7194860813704591E-2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48.07</v>
      </c>
      <c r="C1036" s="18">
        <v>132.29</v>
      </c>
      <c r="D1036" s="18">
        <v>175.66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6.1747776033491686E-3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-2.7194860813704591E-2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48.14</v>
      </c>
      <c r="C1037" s="18">
        <v>131.91</v>
      </c>
      <c r="D1037" s="18">
        <v>177.5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7.6399790685506286E-3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-2.5267665952890761E-2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47.18</v>
      </c>
      <c r="C1038" s="18">
        <v>131.26</v>
      </c>
      <c r="D1038" s="18">
        <v>174.82490000000001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-1.245421245421241E-2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-3.7473233404710871E-2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47.53</v>
      </c>
      <c r="C1039" s="18">
        <v>131.55000000000001</v>
      </c>
      <c r="D1039" s="18">
        <v>175.245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-5.12820512820511E-3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-4.5396145610278493E-2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47.37</v>
      </c>
      <c r="C1040" s="18">
        <v>128.01</v>
      </c>
      <c r="D1040" s="18">
        <v>175.20490000000001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-8.4772370486656534E-3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4.6466809421841448E-2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46.34</v>
      </c>
      <c r="C1041" s="18">
        <v>127.31</v>
      </c>
      <c r="D1041" s="18">
        <v>179.82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-3.003663003662993E-2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3.9400428265524479E-2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46.11</v>
      </c>
      <c r="C1042" s="18">
        <v>124.36</v>
      </c>
      <c r="D1042" s="18">
        <v>177.85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-3.4850863422291933E-2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2.6124197002141303E-2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47.19</v>
      </c>
      <c r="C1043" s="18">
        <v>127.31</v>
      </c>
      <c r="D1043" s="18">
        <v>182.58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-1.2244897959183709E-2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4.9464668094218345E-2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46.99</v>
      </c>
      <c r="C1044" s="18">
        <v>126.54</v>
      </c>
      <c r="D1044" s="18">
        <v>182.7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-1.6431187859759167E-2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1.9057815845824333E-2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47.55</v>
      </c>
      <c r="C1045" s="18">
        <v>130.26</v>
      </c>
      <c r="D1045" s="18">
        <v>187.72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-4.7095761381475976E-3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4.132762312633842E-2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48.02</v>
      </c>
      <c r="C1046" s="18">
        <v>130.44</v>
      </c>
      <c r="D1046" s="18">
        <v>188.5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5.128205128205332E-3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3.790149892933603E-2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47.86</v>
      </c>
      <c r="C1047" s="18">
        <v>130.4</v>
      </c>
      <c r="D1047" s="18">
        <v>183.74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1.7791732077445666E-3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2.4197002141327584E-2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47.19</v>
      </c>
      <c r="C1048" s="18">
        <v>128.97</v>
      </c>
      <c r="D1048" s="18">
        <v>180.35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-1.2244897959183709E-2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1.7344753747323249E-2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48.27</v>
      </c>
      <c r="C1049" s="18">
        <v>132.28</v>
      </c>
      <c r="D1049" s="18">
        <v>179.09989999999999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1.0361067503924737E-2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4.2826552462526868E-2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48.97</v>
      </c>
      <c r="C1050" s="18">
        <v>133.72</v>
      </c>
      <c r="D1050" s="18">
        <v>183.27500000000001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2.5013082155939337E-2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4.7537473233404626E-2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48.57</v>
      </c>
      <c r="C1051" s="18">
        <v>132.43</v>
      </c>
      <c r="D1051" s="18">
        <v>183.27500000000001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1.66405023547882E-2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3.2119914346895095E-2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48.41</v>
      </c>
      <c r="C1052" s="18">
        <v>132.16</v>
      </c>
      <c r="D1052" s="18">
        <v>179.48750000000001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1.3291470434327435E-2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3.897216274089943E-2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48.47</v>
      </c>
      <c r="C1053" s="18">
        <v>130.16999999999999</v>
      </c>
      <c r="D1053" s="18">
        <v>180.94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1.4547357404500305E-2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4.7109207708779355E-2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47.27</v>
      </c>
      <c r="C1054" s="18">
        <v>131.01</v>
      </c>
      <c r="D1054" s="18">
        <v>179.09989999999999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-1.0570381998953327E-2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4.2826552462526868E-2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48.41</v>
      </c>
      <c r="C1055" s="18">
        <v>131.19</v>
      </c>
      <c r="D1055" s="18">
        <v>181.92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1.3291470434327435E-2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7.9871520342612357E-2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48.88</v>
      </c>
      <c r="C1056" s="18">
        <v>132.36000000000001</v>
      </c>
      <c r="D1056" s="18">
        <v>181.92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2.3129251700680253E-2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7.1092077087794525E-2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48.81</v>
      </c>
      <c r="C1057" s="18">
        <v>132.57</v>
      </c>
      <c r="D1057" s="18">
        <v>181.92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2.1664050235478793E-2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7.1520342612419574E-2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49.24</v>
      </c>
      <c r="C1058" s="18">
        <v>135.19</v>
      </c>
      <c r="D1058" s="18">
        <v>183.86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3.0664573521716365E-2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9.6788008565310335E-2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48.78</v>
      </c>
      <c r="C1059" s="18">
        <v>135.03</v>
      </c>
      <c r="D1059" s="18">
        <v>183.86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2.103610675039258E-2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7.5588865096359648E-2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48.71</v>
      </c>
      <c r="C1060" s="18">
        <v>135.03</v>
      </c>
      <c r="D1060" s="18">
        <v>184.75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1.957090528519112E-2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6.2098501070663836E-2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48.29</v>
      </c>
      <c r="C1061" s="18">
        <v>135.27000000000001</v>
      </c>
      <c r="D1061" s="18">
        <v>180.53989999999999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1.0779696493982138E-2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7.6445396145610189E-2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48.61</v>
      </c>
      <c r="C1062" s="18">
        <v>136.06</v>
      </c>
      <c r="D1062" s="18">
        <v>181.23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1.7477760334903225E-2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9.6359743040685286E-2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48.59</v>
      </c>
      <c r="C1063" s="18">
        <v>136.87</v>
      </c>
      <c r="D1063" s="18">
        <v>180.75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1.7059131344845824E-2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0.10042826552462514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48.85</v>
      </c>
      <c r="C1064" s="18">
        <v>139.13</v>
      </c>
      <c r="D1064" s="18">
        <v>183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2.250130821559404E-2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0.12612419700214139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48.96</v>
      </c>
      <c r="C1065" s="18">
        <v>138.88</v>
      </c>
      <c r="D1065" s="18">
        <v>186.4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2.4803767660910525E-2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0.12483940042826558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49.08</v>
      </c>
      <c r="C1066" s="18">
        <v>139.18</v>
      </c>
      <c r="D1066" s="18">
        <v>181.27500000000001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2.7315541601255822E-2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0.12419700214132745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49.11</v>
      </c>
      <c r="C1067" s="18">
        <v>139.19999999999999</v>
      </c>
      <c r="D1067" s="18">
        <v>187.06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2.7943485086342257E-2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0.10920770877944319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49.3</v>
      </c>
      <c r="C1068" s="18">
        <v>138.72</v>
      </c>
      <c r="D1068" s="18">
        <v>180.85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3.1920460491889013E-2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0.10642398286937893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49.04</v>
      </c>
      <c r="C1069" s="18">
        <v>137.87</v>
      </c>
      <c r="D1069" s="18">
        <v>175.5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2.6478283621140797E-2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0.10428265524625258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49.63</v>
      </c>
      <c r="C1070" s="18">
        <v>138.54</v>
      </c>
      <c r="D1070" s="18">
        <v>182.67500000000001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3.8827838827838912E-2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0.10171306209850117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49.02</v>
      </c>
      <c r="C1071" s="18">
        <v>137.91</v>
      </c>
      <c r="D1071" s="18">
        <v>179.05699999999999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2.6059654631083395E-2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9.9999999999999867E-2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50.56</v>
      </c>
      <c r="C1072" s="18">
        <v>142.27000000000001</v>
      </c>
      <c r="D1072" s="18">
        <v>190.49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5.8294086865515515E-2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0.10513918629550312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50.62</v>
      </c>
      <c r="C1073" s="18">
        <v>141.97999999999999</v>
      </c>
      <c r="D1073" s="18">
        <v>190.77500000000001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5.9549973835688164E-2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0.13661670235546031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50.22</v>
      </c>
      <c r="C1074" s="18">
        <v>141.46</v>
      </c>
      <c r="D1074" s="18">
        <v>188.5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5.1177394034536805E-2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0.12997858672376883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50.39</v>
      </c>
      <c r="C1075" s="18">
        <v>141.54</v>
      </c>
      <c r="D1075" s="18">
        <v>190.98500000000001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5.473574045002616E-2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0.14346895074946464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50.39</v>
      </c>
      <c r="C1076" s="18">
        <v>141.82</v>
      </c>
      <c r="D1076" s="18">
        <v>185.47989999999999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5.473574045002616E-2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0.13918629550321193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49.9</v>
      </c>
      <c r="C1077" s="18">
        <v>141.61000000000001</v>
      </c>
      <c r="D1077" s="18">
        <v>188.66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4.447933019361594E-2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0.14218415417558883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50.79</v>
      </c>
      <c r="C1078" s="18">
        <v>146.16</v>
      </c>
      <c r="D1078" s="18">
        <v>190.23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6.3108320251177519E-2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0.155460385438972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49.12</v>
      </c>
      <c r="C1079" s="18">
        <v>143.15</v>
      </c>
      <c r="D1079" s="18">
        <v>188.83500000000001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2.8152799581371069E-2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0.15888650963597417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48.22</v>
      </c>
      <c r="C1080" s="18">
        <v>144.34</v>
      </c>
      <c r="D1080" s="18">
        <v>191.125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9.3144950287806783E-3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0.16167023554603843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47.65</v>
      </c>
      <c r="C1081" s="18">
        <v>143.58000000000001</v>
      </c>
      <c r="D1081" s="18">
        <v>183.2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-2.6164311878598134E-3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0.16552462526766587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48.07</v>
      </c>
      <c r="C1082" s="18">
        <v>145.11000000000001</v>
      </c>
      <c r="D1082" s="18">
        <v>175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6.1747776033491686E-3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0.16231263383297634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48.65</v>
      </c>
      <c r="C1083" s="18">
        <v>145</v>
      </c>
      <c r="D1083" s="18">
        <v>179.5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1.831501831501825E-2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0.17323340471092075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49.15</v>
      </c>
      <c r="C1084" s="18">
        <v>147.13999999999999</v>
      </c>
      <c r="D1084" s="18">
        <v>177.5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2.8780743066457282E-2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0.18265524625267648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50.32</v>
      </c>
      <c r="C1085" s="18">
        <v>149.12</v>
      </c>
      <c r="D1085" s="18">
        <v>179.05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5.32705389848247E-2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0.20171306209850104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50.8</v>
      </c>
      <c r="C1086" s="18">
        <v>152.22</v>
      </c>
      <c r="D1086" s="18">
        <v>188.065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6.3317634746206108E-2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0.21391862955032104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50.1</v>
      </c>
      <c r="C1087" s="18">
        <v>147.87</v>
      </c>
      <c r="D1087" s="18">
        <v>187.8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4.8665620094191508E-2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0.16466809421841533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50.66</v>
      </c>
      <c r="C1088" s="18">
        <v>148.91</v>
      </c>
      <c r="D1088" s="18">
        <v>183.17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6.0387231815803188E-2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0.22098501070663801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51.6</v>
      </c>
      <c r="C1089" s="18">
        <v>148.68</v>
      </c>
      <c r="D1089" s="18">
        <v>187.1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8.0062794348508604E-2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0.21520342612419685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52.47</v>
      </c>
      <c r="C1090" s="18">
        <v>151.04</v>
      </c>
      <c r="D1090" s="18">
        <v>188.41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9.8273155416012559E-2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0.22312633832976436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53.34</v>
      </c>
      <c r="C1091" s="18">
        <v>149.86000000000001</v>
      </c>
      <c r="D1091" s="18">
        <v>184.32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0.11648351648351651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0.21156316916488205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57.23</v>
      </c>
      <c r="C1092" s="18">
        <v>152.91</v>
      </c>
      <c r="D1092" s="18">
        <v>187.45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0.19790685504971206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0.22612419700214126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59.17</v>
      </c>
      <c r="C1093" s="18">
        <v>153.94999999999999</v>
      </c>
      <c r="D1093" s="18">
        <v>187.16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0.23851386708529576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0.22312633832976436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60.23</v>
      </c>
      <c r="C1094" s="18">
        <v>156.41999999999999</v>
      </c>
      <c r="D1094" s="18">
        <v>193.03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0.26070120355834647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0.23554603854389722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59.01</v>
      </c>
      <c r="C1095" s="18">
        <v>157.05000000000001</v>
      </c>
      <c r="D1095" s="18">
        <v>188.01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0.23516483516483522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0.22291220556745173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58.82</v>
      </c>
      <c r="C1096" s="18">
        <v>158.19999999999999</v>
      </c>
      <c r="D1096" s="18">
        <v>193.4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0.23118785975928846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0.21691648822269793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58.49</v>
      </c>
      <c r="C1097" s="18">
        <v>160.06</v>
      </c>
      <c r="D1097" s="18">
        <v>204.76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0.22428048142333856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0.23747323340471094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58.54</v>
      </c>
      <c r="C1098" s="18">
        <v>161.18</v>
      </c>
      <c r="D1098" s="18">
        <v>204.52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0.2253270538984824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0.25503211991434682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58.93</v>
      </c>
      <c r="C1099" s="18">
        <v>163.1</v>
      </c>
      <c r="D1099" s="18">
        <v>205.55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0.23349031920460495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0.25289079229122047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60.87</v>
      </c>
      <c r="C1100" s="18">
        <v>166.17</v>
      </c>
      <c r="D1100" s="18">
        <v>209.48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0.27409733124018842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0.28693790149892928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61.18</v>
      </c>
      <c r="C1101" s="18">
        <v>165.38</v>
      </c>
      <c r="D1101" s="18">
        <v>208.67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0.2805860805860807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0.27815845824411123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60.85</v>
      </c>
      <c r="C1102" s="18">
        <v>163.92</v>
      </c>
      <c r="D1102" s="18">
        <v>208.62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0.2736787022501308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0.26723768736616704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59.52</v>
      </c>
      <c r="C1103" s="18">
        <v>162.66999999999999</v>
      </c>
      <c r="D1103" s="18">
        <v>204.2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0.24583987441130306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0.27087794432548185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59.26</v>
      </c>
      <c r="C1104" s="18">
        <v>164.7</v>
      </c>
      <c r="D1104" s="18">
        <v>204.94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0.24039769754055462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0.28415417558886502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59.12</v>
      </c>
      <c r="C1105" s="18">
        <v>167.11</v>
      </c>
      <c r="D1105" s="18">
        <v>206.61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0.2374672946101517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0.29721627408993556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59.54</v>
      </c>
      <c r="C1106" s="18">
        <v>166.85</v>
      </c>
      <c r="D1106" s="18">
        <v>205.79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0.24625850340136046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0.27366167023554588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58.07</v>
      </c>
      <c r="C1107" s="18">
        <v>165.51</v>
      </c>
      <c r="D1107" s="18">
        <v>203.98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0.2154892726321298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0.26402569593147751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59.13</v>
      </c>
      <c r="C1108" s="18">
        <v>168.62</v>
      </c>
      <c r="D1108" s="18">
        <v>208.45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0.23767660910518051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0.27516059957173433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58.29</v>
      </c>
      <c r="C1109" s="18">
        <v>166.87</v>
      </c>
      <c r="D1109" s="18">
        <v>203.73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0.22009419152276299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0.2391862955032118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57.07</v>
      </c>
      <c r="C1110" s="18">
        <v>164.18</v>
      </c>
      <c r="D1110" s="18">
        <v>201.76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0.19455782312925174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0.2366167023554604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56.83</v>
      </c>
      <c r="C1111" s="18">
        <v>165.15</v>
      </c>
      <c r="D1111" s="18">
        <v>201.53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0.18953427524856092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0.23897216274089916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55.27</v>
      </c>
      <c r="C1112" s="18">
        <v>161.01</v>
      </c>
      <c r="D1112" s="18">
        <v>197.52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0.15688121402407118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0.16038543897216262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54.51</v>
      </c>
      <c r="C1113" s="18">
        <v>160.12</v>
      </c>
      <c r="D1113" s="18">
        <v>194.22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0.14097331240188393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0.18608137044967865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55.51</v>
      </c>
      <c r="C1114" s="18">
        <v>162.79</v>
      </c>
      <c r="D1114" s="18">
        <v>194.95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0.161904761904762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0.17023554603854385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55.32</v>
      </c>
      <c r="C1115" s="18">
        <v>161.59</v>
      </c>
      <c r="D1115" s="18">
        <v>194.99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0.15792778649921502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0.14432548179871518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55.15</v>
      </c>
      <c r="C1116" s="18">
        <v>155.80000000000001</v>
      </c>
      <c r="D1116" s="18">
        <v>193.31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0.15436944008372588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0.14346895074946464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54.28</v>
      </c>
      <c r="C1117" s="18">
        <v>154.25</v>
      </c>
      <c r="D1117" s="18">
        <v>192.5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0.13615907901622193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0.11199143468950745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53.39</v>
      </c>
      <c r="C1118" s="18">
        <v>153.44</v>
      </c>
      <c r="D1118" s="18">
        <v>189.9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0.11753008895866035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7.3233404710920658E-2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53.77</v>
      </c>
      <c r="C1119" s="18">
        <v>154.87</v>
      </c>
      <c r="D1119" s="18">
        <v>192.01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0.12548403976975409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0.10342612419700203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53.41</v>
      </c>
      <c r="C1120" s="18">
        <v>154.85</v>
      </c>
      <c r="D1120" s="18">
        <v>191.29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0.11794871794871797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9.1648822269807084E-2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52.06</v>
      </c>
      <c r="C1121" s="18">
        <v>149.81</v>
      </c>
      <c r="D1121" s="18">
        <v>188.42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8.969126111983261E-2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5.3961456102783689E-2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52.37</v>
      </c>
      <c r="C1122" s="18">
        <v>148.19</v>
      </c>
      <c r="D1122" s="18">
        <v>188.93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9.6180010465724664E-2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3.6616702355460218E-2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51.84</v>
      </c>
      <c r="C1123" s="18">
        <v>146.03</v>
      </c>
      <c r="D1123" s="18">
        <v>183.6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8.5086342229199419E-2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1.4775160599571624E-2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51.99</v>
      </c>
      <c r="C1124" s="18">
        <v>148.09</v>
      </c>
      <c r="D1124" s="18">
        <v>184.07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8.822605965463115E-2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3.0192719486081376E-2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52.95</v>
      </c>
      <c r="C1125" s="18">
        <v>148.61000000000001</v>
      </c>
      <c r="D1125" s="18">
        <v>185.78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0.10832025117739419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2.8479657387580293E-2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54.7</v>
      </c>
      <c r="C1126" s="18">
        <v>150.75</v>
      </c>
      <c r="D1126" s="18">
        <v>187.14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0.14495028780743069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4.8179871520342532E-2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53.94</v>
      </c>
      <c r="C1127" s="18">
        <v>149.69999999999999</v>
      </c>
      <c r="D1127" s="18">
        <v>183.4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0.12904238618524322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4.3254817987151917E-2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53.84</v>
      </c>
      <c r="C1128" s="18">
        <v>148.18</v>
      </c>
      <c r="D1128" s="18">
        <v>188.42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0.12694924123495555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3.4475374732334085E-2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54.23</v>
      </c>
      <c r="C1129" s="18">
        <v>150.36000000000001</v>
      </c>
      <c r="D1129" s="18">
        <v>193.88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0.13511250654107787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4.5824411134903542E-2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55.19</v>
      </c>
      <c r="C1130" s="18">
        <v>152.75</v>
      </c>
      <c r="D1130" s="18">
        <v>197.22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0.15520669806384091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6.4453961456102826E-2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55.99</v>
      </c>
      <c r="C1131" s="18">
        <v>155.08000000000001</v>
      </c>
      <c r="D1131" s="18">
        <v>200.73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0.1719518576661434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7.922912205567445E-2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56.69</v>
      </c>
      <c r="C1132" s="18">
        <v>154.03</v>
      </c>
      <c r="D1132" s="18">
        <v>203.49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0.186603872318158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6.7451820128479723E-2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56.37</v>
      </c>
      <c r="C1133" s="18">
        <v>152.84</v>
      </c>
      <c r="D1133" s="18">
        <v>202.83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0.17990580847723714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7.0235546038543761E-2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55.84</v>
      </c>
      <c r="C1134" s="18">
        <v>151.22</v>
      </c>
      <c r="D1134" s="18">
        <v>200.81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0.16881214024071167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5.674518201284795E-2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57.37</v>
      </c>
      <c r="C1135" s="18">
        <v>154.41999999999999</v>
      </c>
      <c r="D1135" s="18">
        <v>204.27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0.2008372579801152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7.2376873661670116E-2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58.36</v>
      </c>
      <c r="C1136" s="18">
        <v>155.06</v>
      </c>
      <c r="D1136" s="18">
        <v>204.99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0.22155939298796445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7.7301927194860731E-2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58.21</v>
      </c>
      <c r="C1137" s="18">
        <v>154.05000000000001</v>
      </c>
      <c r="D1137" s="18">
        <v>204.03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0.21841967556253272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7.1520342612419574E-2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58.94</v>
      </c>
      <c r="C1138" s="18">
        <v>154.47</v>
      </c>
      <c r="D1138" s="18">
        <v>202.24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0.23369963369963376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8.5438972162740878E-2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59.18</v>
      </c>
      <c r="C1139" s="18">
        <v>153.38</v>
      </c>
      <c r="D1139" s="18">
        <v>204.38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0.23872318158032457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9.2719486081370484E-2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57.81</v>
      </c>
      <c r="C1140" s="18">
        <v>152.08000000000001</v>
      </c>
      <c r="D1140" s="18">
        <v>201.21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0.21004709576138159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9.1862955032119942E-2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57.13</v>
      </c>
      <c r="C1141" s="18">
        <v>149.72999999999999</v>
      </c>
      <c r="D1141" s="18">
        <v>200.47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0.19581371009942439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6.9164882226980584E-2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58.35</v>
      </c>
      <c r="C1142" s="18">
        <v>151.97</v>
      </c>
      <c r="D1142" s="18">
        <v>204.8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0.22135007849293564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9.7858672376873734E-2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57.35</v>
      </c>
      <c r="C1143" s="18">
        <v>150.99</v>
      </c>
      <c r="D1143" s="18">
        <v>200.69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0.20041862899005758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9.9143468950749325E-2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56.12</v>
      </c>
      <c r="C1144" s="18">
        <v>147.97</v>
      </c>
      <c r="D1144" s="18">
        <v>195.78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0.17467294610151751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6.9164882226980584E-2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55.7</v>
      </c>
      <c r="C1145" s="18">
        <v>147.32</v>
      </c>
      <c r="D1145" s="18">
        <v>194.81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0.16588173731030875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9.6359743040685286E-2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55.63</v>
      </c>
      <c r="C1146" s="18">
        <v>147.47999999999999</v>
      </c>
      <c r="D1146" s="18">
        <v>192.3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0.16441653584510729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0.110492505353319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54.44</v>
      </c>
      <c r="C1147" s="18">
        <v>145.47</v>
      </c>
      <c r="D1147" s="18">
        <v>189.75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0.13950811093668225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0.10578158458244102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54.22</v>
      </c>
      <c r="C1148" s="18">
        <v>144.19</v>
      </c>
      <c r="D1148" s="18">
        <v>187.51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0.13490319204604928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9.6788008565310335E-2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54.47</v>
      </c>
      <c r="C1149" s="18">
        <v>145.5</v>
      </c>
      <c r="D1149" s="18">
        <v>186.68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0.14013605442176869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9.2933618843682897E-2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51.4</v>
      </c>
      <c r="C1150" s="18">
        <v>142.94</v>
      </c>
      <c r="D1150" s="18">
        <v>185.2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7.5876504447933035E-2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7.9871520342612357E-2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52.31</v>
      </c>
      <c r="C1151" s="18">
        <v>147.85</v>
      </c>
      <c r="D1151" s="18">
        <v>187.37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9.4924123495552237E-2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8.9507494646680952E-2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51.61</v>
      </c>
      <c r="C1152" s="18">
        <v>146.57</v>
      </c>
      <c r="D1152" s="18">
        <v>184.74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8.0272108843537415E-2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9.2077087794432577E-2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50.9</v>
      </c>
      <c r="C1153" s="18">
        <v>144.62</v>
      </c>
      <c r="D1153" s="18">
        <v>183.46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6.5410779696494004E-2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7.6659528907922825E-2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50.38</v>
      </c>
      <c r="C1154" s="18">
        <v>145.5</v>
      </c>
      <c r="D1154" s="18">
        <v>181.24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5.452642595499757E-2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8.865096359743041E-2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50.53</v>
      </c>
      <c r="C1155" s="18">
        <v>148.36000000000001</v>
      </c>
      <c r="D1155" s="18">
        <v>184.92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5.766614338042908E-2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0.10556745182012839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50.5</v>
      </c>
      <c r="C1156" s="18">
        <v>145.38999999999999</v>
      </c>
      <c r="D1156" s="18">
        <v>182.52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5.7038199895342867E-2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8.3297644539614524E-2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50.41</v>
      </c>
      <c r="C1157" s="18">
        <v>146.03</v>
      </c>
      <c r="D1157" s="18">
        <v>182.85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5.5154369440083784E-2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9.4004282655246296E-2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49.81</v>
      </c>
      <c r="C1158" s="18">
        <v>145.22999999999999</v>
      </c>
      <c r="D1158" s="18">
        <v>181.86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4.2595499738356857E-2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0.10085653104925041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50.9</v>
      </c>
      <c r="C1159" s="18">
        <v>148.16</v>
      </c>
      <c r="D1159" s="18">
        <v>184.54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6.5410779696494004E-2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9.5931477516059793E-2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50.99</v>
      </c>
      <c r="C1160" s="18">
        <v>149.75</v>
      </c>
      <c r="D1160" s="18">
        <v>187.72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6.7294610151753087E-2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9.7644539614560877E-2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50.96</v>
      </c>
      <c r="C1161" s="18">
        <v>149.77000000000001</v>
      </c>
      <c r="D1161" s="18">
        <v>184.96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6.6666666666666652E-2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9.8286937901498783E-2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49.67</v>
      </c>
      <c r="C1162" s="18">
        <v>148.08000000000001</v>
      </c>
      <c r="D1162" s="18">
        <v>181.58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3.9665096807953937E-2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9.4004282655246296E-2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50.26</v>
      </c>
      <c r="C1163" s="18">
        <v>149.15</v>
      </c>
      <c r="D1163" s="18">
        <v>183.92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5.2014652014652052E-2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9.4218415417558932E-2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51.05</v>
      </c>
      <c r="C1164" s="18">
        <v>150.44</v>
      </c>
      <c r="D1164" s="18">
        <v>184.64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6.8550497121925735E-2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0.110492505353319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50.78</v>
      </c>
      <c r="C1165" s="18">
        <v>150.44999999999999</v>
      </c>
      <c r="D1165" s="18">
        <v>187.46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6.2899005756148707E-2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0.11220556745182009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51.53</v>
      </c>
      <c r="C1166" s="18">
        <v>151.76</v>
      </c>
      <c r="D1166" s="18">
        <v>189.75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7.8597592883307144E-2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0.12869379014989279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51.38</v>
      </c>
      <c r="C1167" s="18">
        <v>152.01</v>
      </c>
      <c r="D1167" s="18">
        <v>187.03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7.5457875457875634E-2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0.14218415417558883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51.5</v>
      </c>
      <c r="C1168" s="18">
        <v>150.80000000000001</v>
      </c>
      <c r="D1168" s="18">
        <v>187.19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7.796964939822093E-2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0.12633832976445403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51.58</v>
      </c>
      <c r="C1169" s="18">
        <v>151.12</v>
      </c>
      <c r="D1169" s="18">
        <v>185.65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7.964416535845098E-2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0.12355460385438954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51.24</v>
      </c>
      <c r="C1170" s="18">
        <v>151.4</v>
      </c>
      <c r="D1170" s="18">
        <v>185.33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7.2527472527472492E-2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0.12119914346895078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50.54</v>
      </c>
      <c r="C1171" s="18">
        <v>150.16999999999999</v>
      </c>
      <c r="D1171" s="18">
        <v>185.67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5.7875457875457892E-2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0.1220556745182011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49.31</v>
      </c>
      <c r="C1172" s="18">
        <v>145.68</v>
      </c>
      <c r="D1172" s="18">
        <v>179.71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3.2129774986917825E-2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7.5374732334047012E-2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49</v>
      </c>
      <c r="C1173" s="18">
        <v>143.47999999999999</v>
      </c>
      <c r="D1173" s="18">
        <v>177.45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2.5641025641025772E-2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5.0749464668094157E-2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49.72</v>
      </c>
      <c r="C1174" s="18">
        <v>143.66</v>
      </c>
      <c r="D1174" s="18">
        <v>176.28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4.0711669283097773E-2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4.9250535331905709E-2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51.27</v>
      </c>
      <c r="C1175" s="18">
        <v>148.4</v>
      </c>
      <c r="D1175" s="18">
        <v>181.8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7.3155416012558927E-2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0.10428265524625258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51.52</v>
      </c>
      <c r="C1176" s="18">
        <v>149.16</v>
      </c>
      <c r="D1176" s="18">
        <v>185.95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7.8388278388278554E-2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0.10235546038543886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50.64</v>
      </c>
      <c r="C1177" s="18">
        <v>146.41999999999999</v>
      </c>
      <c r="D1177" s="18">
        <v>181.55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5.9968602825745787E-2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8.2441113490363982E-2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51.25</v>
      </c>
      <c r="C1178" s="18">
        <v>149.12</v>
      </c>
      <c r="D1178" s="18">
        <v>183.43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7.2736787022501304E-2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7.5588865096359648E-2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51.17</v>
      </c>
      <c r="C1179" s="18">
        <v>148.12</v>
      </c>
      <c r="D1179" s="18">
        <v>178.96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7.1062271062271032E-2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7.9657387580299721E-2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52.86</v>
      </c>
      <c r="C1180" s="18">
        <v>153.91999999999999</v>
      </c>
      <c r="D1180" s="18">
        <v>182.28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0.10643642072213511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9.9571734475374596E-2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53.04</v>
      </c>
      <c r="C1181" s="18">
        <v>153.07</v>
      </c>
      <c r="D1181" s="18">
        <v>178.75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0.11020408163265305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0.10599571734475366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52.23</v>
      </c>
      <c r="C1182" s="18">
        <v>151.56</v>
      </c>
      <c r="D1182" s="18">
        <v>177.27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9.3249607535321744E-2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9.2291220556744991E-2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52.22</v>
      </c>
      <c r="C1183" s="18">
        <v>150.93</v>
      </c>
      <c r="D1183" s="18">
        <v>178.71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9.3040293040293154E-2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9.4860813704496838E-2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52.15</v>
      </c>
      <c r="C1184" s="18">
        <v>150.88</v>
      </c>
      <c r="D1184" s="18">
        <v>177.89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9.1575091575091472E-2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9.336188436830839E-2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50.67</v>
      </c>
      <c r="C1185" s="18">
        <v>147.08000000000001</v>
      </c>
      <c r="D1185" s="18">
        <v>174.93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6.0596546310832E-2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6.5096359743040733E-2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50.74</v>
      </c>
      <c r="C1186" s="18">
        <v>148.93</v>
      </c>
      <c r="D1186" s="18">
        <v>176.43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6.206174777603346E-2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5.1820128479657335E-2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52.07</v>
      </c>
      <c r="C1187" s="18">
        <v>153.38</v>
      </c>
      <c r="D1187" s="18">
        <v>181.02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8.9900575614861422E-2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7.8158458244111273E-2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51.09</v>
      </c>
      <c r="C1188" s="18">
        <v>153.12</v>
      </c>
      <c r="D1188" s="18">
        <v>183.02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6.9387755102040982E-2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9.700214132762297E-2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51.89</v>
      </c>
      <c r="C1189" s="18">
        <v>155.12</v>
      </c>
      <c r="D1189" s="18">
        <v>185.68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8.6132914704343255E-2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0.110492505353319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52.5</v>
      </c>
      <c r="C1190" s="18">
        <v>155.41</v>
      </c>
      <c r="D1190" s="18">
        <v>188.41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9.8901098901098994E-2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0.10792291220556738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52.81</v>
      </c>
      <c r="C1191" s="18">
        <v>157.59</v>
      </c>
      <c r="D1191" s="18">
        <v>190.95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0.10538984824699127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0.12591006423982853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52.42</v>
      </c>
      <c r="C1192" s="18">
        <v>156.72</v>
      </c>
      <c r="D1192" s="18">
        <v>189.62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9.7226582940868722E-2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9.9571734475374596E-2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51.3</v>
      </c>
      <c r="C1193" s="18">
        <v>154.13999999999999</v>
      </c>
      <c r="D1193" s="18">
        <v>183.86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7.378335949764514E-2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7.7516059957173367E-2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53.66</v>
      </c>
      <c r="C1194" s="18">
        <v>159.9</v>
      </c>
      <c r="D1194" s="18">
        <v>195.15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0.12318158032443738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0.13576017130620976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53.09</v>
      </c>
      <c r="C1195" s="18">
        <v>155.49</v>
      </c>
      <c r="D1195" s="18">
        <v>190.16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0.11125065410779711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0.10471092077087785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53.32</v>
      </c>
      <c r="C1196" s="18">
        <v>157.03</v>
      </c>
      <c r="D1196" s="18">
        <v>193.12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0.11606488749345889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0.1171306209850107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52.52</v>
      </c>
      <c r="C1197" s="18">
        <v>155.16999999999999</v>
      </c>
      <c r="D1197" s="18">
        <v>189.28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9.9319727891156617E-2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0.10835117773019265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52.47</v>
      </c>
      <c r="C1198" s="18">
        <v>154.62</v>
      </c>
      <c r="D1198" s="18">
        <v>178.49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9.8273155416012559E-2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0.11391862955032117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52.78</v>
      </c>
      <c r="C1199" s="18">
        <v>154.05000000000001</v>
      </c>
      <c r="D1199" s="18">
        <v>171.61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0.10476190476190483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0.11134903640256955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52.29</v>
      </c>
      <c r="C1200" s="18">
        <v>153.37</v>
      </c>
      <c r="D1200" s="18">
        <v>169.47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9.4505494505494614E-2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8.1370449678800805E-2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51.25</v>
      </c>
      <c r="C1201" s="18">
        <v>150.36000000000001</v>
      </c>
      <c r="D1201" s="18">
        <v>164.5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7.2736787022501304E-2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7.4089935760171199E-2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51.45</v>
      </c>
      <c r="C1202" s="18">
        <v>150.80000000000001</v>
      </c>
      <c r="D1202" s="18">
        <v>168.37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7.6923076923077094E-2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9.5931477516059793E-2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52.77</v>
      </c>
      <c r="C1203" s="18">
        <v>152.72999999999999</v>
      </c>
      <c r="D1203" s="18">
        <v>169.29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0.10455259026687602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0.10171306209850117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51.76</v>
      </c>
      <c r="C1204" s="18">
        <v>153.76</v>
      </c>
      <c r="D1204" s="18">
        <v>168.9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8.3411826268969147E-2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0.10492505353319048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50.04</v>
      </c>
      <c r="C1205" s="18">
        <v>149.56</v>
      </c>
      <c r="D1205" s="18">
        <v>164.52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4.740973312401886E-2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9.2077087794432577E-2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50.78</v>
      </c>
      <c r="C1206" s="18">
        <v>153.87</v>
      </c>
      <c r="D1206" s="18">
        <v>169.34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6.2899005756148707E-2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9.5074946466809473E-2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50.76</v>
      </c>
      <c r="C1207" s="18">
        <v>153.08000000000001</v>
      </c>
      <c r="D1207" s="18">
        <v>169.73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6.2480376766091084E-2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0.10706638115631684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50.74</v>
      </c>
      <c r="C1208" s="18">
        <v>156.13999999999999</v>
      </c>
      <c r="D1208" s="18">
        <v>168.27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6.206174777603346E-2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0.15460385438972168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51.35</v>
      </c>
      <c r="C1209" s="18">
        <v>155.01</v>
      </c>
      <c r="D1209" s="18">
        <v>169.26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7.4829931972789199E-2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0.17130620985010703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51.98</v>
      </c>
      <c r="C1210" s="18">
        <v>156.11000000000001</v>
      </c>
      <c r="D1210" s="18">
        <v>169.64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8.8016745159602339E-2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0.17280513918629548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53.71</v>
      </c>
      <c r="C1211" s="18">
        <v>159.85</v>
      </c>
      <c r="D1211" s="18">
        <v>172.48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0.12422815279958144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0.21027837259100646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53.22</v>
      </c>
      <c r="C1212" s="18">
        <v>158.83000000000001</v>
      </c>
      <c r="D1212" s="18">
        <v>173.3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0.11397174254317122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0.17708779443254818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52.07</v>
      </c>
      <c r="C1213" s="18">
        <v>158.44</v>
      </c>
      <c r="D1213" s="18">
        <v>171.34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8.9900575614861422E-2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0.18351177730192725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51.69</v>
      </c>
      <c r="C1214" s="18">
        <v>156.15</v>
      </c>
      <c r="D1214" s="18">
        <v>169.64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8.1946624803767687E-2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0.17066381156316912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51.51</v>
      </c>
      <c r="C1215" s="18">
        <v>153.66999999999999</v>
      </c>
      <c r="D1215" s="18">
        <v>157.97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7.817896389324952E-2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0.17944325481798695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51.53</v>
      </c>
      <c r="C1216" s="18">
        <v>153.27000000000001</v>
      </c>
      <c r="D1216" s="18">
        <v>155.62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7.8597592883307144E-2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0.18672376873661656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51.46</v>
      </c>
      <c r="C1217" s="18">
        <v>154.44</v>
      </c>
      <c r="D1217" s="18">
        <v>161.5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7.7132391418105684E-2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0.20792291220556725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52.17</v>
      </c>
      <c r="C1218" s="18">
        <v>154.21</v>
      </c>
      <c r="D1218" s="18">
        <v>161.07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9.1993720565149095E-2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0.20278372591006422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52.96</v>
      </c>
      <c r="C1219" s="18">
        <v>156.33000000000001</v>
      </c>
      <c r="D1219" s="18">
        <v>161.41999999999999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0.10852956567242278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0.22612419700214126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52.16</v>
      </c>
      <c r="C1220" s="18">
        <v>156.79</v>
      </c>
      <c r="D1220" s="18">
        <v>161.91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9.1784406070120284E-2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0.22976445396145606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50.9</v>
      </c>
      <c r="C1221" s="18">
        <v>154.61000000000001</v>
      </c>
      <c r="D1221" s="18">
        <v>158.75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6.5410779696494004E-2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0.21241970021413259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50.3</v>
      </c>
      <c r="C1222" s="18">
        <v>152.32</v>
      </c>
      <c r="D1222" s="18">
        <v>158.5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5.2851909994767077E-2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0.2100642398286936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50.45</v>
      </c>
      <c r="C1223" s="18">
        <v>151.72</v>
      </c>
      <c r="D1223" s="18">
        <v>157.24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5.599162742019903E-2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0.18822269807280501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49.52</v>
      </c>
      <c r="C1224" s="18">
        <v>150.88</v>
      </c>
      <c r="D1224" s="18">
        <v>156.44999999999999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3.6525379382522427E-2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0.16745182012847959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50.28</v>
      </c>
      <c r="C1225" s="18">
        <v>151.97</v>
      </c>
      <c r="D1225" s="18">
        <v>156.88999999999999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5.2433281004709675E-2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0.16937901498929331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51.15</v>
      </c>
      <c r="C1226" s="18">
        <v>154.55000000000001</v>
      </c>
      <c r="D1226" s="18">
        <v>160.1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7.0643642072213408E-2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0.18907922912205555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52.88</v>
      </c>
      <c r="C1227" s="18">
        <v>160.31</v>
      </c>
      <c r="D1227" s="18">
        <v>164.95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0.10685504971219273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0.24625267665952899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51.96</v>
      </c>
      <c r="C1228" s="18">
        <v>156.24</v>
      </c>
      <c r="D1228" s="18">
        <v>164.49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8.7598116169544715E-2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0.22591006423982862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52.41</v>
      </c>
      <c r="C1229" s="18">
        <v>158.86000000000001</v>
      </c>
      <c r="D1229" s="18">
        <v>165.98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9.701726844583991E-2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0.24411134903640241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51.78</v>
      </c>
      <c r="C1230" s="18">
        <v>158.02000000000001</v>
      </c>
      <c r="D1230" s="18">
        <v>166.71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8.383045525902677E-2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0.2306209850107066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52.07</v>
      </c>
      <c r="C1231" s="18">
        <v>159.97999999999999</v>
      </c>
      <c r="D1231" s="18">
        <v>169.66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8.9900575614861422E-2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0.25203426124196993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51.43</v>
      </c>
      <c r="C1232" s="18">
        <v>157.54</v>
      </c>
      <c r="D1232" s="18">
        <v>166.27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7.650444793301947E-2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0.21820128479657375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50.27</v>
      </c>
      <c r="C1233" s="18">
        <v>154.65</v>
      </c>
      <c r="D1233" s="18">
        <v>164.52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5.2223966509680864E-2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0.2074946466809422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50.82</v>
      </c>
      <c r="C1234" s="18">
        <v>153.81</v>
      </c>
      <c r="D1234" s="18">
        <v>162.69999999999999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6.3736263736263732E-2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0.18179871520342594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50.25</v>
      </c>
      <c r="C1235" s="18">
        <v>152.06</v>
      </c>
      <c r="D1235" s="18">
        <v>162.13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5.180533751962324E-2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0.1498929336188437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50.66</v>
      </c>
      <c r="C1236" s="18">
        <v>161.25</v>
      </c>
      <c r="D1236" s="18">
        <v>162.47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6.0387231815803188E-2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0.13683083511777294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50.44</v>
      </c>
      <c r="C1237" s="18">
        <v>162.46</v>
      </c>
      <c r="D1237" s="18">
        <v>161.63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5.5782312925169997E-2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0.15267665952890774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50.87</v>
      </c>
      <c r="C1238" s="18">
        <v>163.09</v>
      </c>
      <c r="D1238" s="18">
        <v>164.77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6.4782836211407568E-2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0.18244111349036385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49.89</v>
      </c>
      <c r="C1239" s="18">
        <v>159.99</v>
      </c>
      <c r="D1239" s="18">
        <v>162.69999999999999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4.4270015698587128E-2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0.17708779443254818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48.54</v>
      </c>
      <c r="C1240" s="18">
        <v>137.69999999999999</v>
      </c>
      <c r="D1240" s="18">
        <v>160.04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1.6012558869701765E-2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0.15781584582441099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48.63</v>
      </c>
      <c r="C1241" s="18">
        <v>137.47999999999999</v>
      </c>
      <c r="D1241" s="18">
        <v>156.94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1.7896389324960849E-2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0.14304068522483937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48.12</v>
      </c>
      <c r="C1242" s="18">
        <v>137.47999999999999</v>
      </c>
      <c r="D1242" s="18">
        <v>159.63999999999999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7.2213500784930051E-3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0.1389721627408993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48.13</v>
      </c>
      <c r="C1243" s="18">
        <v>137.16</v>
      </c>
      <c r="D1243" s="18">
        <v>160.16999999999999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7.4306645735218169E-3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0.12955032119914334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50.05</v>
      </c>
      <c r="C1244" s="18">
        <v>138.99</v>
      </c>
      <c r="D1244" s="18">
        <v>163.78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4.7619047619047672E-2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0.17344753747323338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50.01</v>
      </c>
      <c r="C1245" s="18">
        <v>138.62</v>
      </c>
      <c r="D1245" s="18">
        <v>161.85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4.6781789638932425E-2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0.17665952890792291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50.29</v>
      </c>
      <c r="C1246" s="18">
        <v>138.69999999999999</v>
      </c>
      <c r="D1246" s="18">
        <v>162.88999999999999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5.2642595499738265E-2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0.1809421841541754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51.06</v>
      </c>
      <c r="C1247" s="18">
        <v>140.91999999999999</v>
      </c>
      <c r="D1247" s="18">
        <v>166.14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6.8759811616954547E-2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0.16980728051391858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50.22</v>
      </c>
      <c r="C1248" s="18">
        <v>140.37</v>
      </c>
      <c r="D1248" s="18">
        <v>166.08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5.1177394034536805E-2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0.15952890792291208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51.08</v>
      </c>
      <c r="C1249" s="18">
        <v>140.97999999999999</v>
      </c>
      <c r="D1249" s="18">
        <v>168.1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6.9178440607011948E-2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0.18415417558886493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50.72</v>
      </c>
      <c r="C1250" s="18">
        <v>141.28</v>
      </c>
      <c r="D1250" s="18">
        <v>168.37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6.1643118785975837E-2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0.19186295503211981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49.71</v>
      </c>
      <c r="C1251" s="18">
        <v>142.71</v>
      </c>
      <c r="D1251" s="18">
        <v>163.33000000000001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4.0502354788069184E-2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0.1790149892933619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49.65</v>
      </c>
      <c r="C1252" s="18">
        <v>143.57</v>
      </c>
      <c r="D1252" s="18">
        <v>164.56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3.9246467817896313E-2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0.17344753747323338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49.24</v>
      </c>
      <c r="C1253" s="18">
        <v>145.46</v>
      </c>
      <c r="D1253" s="18">
        <v>166.58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3.0664573521716365E-2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0.16595289079229114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49.7</v>
      </c>
      <c r="C1254" s="18">
        <v>146.88</v>
      </c>
      <c r="D1254" s="18">
        <v>166.15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4.0293040293040372E-2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0.14282655246252673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49.35</v>
      </c>
      <c r="C1255" s="18">
        <v>145.71</v>
      </c>
      <c r="D1255" s="18">
        <v>164.21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3.2967032967033072E-2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0.11884368308351179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48.17</v>
      </c>
      <c r="C1256" s="18">
        <v>142.57</v>
      </c>
      <c r="D1256" s="18">
        <v>161.47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8.2679225536368417E-3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0.11092077087794427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47.18</v>
      </c>
      <c r="C1257" s="18">
        <v>141.05000000000001</v>
      </c>
      <c r="D1257" s="18">
        <v>157.69999999999999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-1.245421245421241E-2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0.12098501070663814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47.03</v>
      </c>
      <c r="C1258" s="18">
        <v>141</v>
      </c>
      <c r="D1258" s="18">
        <v>156.9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-1.5593929879644142E-2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0.11884368308351179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2026-10-05T16:26:06Z</dcterms:created>
  <dcterms:modified xsi:type="dcterms:W3CDTF">2026-10-05T18:19:59Z</dcterms:modified>
</cp:coreProperties>
</file>